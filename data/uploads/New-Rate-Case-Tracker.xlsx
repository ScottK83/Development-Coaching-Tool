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apsonline-my.sharepoint.com/personal/scott_knight_aps_com/Documents/Desktop/"/>
    </mc:Choice>
  </mc:AlternateContent>
  <xr:revisionPtr revIDLastSave="0" documentId="8_{9199FE1D-A98A-45CA-A2C8-6E044E554584}" xr6:coauthVersionLast="47" xr6:coauthVersionMax="47" xr10:uidLastSave="{00000000-0000-0000-0000-000000000000}"/>
  <bookViews>
    <workbookView xWindow="-120" yWindow="-120" windowWidth="29040" windowHeight="17520" activeTab="2" xr2:uid="{C13719E5-3E34-4A51-A8E3-25119CBEDD7C}"/>
  </bookViews>
  <sheets>
    <sheet name="Call Tracker" sheetId="10" r:id="rId1"/>
    <sheet name="Summary" sheetId="4" r:id="rId2"/>
    <sheet name="Docketed Comments" sheetId="1"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 i="4" l="1"/>
  <c r="B5" i="4"/>
  <c r="M2" i="10"/>
  <c r="M3" i="10"/>
  <c r="M4" i="10"/>
  <c r="M5" i="10"/>
  <c r="M6" i="10"/>
  <c r="M7" i="10"/>
  <c r="M8" i="10"/>
  <c r="M9" i="10"/>
  <c r="M10" i="10"/>
  <c r="M11" i="10"/>
  <c r="M12" i="10"/>
  <c r="M13" i="10"/>
  <c r="M14" i="10"/>
  <c r="M15" i="10"/>
  <c r="M16" i="10"/>
  <c r="M17" i="10"/>
  <c r="M18" i="10"/>
  <c r="M19" i="10"/>
  <c r="M20" i="10"/>
  <c r="M21" i="10"/>
  <c r="M22" i="10"/>
  <c r="M23" i="10"/>
  <c r="M24"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01" i="10"/>
  <c r="M102" i="10"/>
  <c r="M103" i="10"/>
  <c r="M104" i="10"/>
  <c r="M105" i="10"/>
  <c r="M106" i="10"/>
  <c r="M107" i="10"/>
  <c r="M108" i="10"/>
  <c r="M109" i="10"/>
  <c r="M11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46" i="10"/>
  <c r="M147" i="10"/>
  <c r="M148" i="10"/>
  <c r="M149" i="10"/>
  <c r="M150" i="10"/>
  <c r="M151" i="10"/>
  <c r="M152" i="10"/>
  <c r="M153" i="10"/>
  <c r="M154" i="10"/>
  <c r="M155" i="10"/>
  <c r="M156" i="10"/>
  <c r="M157" i="10"/>
  <c r="M158" i="10"/>
  <c r="M159" i="10"/>
  <c r="M160" i="10"/>
  <c r="M161" i="10"/>
  <c r="M162" i="10"/>
  <c r="M163" i="10"/>
  <c r="M164" i="10"/>
  <c r="M165" i="10"/>
  <c r="M166" i="10"/>
  <c r="M167" i="10"/>
  <c r="M168" i="10"/>
  <c r="M169" i="10"/>
  <c r="M170" i="10"/>
  <c r="M171" i="10"/>
  <c r="M172" i="10"/>
  <c r="M173" i="10"/>
  <c r="M174" i="10"/>
  <c r="M175" i="10"/>
  <c r="M176" i="10"/>
  <c r="M177" i="10"/>
  <c r="M178" i="10"/>
  <c r="M179" i="10"/>
  <c r="M180" i="10"/>
  <c r="M181" i="10"/>
  <c r="M182" i="10"/>
  <c r="M183" i="10"/>
  <c r="M184" i="10"/>
  <c r="M185" i="10"/>
  <c r="M186" i="10"/>
  <c r="M187" i="10"/>
  <c r="M188" i="10"/>
  <c r="M189" i="10"/>
  <c r="M190" i="10"/>
  <c r="M191" i="10"/>
  <c r="M192" i="10"/>
  <c r="M193" i="10"/>
  <c r="M194" i="10"/>
  <c r="M195" i="10"/>
  <c r="M196" i="10"/>
  <c r="M197" i="10"/>
  <c r="M198" i="10"/>
  <c r="M199" i="10"/>
  <c r="M200" i="10"/>
  <c r="M201" i="10"/>
  <c r="M202" i="10"/>
  <c r="M203" i="10"/>
  <c r="M204" i="10"/>
  <c r="M205" i="10"/>
  <c r="M206" i="10"/>
  <c r="M207" i="10"/>
  <c r="M208" i="10"/>
  <c r="M209" i="10"/>
  <c r="M210" i="10"/>
  <c r="M211" i="10"/>
  <c r="M212" i="10"/>
  <c r="M213" i="10"/>
  <c r="M214" i="10"/>
  <c r="M215" i="10"/>
  <c r="M216" i="10"/>
  <c r="M217" i="10"/>
  <c r="M218" i="10"/>
  <c r="M219" i="10"/>
  <c r="M220" i="10"/>
  <c r="M221" i="10"/>
  <c r="M222" i="10"/>
  <c r="M223" i="10"/>
  <c r="M224" i="10"/>
  <c r="M225" i="10"/>
  <c r="M226" i="10"/>
  <c r="M227" i="10"/>
  <c r="M228" i="10"/>
  <c r="M229" i="10"/>
  <c r="M230" i="10"/>
  <c r="M231" i="10"/>
  <c r="M232" i="10"/>
  <c r="M233" i="10"/>
  <c r="M234" i="10"/>
  <c r="M235" i="10"/>
  <c r="M236" i="10"/>
  <c r="M237" i="10"/>
  <c r="M238" i="10"/>
  <c r="M239" i="10"/>
  <c r="M240" i="10"/>
  <c r="M241" i="10"/>
  <c r="M242" i="10"/>
  <c r="M243" i="10"/>
  <c r="M244" i="10"/>
  <c r="M245" i="10"/>
  <c r="M246" i="10"/>
  <c r="M247" i="10"/>
  <c r="M248" i="10"/>
  <c r="M249" i="10"/>
  <c r="M250" i="10"/>
  <c r="M251" i="10"/>
  <c r="M252" i="10"/>
  <c r="M253" i="10"/>
  <c r="M254" i="10"/>
  <c r="M255" i="10"/>
  <c r="M256" i="10"/>
  <c r="M257" i="10"/>
  <c r="M258" i="10"/>
  <c r="M259" i="10"/>
  <c r="M260" i="10"/>
  <c r="M261" i="10"/>
  <c r="M262" i="10"/>
  <c r="M263" i="10"/>
  <c r="M264" i="10"/>
  <c r="M265" i="10"/>
  <c r="M266" i="10"/>
  <c r="M267" i="10"/>
  <c r="M268" i="10"/>
  <c r="M269" i="10"/>
  <c r="M270" i="10"/>
  <c r="M271" i="10"/>
  <c r="M272" i="10"/>
  <c r="M273" i="10"/>
  <c r="M274" i="10"/>
  <c r="M275" i="10"/>
  <c r="M276" i="10"/>
  <c r="M277" i="10"/>
  <c r="M278" i="10"/>
  <c r="M279" i="10"/>
  <c r="M280" i="10"/>
  <c r="M281" i="10"/>
  <c r="M282" i="10"/>
  <c r="M283" i="10"/>
  <c r="M284" i="10"/>
  <c r="M285" i="10"/>
  <c r="M286" i="10"/>
  <c r="M287" i="10"/>
  <c r="M288" i="10"/>
  <c r="M289" i="10"/>
  <c r="M290" i="10"/>
  <c r="M291" i="10"/>
  <c r="M292" i="10"/>
  <c r="M293" i="10"/>
  <c r="M294" i="10"/>
  <c r="M295" i="10"/>
  <c r="M296" i="10"/>
  <c r="M297" i="10"/>
  <c r="M298" i="10"/>
  <c r="M299" i="10"/>
  <c r="M300" i="10"/>
  <c r="M301" i="10"/>
  <c r="M302" i="10"/>
  <c r="M303" i="10"/>
  <c r="M304" i="10"/>
  <c r="M305" i="10"/>
  <c r="M306" i="10"/>
  <c r="M307" i="10"/>
  <c r="M308" i="10"/>
  <c r="M309" i="10"/>
  <c r="M310" i="10"/>
  <c r="M311" i="10"/>
  <c r="M312" i="10"/>
  <c r="M313" i="10"/>
  <c r="M314" i="10"/>
  <c r="M315" i="10"/>
  <c r="M316" i="10"/>
  <c r="M317" i="10"/>
  <c r="M318" i="10"/>
  <c r="M319" i="10"/>
  <c r="M320" i="10"/>
  <c r="M321" i="10"/>
  <c r="M322" i="10"/>
  <c r="M323" i="10"/>
  <c r="M324" i="10"/>
  <c r="M325" i="10"/>
  <c r="M326" i="10"/>
  <c r="M327" i="10"/>
  <c r="M328" i="10"/>
  <c r="M329" i="10"/>
  <c r="M330" i="10"/>
  <c r="M331" i="10"/>
  <c r="M332" i="10"/>
  <c r="M333" i="10"/>
  <c r="M334" i="10"/>
  <c r="M335" i="10"/>
  <c r="M336" i="10"/>
  <c r="M337" i="10"/>
  <c r="M338" i="10"/>
  <c r="M339" i="10"/>
  <c r="M340" i="10"/>
  <c r="M341" i="10"/>
  <c r="M342" i="10"/>
  <c r="M343" i="10"/>
  <c r="M344" i="10"/>
  <c r="M345" i="10"/>
  <c r="M346" i="10"/>
  <c r="M347" i="10"/>
  <c r="M348" i="10"/>
  <c r="M349" i="10"/>
  <c r="M350" i="10"/>
  <c r="M351" i="10"/>
  <c r="M352" i="10"/>
  <c r="M353" i="10"/>
  <c r="M354" i="10"/>
  <c r="M355" i="10"/>
  <c r="M356" i="10"/>
  <c r="M357" i="10"/>
  <c r="M358" i="10"/>
  <c r="M359" i="10"/>
  <c r="M360" i="10"/>
  <c r="M361" i="10"/>
  <c r="M362" i="10"/>
  <c r="M363" i="10"/>
  <c r="M364" i="10"/>
  <c r="M365" i="10"/>
  <c r="M366" i="10"/>
  <c r="M367" i="10"/>
  <c r="M368" i="10"/>
  <c r="M369" i="10"/>
  <c r="M370" i="10"/>
  <c r="M371" i="10"/>
  <c r="M372" i="10"/>
  <c r="M373" i="10"/>
  <c r="M374" i="10"/>
  <c r="M375" i="10"/>
  <c r="M376" i="10"/>
  <c r="M377" i="10"/>
  <c r="M378" i="10"/>
  <c r="M379" i="10"/>
  <c r="M380" i="10"/>
  <c r="M381" i="10"/>
  <c r="M382" i="10"/>
  <c r="M383" i="10"/>
  <c r="M384" i="10"/>
  <c r="M385" i="10"/>
  <c r="M386" i="10"/>
  <c r="M387" i="10"/>
  <c r="M388" i="10"/>
  <c r="M389" i="10"/>
  <c r="M390" i="10"/>
  <c r="M391" i="10"/>
  <c r="M392" i="10"/>
  <c r="M393" i="10"/>
  <c r="M394" i="10"/>
  <c r="M395" i="10"/>
  <c r="M396" i="10"/>
  <c r="M397" i="10"/>
  <c r="M398" i="10"/>
  <c r="M399" i="10"/>
  <c r="M400" i="10"/>
  <c r="M401" i="10"/>
  <c r="M402" i="10"/>
  <c r="M403" i="10"/>
  <c r="M404" i="10"/>
  <c r="M405" i="10"/>
  <c r="M406" i="10"/>
  <c r="M407" i="10"/>
  <c r="M408" i="10"/>
  <c r="M409" i="10"/>
  <c r="M410" i="10"/>
  <c r="M411" i="10"/>
  <c r="M412" i="10"/>
  <c r="M413" i="10"/>
  <c r="M414" i="10"/>
  <c r="M415" i="10"/>
  <c r="M416" i="10"/>
  <c r="M417" i="10"/>
  <c r="M418" i="10"/>
  <c r="M419" i="10"/>
  <c r="M420" i="10"/>
  <c r="M421" i="10"/>
  <c r="M422" i="10"/>
  <c r="M423" i="10"/>
  <c r="M424" i="10"/>
  <c r="M425" i="10"/>
  <c r="M426" i="10"/>
  <c r="M427" i="10"/>
  <c r="M428" i="10"/>
  <c r="M429" i="10"/>
  <c r="M430" i="10"/>
  <c r="M431" i="10"/>
  <c r="M432" i="10"/>
  <c r="M433" i="10"/>
  <c r="M434" i="10"/>
  <c r="M435" i="10"/>
  <c r="M436" i="10"/>
  <c r="M437" i="10"/>
  <c r="M438" i="10"/>
  <c r="M439" i="10"/>
  <c r="M440" i="10"/>
  <c r="M441" i="10"/>
  <c r="M442" i="10"/>
  <c r="M443" i="10"/>
  <c r="M444" i="10"/>
  <c r="M445" i="10"/>
  <c r="M446" i="10"/>
  <c r="M447" i="10"/>
  <c r="M448" i="10"/>
  <c r="M449" i="10"/>
  <c r="M450" i="10"/>
  <c r="M451" i="10"/>
  <c r="M452" i="10"/>
  <c r="M453" i="10"/>
  <c r="M454" i="10"/>
  <c r="M455" i="10"/>
  <c r="M456" i="10"/>
  <c r="M457" i="10"/>
  <c r="M458" i="10"/>
  <c r="M459" i="10"/>
  <c r="M460" i="10"/>
  <c r="M461" i="10"/>
  <c r="M462" i="10"/>
  <c r="M463" i="10"/>
  <c r="M464" i="10"/>
  <c r="M465" i="10"/>
  <c r="M466" i="10"/>
  <c r="M467" i="10"/>
  <c r="M468" i="10"/>
  <c r="M469" i="10"/>
  <c r="M470" i="10"/>
  <c r="M471" i="10"/>
  <c r="M472" i="10"/>
  <c r="M473" i="10"/>
  <c r="M474" i="10"/>
  <c r="M475" i="10"/>
  <c r="M476" i="10"/>
  <c r="M477" i="10"/>
  <c r="M478" i="10"/>
  <c r="M479" i="10"/>
  <c r="M480" i="10"/>
  <c r="M481" i="10"/>
  <c r="M482" i="10"/>
  <c r="M483" i="10"/>
  <c r="M484" i="10"/>
  <c r="M485" i="10"/>
  <c r="M486" i="10"/>
  <c r="M487" i="10"/>
  <c r="M488" i="10"/>
  <c r="M489" i="10"/>
  <c r="M490" i="10"/>
  <c r="M491" i="10"/>
  <c r="M492" i="10"/>
  <c r="M493" i="10"/>
  <c r="M494" i="10"/>
  <c r="M495" i="10"/>
  <c r="M496" i="10"/>
  <c r="M497" i="10"/>
  <c r="M498" i="10"/>
  <c r="M499" i="10"/>
  <c r="M500" i="10"/>
  <c r="M501" i="10"/>
  <c r="M502" i="10"/>
  <c r="M503" i="10"/>
  <c r="M504" i="10"/>
  <c r="M505" i="10"/>
  <c r="M506" i="10"/>
  <c r="M507" i="10"/>
  <c r="M508" i="10"/>
  <c r="M509" i="10"/>
  <c r="M510" i="10"/>
  <c r="M511" i="10"/>
  <c r="M512" i="10"/>
  <c r="M513" i="10"/>
  <c r="M514" i="10"/>
  <c r="M515" i="10"/>
  <c r="M516" i="10"/>
  <c r="M517" i="10"/>
  <c r="M518" i="10"/>
  <c r="M519" i="10"/>
  <c r="M520" i="10"/>
  <c r="M521" i="10"/>
  <c r="M522" i="10"/>
  <c r="M523" i="10"/>
  <c r="M524" i="10"/>
  <c r="M525" i="10"/>
  <c r="M526" i="10"/>
  <c r="M527" i="10"/>
  <c r="M528" i="10"/>
  <c r="M529" i="10"/>
  <c r="M530" i="10"/>
  <c r="M531" i="10"/>
  <c r="M532" i="10"/>
  <c r="M533" i="10"/>
  <c r="M534" i="10"/>
  <c r="M535" i="10"/>
  <c r="M536" i="10"/>
  <c r="M537" i="10"/>
  <c r="M538" i="10"/>
  <c r="M539" i="10"/>
  <c r="M540" i="10"/>
  <c r="M541" i="10"/>
  <c r="M542" i="10"/>
  <c r="M543" i="10"/>
  <c r="M544" i="10"/>
  <c r="M545" i="10"/>
  <c r="M546" i="10"/>
  <c r="M547" i="10"/>
  <c r="M548" i="10"/>
  <c r="M549" i="10"/>
  <c r="M550" i="10"/>
  <c r="M551" i="10"/>
  <c r="M552" i="10"/>
  <c r="M553" i="10"/>
  <c r="M554" i="10"/>
  <c r="M555" i="10"/>
  <c r="M556" i="10"/>
  <c r="M557" i="10"/>
  <c r="M558" i="10"/>
  <c r="M559" i="10"/>
  <c r="M560" i="10"/>
  <c r="M561" i="10"/>
  <c r="M562" i="10"/>
  <c r="M563" i="10"/>
  <c r="M564" i="10"/>
  <c r="M565" i="10"/>
  <c r="M566" i="10"/>
  <c r="M567" i="10"/>
  <c r="M568" i="10"/>
  <c r="M569" i="10"/>
  <c r="M570" i="10"/>
  <c r="M571" i="10"/>
  <c r="M572" i="10"/>
  <c r="M573" i="10"/>
  <c r="M574" i="10"/>
  <c r="M575" i="10"/>
  <c r="M576" i="10"/>
  <c r="M577" i="10"/>
  <c r="M578" i="10"/>
  <c r="M579" i="10"/>
  <c r="M580" i="10"/>
  <c r="M581" i="10"/>
  <c r="M582" i="10"/>
  <c r="M583" i="10"/>
  <c r="M584" i="10"/>
  <c r="M585" i="10"/>
  <c r="M586" i="10"/>
  <c r="M587" i="10"/>
  <c r="M588" i="10"/>
  <c r="M589" i="10"/>
  <c r="M590" i="10"/>
  <c r="M591" i="10"/>
  <c r="M592" i="10"/>
  <c r="M593" i="10"/>
  <c r="M594" i="10"/>
  <c r="M595" i="10"/>
  <c r="M596" i="10"/>
  <c r="M597" i="10"/>
  <c r="M598" i="10"/>
  <c r="M599" i="10"/>
  <c r="M600" i="10"/>
  <c r="M601" i="10"/>
  <c r="M602" i="10"/>
  <c r="M603" i="10"/>
  <c r="M604" i="10"/>
  <c r="M605" i="10"/>
  <c r="M606" i="10"/>
  <c r="M607" i="10"/>
  <c r="M608" i="10"/>
  <c r="M609" i="10"/>
  <c r="M610" i="10"/>
  <c r="M611" i="10"/>
  <c r="M612" i="10"/>
  <c r="M613" i="10"/>
  <c r="M614" i="10"/>
  <c r="M615" i="10"/>
  <c r="M616" i="10"/>
  <c r="M617" i="10"/>
  <c r="M618" i="10"/>
  <c r="M619" i="10"/>
  <c r="M620" i="10"/>
  <c r="M621" i="10"/>
  <c r="M622" i="10"/>
  <c r="M623" i="10"/>
  <c r="M624" i="10"/>
  <c r="M625" i="10"/>
  <c r="M626" i="10"/>
  <c r="M627" i="10"/>
  <c r="M628" i="10"/>
  <c r="M629" i="10"/>
  <c r="M630" i="10"/>
  <c r="M631" i="10"/>
  <c r="M632" i="10"/>
  <c r="M633" i="10"/>
  <c r="M634" i="10"/>
  <c r="M635" i="10"/>
  <c r="M636" i="10"/>
  <c r="M637" i="10"/>
  <c r="M638" i="10"/>
  <c r="M639" i="10"/>
  <c r="M640" i="10"/>
  <c r="M641" i="10"/>
  <c r="M642" i="10"/>
  <c r="M643" i="10"/>
  <c r="M644" i="10"/>
  <c r="M645" i="10"/>
  <c r="M646" i="10"/>
  <c r="M647" i="10"/>
  <c r="M648" i="10"/>
  <c r="M649" i="10"/>
  <c r="M650" i="10"/>
  <c r="M651" i="10"/>
  <c r="M652" i="10"/>
  <c r="M653" i="10"/>
  <c r="M654" i="10"/>
  <c r="M655" i="10"/>
  <c r="M656" i="10"/>
  <c r="M657" i="10"/>
  <c r="M658" i="10"/>
  <c r="M659" i="10"/>
  <c r="M660" i="10"/>
  <c r="M661" i="10"/>
  <c r="M662" i="10"/>
  <c r="M663" i="10"/>
  <c r="M664" i="10"/>
  <c r="M665" i="10"/>
  <c r="M666" i="10"/>
  <c r="M667" i="10"/>
  <c r="M668" i="10"/>
  <c r="M669" i="10"/>
  <c r="M670" i="10"/>
  <c r="M671" i="10"/>
  <c r="M672" i="10"/>
  <c r="M673" i="10"/>
  <c r="M674" i="10"/>
  <c r="M675" i="10"/>
  <c r="M676" i="10"/>
  <c r="M677" i="10"/>
  <c r="M678" i="10"/>
  <c r="M679" i="10"/>
  <c r="M680" i="10"/>
  <c r="M681" i="10"/>
  <c r="M682" i="10"/>
  <c r="M683" i="10"/>
  <c r="M684" i="10"/>
  <c r="M685" i="10"/>
  <c r="M686" i="10"/>
  <c r="M687" i="10"/>
  <c r="M688" i="10"/>
  <c r="M689" i="10"/>
  <c r="M690" i="10"/>
  <c r="M691" i="10"/>
  <c r="M692" i="10"/>
  <c r="M693" i="10"/>
  <c r="M694" i="10"/>
  <c r="M695" i="10"/>
  <c r="M696" i="10"/>
  <c r="M697" i="10"/>
  <c r="M698" i="10"/>
  <c r="M699" i="10"/>
  <c r="M700" i="10"/>
  <c r="M701" i="10"/>
  <c r="M702" i="10"/>
  <c r="M703" i="10"/>
  <c r="M704" i="10"/>
  <c r="M705" i="10"/>
  <c r="M706" i="10"/>
  <c r="M707" i="10"/>
  <c r="M708" i="10"/>
  <c r="M709" i="10"/>
  <c r="M710" i="10"/>
  <c r="M711" i="10"/>
  <c r="M712" i="10"/>
  <c r="M713" i="10"/>
  <c r="M714" i="10"/>
  <c r="M715" i="10"/>
  <c r="M716" i="10"/>
  <c r="M717" i="10"/>
  <c r="M718" i="10"/>
  <c r="M719" i="10"/>
  <c r="M720" i="10"/>
  <c r="M721" i="10"/>
  <c r="M722" i="10"/>
  <c r="M723" i="10"/>
  <c r="M724" i="10"/>
  <c r="M725" i="10"/>
  <c r="M726" i="10"/>
  <c r="M727" i="10"/>
  <c r="M728" i="10"/>
  <c r="M729" i="10"/>
  <c r="M730" i="10"/>
  <c r="M731" i="10"/>
  <c r="M732" i="10"/>
  <c r="M733" i="10"/>
  <c r="M734" i="10"/>
  <c r="M735" i="10"/>
  <c r="M736" i="10"/>
  <c r="M737" i="10"/>
  <c r="M738" i="10"/>
  <c r="M739" i="10"/>
  <c r="M740" i="10"/>
  <c r="M741" i="10"/>
  <c r="M742" i="10"/>
  <c r="M743" i="10"/>
  <c r="M744" i="10"/>
  <c r="M745" i="10"/>
  <c r="M746" i="10"/>
  <c r="M747" i="10"/>
  <c r="M748" i="10"/>
  <c r="M749" i="10"/>
  <c r="M750" i="10"/>
  <c r="M751" i="10"/>
  <c r="M752" i="10"/>
  <c r="M753" i="10"/>
  <c r="M754" i="10"/>
  <c r="M755" i="10"/>
  <c r="M756" i="10"/>
  <c r="M757" i="10"/>
  <c r="M758" i="10"/>
  <c r="M759" i="10"/>
  <c r="M760" i="10"/>
  <c r="M761" i="10"/>
  <c r="M762" i="10"/>
  <c r="M763" i="10"/>
  <c r="M764" i="10"/>
  <c r="M765" i="10"/>
  <c r="M766" i="10"/>
  <c r="M767" i="10"/>
  <c r="M768" i="10"/>
  <c r="M769" i="10"/>
  <c r="M770" i="10"/>
  <c r="M771" i="10"/>
  <c r="M772" i="10"/>
  <c r="M773" i="10"/>
  <c r="M774" i="10"/>
  <c r="M775" i="10"/>
  <c r="M776" i="10"/>
  <c r="M777" i="10"/>
  <c r="M778" i="10"/>
  <c r="M779" i="10"/>
  <c r="M780" i="10"/>
  <c r="M781" i="10"/>
  <c r="M782" i="10"/>
  <c r="M783" i="10"/>
  <c r="M784" i="10"/>
  <c r="M785" i="10"/>
  <c r="M786" i="10"/>
  <c r="M787" i="10"/>
  <c r="M788" i="10"/>
  <c r="M789" i="10"/>
  <c r="M790" i="10"/>
  <c r="M791" i="10"/>
  <c r="M792" i="10"/>
  <c r="M793" i="10"/>
  <c r="M794" i="10"/>
  <c r="M795" i="10"/>
  <c r="M796" i="10"/>
  <c r="M797" i="10"/>
  <c r="M798" i="10"/>
  <c r="M799" i="10"/>
  <c r="M800" i="10"/>
  <c r="M801" i="10"/>
  <c r="M802" i="10"/>
  <c r="M803" i="10"/>
  <c r="M804" i="10"/>
  <c r="M805" i="10"/>
  <c r="M806" i="10"/>
  <c r="M807" i="10"/>
  <c r="M808" i="10"/>
  <c r="M809" i="10"/>
  <c r="M810" i="10"/>
  <c r="M811" i="10"/>
  <c r="M812" i="10"/>
  <c r="M813" i="10"/>
  <c r="M814" i="10"/>
  <c r="M815" i="10"/>
  <c r="M816" i="10"/>
  <c r="M817" i="10"/>
  <c r="M818" i="10"/>
  <c r="M819" i="10"/>
  <c r="M820" i="10"/>
  <c r="M821" i="10"/>
  <c r="M822" i="10"/>
  <c r="M823" i="10"/>
  <c r="M824" i="10"/>
  <c r="M825" i="10"/>
  <c r="M826" i="10"/>
  <c r="M827" i="10"/>
  <c r="M828" i="10"/>
  <c r="M829" i="10"/>
  <c r="M830" i="10"/>
  <c r="M831" i="10"/>
  <c r="M832" i="10"/>
  <c r="M833" i="10"/>
  <c r="M834" i="10"/>
  <c r="M835" i="10"/>
  <c r="M836" i="10"/>
  <c r="M837" i="10"/>
  <c r="M838" i="10"/>
  <c r="M839" i="10"/>
  <c r="M840" i="10"/>
  <c r="M841" i="10"/>
  <c r="M842" i="10"/>
  <c r="M843" i="10"/>
  <c r="M844" i="10"/>
  <c r="M845" i="10"/>
  <c r="M846" i="10"/>
  <c r="M847" i="10"/>
  <c r="M848" i="10"/>
  <c r="M849" i="10"/>
  <c r="M850" i="10"/>
  <c r="M851" i="10"/>
  <c r="M852" i="10"/>
  <c r="M853" i="10"/>
  <c r="M854" i="10"/>
  <c r="M855" i="10"/>
  <c r="M856" i="10"/>
  <c r="M857" i="10"/>
  <c r="M858" i="10"/>
  <c r="M859" i="10"/>
  <c r="M860" i="10"/>
  <c r="M861" i="10"/>
  <c r="M862" i="10"/>
  <c r="M863" i="10"/>
  <c r="M864" i="10"/>
  <c r="M865" i="10"/>
  <c r="M866" i="10"/>
  <c r="M867" i="10"/>
  <c r="M868" i="10"/>
  <c r="M869" i="10"/>
  <c r="M870" i="10"/>
  <c r="M871" i="10"/>
  <c r="M872" i="10"/>
  <c r="M873" i="10"/>
  <c r="M874" i="10"/>
  <c r="M875" i="10"/>
  <c r="M876" i="10"/>
  <c r="M877" i="10"/>
  <c r="M878" i="10"/>
  <c r="M879" i="10"/>
  <c r="M880" i="10"/>
  <c r="M881" i="10"/>
  <c r="M882" i="10"/>
  <c r="M883" i="10"/>
  <c r="M884" i="10"/>
  <c r="M885" i="10"/>
  <c r="M886" i="10"/>
  <c r="M887" i="10"/>
  <c r="M888" i="10"/>
  <c r="M889" i="10"/>
  <c r="M890" i="10"/>
  <c r="M891" i="10"/>
  <c r="M892" i="10"/>
  <c r="M893" i="10"/>
  <c r="M894" i="10"/>
  <c r="M895" i="10"/>
  <c r="M896" i="10"/>
  <c r="M897" i="10"/>
  <c r="M898" i="10"/>
  <c r="M899" i="10"/>
  <c r="M900" i="10"/>
  <c r="M901" i="10"/>
  <c r="M902" i="10"/>
  <c r="M903" i="10"/>
  <c r="M904" i="10"/>
  <c r="M905" i="10"/>
  <c r="M906" i="10"/>
  <c r="M907" i="10"/>
  <c r="M908" i="10"/>
  <c r="M909" i="10"/>
  <c r="M910" i="10"/>
  <c r="M911" i="10"/>
  <c r="M912" i="10"/>
  <c r="M913" i="10"/>
  <c r="M914" i="10"/>
  <c r="M915" i="10"/>
  <c r="M916" i="10"/>
  <c r="M917" i="10"/>
  <c r="M918" i="10"/>
  <c r="M919" i="10"/>
  <c r="M920" i="10"/>
  <c r="M921" i="10"/>
  <c r="M922" i="10"/>
  <c r="M923" i="10"/>
  <c r="M924" i="10"/>
  <c r="M925" i="10"/>
  <c r="M926" i="10"/>
  <c r="M927" i="10"/>
  <c r="M928" i="10"/>
  <c r="M929" i="10"/>
  <c r="M930" i="10"/>
  <c r="M931" i="10"/>
  <c r="M932" i="10"/>
  <c r="M933" i="10"/>
  <c r="M934" i="10"/>
  <c r="M935" i="10"/>
  <c r="M936" i="10"/>
  <c r="M937" i="10"/>
  <c r="M938" i="10"/>
  <c r="M939" i="10"/>
  <c r="M940" i="10"/>
  <c r="M941" i="10"/>
  <c r="M942" i="10"/>
  <c r="M943" i="10"/>
  <c r="M944" i="10"/>
  <c r="M945" i="10"/>
  <c r="M946" i="10"/>
  <c r="M947" i="10"/>
  <c r="M948" i="10"/>
  <c r="M949" i="10"/>
  <c r="M950" i="10"/>
  <c r="M951" i="10"/>
  <c r="M952" i="10"/>
  <c r="M953" i="10"/>
  <c r="M954" i="10"/>
  <c r="M955" i="10"/>
  <c r="M956" i="10"/>
  <c r="M957" i="10"/>
  <c r="M958" i="10"/>
  <c r="M959" i="10"/>
  <c r="M960" i="10"/>
  <c r="M961" i="10"/>
  <c r="M962" i="10"/>
  <c r="M963" i="10"/>
  <c r="M964" i="10"/>
  <c r="M965" i="10"/>
  <c r="M966" i="10"/>
  <c r="M967" i="10"/>
  <c r="M968" i="10"/>
  <c r="M969" i="10"/>
  <c r="M970" i="10"/>
  <c r="M971" i="10"/>
  <c r="M972" i="10"/>
  <c r="M973" i="10"/>
  <c r="M974" i="10"/>
  <c r="M975" i="10"/>
  <c r="M976" i="10"/>
  <c r="M977" i="10"/>
  <c r="M978" i="10"/>
  <c r="M979" i="10"/>
  <c r="M980" i="10"/>
  <c r="M981" i="10"/>
  <c r="M982" i="10"/>
  <c r="M983" i="10"/>
  <c r="M984" i="10"/>
  <c r="M985" i="10"/>
  <c r="M986" i="10"/>
  <c r="M987" i="10"/>
  <c r="M988" i="10"/>
  <c r="M989" i="10"/>
  <c r="M990" i="10"/>
  <c r="M991" i="10"/>
  <c r="M992" i="10"/>
  <c r="M993" i="10"/>
  <c r="M994" i="10"/>
  <c r="M995" i="10"/>
  <c r="M996" i="10"/>
  <c r="M997" i="10"/>
  <c r="M998" i="10"/>
  <c r="M999" i="10"/>
  <c r="M1000" i="10"/>
  <c r="M1001" i="10"/>
  <c r="M1002" i="10"/>
  <c r="M1003" i="10"/>
  <c r="M1004" i="10"/>
  <c r="M1005" i="10"/>
  <c r="M1006" i="10"/>
  <c r="M1007" i="10"/>
  <c r="M1008" i="10"/>
  <c r="M1009" i="10"/>
  <c r="M1010" i="10"/>
  <c r="M1011" i="10"/>
  <c r="M1012" i="10"/>
  <c r="M1013" i="10"/>
  <c r="M1014" i="10"/>
  <c r="M1015" i="10"/>
  <c r="M1016" i="10"/>
  <c r="M1017" i="10"/>
  <c r="M1018" i="10"/>
  <c r="M1019" i="10"/>
  <c r="M1020" i="10"/>
  <c r="M1021" i="10"/>
  <c r="M1022" i="10"/>
  <c r="M1023" i="10"/>
  <c r="M1024" i="10"/>
  <c r="M1025" i="10"/>
  <c r="M1026" i="10"/>
  <c r="M1027" i="10"/>
  <c r="M1028" i="10"/>
  <c r="M1029" i="10"/>
  <c r="M1030" i="10"/>
  <c r="M1031" i="10"/>
  <c r="M1032" i="10"/>
  <c r="M1033" i="10"/>
  <c r="M1034" i="10"/>
  <c r="M1035" i="10"/>
  <c r="M1036" i="10"/>
  <c r="M1037" i="10"/>
  <c r="M1038" i="10"/>
  <c r="M1039" i="10"/>
  <c r="M1040" i="10"/>
  <c r="M1041" i="10"/>
  <c r="M1042" i="10"/>
  <c r="M1043" i="10"/>
  <c r="M1044" i="10"/>
  <c r="M1045" i="10"/>
  <c r="M1046" i="10"/>
  <c r="M1047" i="10"/>
  <c r="M1048" i="10"/>
  <c r="M1049" i="10"/>
  <c r="M1050" i="10"/>
  <c r="M1051" i="10"/>
  <c r="M1052" i="10"/>
  <c r="M1053" i="10"/>
  <c r="M1054" i="10"/>
  <c r="M1055" i="10"/>
  <c r="M1056" i="10"/>
  <c r="M1057" i="10"/>
  <c r="M1058" i="10"/>
  <c r="M1059" i="10"/>
  <c r="M1060" i="10"/>
  <c r="M1061" i="10"/>
  <c r="M1062" i="10"/>
  <c r="M1063" i="10"/>
  <c r="M1064" i="10"/>
  <c r="M1065" i="10"/>
  <c r="M1066" i="10"/>
  <c r="M1067" i="10"/>
  <c r="M1068" i="10"/>
  <c r="M1069" i="10"/>
  <c r="M1070" i="10"/>
  <c r="M1071" i="10"/>
  <c r="M1072" i="10"/>
  <c r="M1073" i="10"/>
  <c r="M1074" i="10"/>
  <c r="M1075" i="10"/>
  <c r="M1076" i="10"/>
  <c r="M1077" i="10"/>
  <c r="M1078" i="10"/>
  <c r="M1079" i="10"/>
  <c r="M1080" i="10"/>
  <c r="M1081" i="10"/>
  <c r="M1082" i="10"/>
  <c r="M1083" i="10"/>
  <c r="M1084" i="10"/>
  <c r="M1085" i="10"/>
  <c r="M1086" i="10"/>
  <c r="M1087" i="10"/>
  <c r="M1088" i="10"/>
  <c r="M1089" i="10"/>
  <c r="M1090" i="10"/>
  <c r="M1091" i="10"/>
  <c r="M1092" i="10"/>
  <c r="M1093" i="10"/>
  <c r="M1094" i="10"/>
  <c r="M1095" i="10"/>
  <c r="M1096" i="10"/>
  <c r="M1097" i="10"/>
  <c r="M1098" i="10"/>
  <c r="M1099" i="10"/>
  <c r="M1100" i="10"/>
  <c r="M1101" i="10"/>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C5" i="4" a="1"/>
  <c r="C5" i="4" s="1"/>
  <c r="O1101" i="10"/>
  <c r="P1101" i="10" s="1"/>
  <c r="N1101" i="10"/>
  <c r="L1101" i="10"/>
  <c r="J1101" i="10"/>
  <c r="I1101" i="10"/>
  <c r="H1101" i="10"/>
  <c r="O1100" i="10"/>
  <c r="P1100" i="10" s="1"/>
  <c r="N1100" i="10"/>
  <c r="L1100" i="10"/>
  <c r="J1100" i="10"/>
  <c r="I1100" i="10"/>
  <c r="H1100" i="10"/>
  <c r="O1099" i="10"/>
  <c r="P1099" i="10" s="1"/>
  <c r="N1099" i="10"/>
  <c r="L1099" i="10"/>
  <c r="J1099" i="10"/>
  <c r="I1099" i="10"/>
  <c r="H1099" i="10"/>
  <c r="O1098" i="10"/>
  <c r="K1098" i="10" s="1"/>
  <c r="N1098" i="10"/>
  <c r="L1098" i="10"/>
  <c r="J1098" i="10"/>
  <c r="I1098" i="10"/>
  <c r="H1098" i="10"/>
  <c r="O1097" i="10"/>
  <c r="P1097" i="10" s="1"/>
  <c r="N1097" i="10"/>
  <c r="L1097" i="10"/>
  <c r="J1097" i="10"/>
  <c r="I1097" i="10"/>
  <c r="H1097" i="10"/>
  <c r="O1096" i="10"/>
  <c r="P1096" i="10" s="1"/>
  <c r="N1096" i="10"/>
  <c r="L1096" i="10"/>
  <c r="J1096" i="10"/>
  <c r="I1096" i="10"/>
  <c r="H1096" i="10"/>
  <c r="O1095" i="10"/>
  <c r="N1095" i="10"/>
  <c r="L1095" i="10"/>
  <c r="J1095" i="10"/>
  <c r="I1095" i="10"/>
  <c r="H1095" i="10"/>
  <c r="O1094" i="10"/>
  <c r="P1094" i="10" s="1"/>
  <c r="N1094" i="10"/>
  <c r="L1094" i="10"/>
  <c r="J1094" i="10"/>
  <c r="I1094" i="10"/>
  <c r="H1094" i="10"/>
  <c r="O1093" i="10"/>
  <c r="K1093" i="10" s="1"/>
  <c r="N1093" i="10"/>
  <c r="L1093" i="10"/>
  <c r="J1093" i="10"/>
  <c r="I1093" i="10"/>
  <c r="H1093" i="10"/>
  <c r="O1092" i="10"/>
  <c r="N1092" i="10"/>
  <c r="L1092" i="10"/>
  <c r="J1092" i="10"/>
  <c r="I1092" i="10"/>
  <c r="H1092" i="10"/>
  <c r="O1091" i="10"/>
  <c r="P1091" i="10" s="1"/>
  <c r="N1091" i="10"/>
  <c r="L1091" i="10"/>
  <c r="J1091" i="10"/>
  <c r="I1091" i="10"/>
  <c r="H1091" i="10"/>
  <c r="O1090" i="10"/>
  <c r="P1090" i="10" s="1"/>
  <c r="N1090" i="10"/>
  <c r="L1090" i="10"/>
  <c r="J1090" i="10"/>
  <c r="I1090" i="10"/>
  <c r="H1090" i="10"/>
  <c r="O1089" i="10"/>
  <c r="K1089" i="10" s="1"/>
  <c r="N1089" i="10"/>
  <c r="L1089" i="10"/>
  <c r="J1089" i="10"/>
  <c r="I1089" i="10"/>
  <c r="H1089" i="10"/>
  <c r="O1088" i="10"/>
  <c r="P1088" i="10" s="1"/>
  <c r="N1088" i="10"/>
  <c r="L1088" i="10"/>
  <c r="J1088" i="10"/>
  <c r="I1088" i="10"/>
  <c r="H1088" i="10"/>
  <c r="O1087" i="10"/>
  <c r="K1087" i="10" s="1"/>
  <c r="N1087" i="10"/>
  <c r="L1087" i="10"/>
  <c r="J1087" i="10"/>
  <c r="I1087" i="10"/>
  <c r="H1087" i="10"/>
  <c r="O1086" i="10"/>
  <c r="P1086" i="10" s="1"/>
  <c r="N1086" i="10"/>
  <c r="L1086" i="10"/>
  <c r="J1086" i="10"/>
  <c r="I1086" i="10"/>
  <c r="H1086" i="10"/>
  <c r="O1085" i="10"/>
  <c r="P1085" i="10" s="1"/>
  <c r="N1085" i="10"/>
  <c r="L1085" i="10"/>
  <c r="J1085" i="10"/>
  <c r="I1085" i="10"/>
  <c r="H1085" i="10"/>
  <c r="O1084" i="10"/>
  <c r="P1084" i="10" s="1"/>
  <c r="N1084" i="10"/>
  <c r="L1084" i="10"/>
  <c r="J1084" i="10"/>
  <c r="I1084" i="10"/>
  <c r="H1084" i="10"/>
  <c r="O1083" i="10"/>
  <c r="K1083" i="10" s="1"/>
  <c r="N1083" i="10"/>
  <c r="L1083" i="10"/>
  <c r="J1083" i="10"/>
  <c r="I1083" i="10"/>
  <c r="H1083" i="10"/>
  <c r="O1082" i="10"/>
  <c r="P1082" i="10" s="1"/>
  <c r="N1082" i="10"/>
  <c r="L1082" i="10"/>
  <c r="J1082" i="10"/>
  <c r="I1082" i="10"/>
  <c r="H1082" i="10"/>
  <c r="O1081" i="10"/>
  <c r="P1081" i="10" s="1"/>
  <c r="N1081" i="10"/>
  <c r="L1081" i="10"/>
  <c r="J1081" i="10"/>
  <c r="I1081" i="10"/>
  <c r="H1081" i="10"/>
  <c r="O1080" i="10"/>
  <c r="K1080" i="10" s="1"/>
  <c r="N1080" i="10"/>
  <c r="L1080" i="10"/>
  <c r="J1080" i="10"/>
  <c r="I1080" i="10"/>
  <c r="H1080" i="10"/>
  <c r="O1079" i="10"/>
  <c r="P1079" i="10" s="1"/>
  <c r="N1079" i="10"/>
  <c r="L1079" i="10"/>
  <c r="J1079" i="10"/>
  <c r="I1079" i="10"/>
  <c r="H1079" i="10"/>
  <c r="O1078" i="10"/>
  <c r="P1078" i="10" s="1"/>
  <c r="N1078" i="10"/>
  <c r="L1078" i="10"/>
  <c r="J1078" i="10"/>
  <c r="I1078" i="10"/>
  <c r="H1078" i="10"/>
  <c r="O1077" i="10"/>
  <c r="K1077" i="10" s="1"/>
  <c r="N1077" i="10"/>
  <c r="L1077" i="10"/>
  <c r="J1077" i="10"/>
  <c r="I1077" i="10"/>
  <c r="H1077" i="10"/>
  <c r="O1076" i="10"/>
  <c r="K1076" i="10" s="1"/>
  <c r="N1076" i="10"/>
  <c r="L1076" i="10"/>
  <c r="J1076" i="10"/>
  <c r="I1076" i="10"/>
  <c r="H1076" i="10"/>
  <c r="O1075" i="10"/>
  <c r="P1075" i="10" s="1"/>
  <c r="N1075" i="10"/>
  <c r="L1075" i="10"/>
  <c r="J1075" i="10"/>
  <c r="I1075" i="10"/>
  <c r="H1075" i="10"/>
  <c r="O1074" i="10"/>
  <c r="P1074" i="10" s="1"/>
  <c r="N1074" i="10"/>
  <c r="L1074" i="10"/>
  <c r="J1074" i="10"/>
  <c r="I1074" i="10"/>
  <c r="H1074" i="10"/>
  <c r="O1073" i="10"/>
  <c r="K1073" i="10" s="1"/>
  <c r="N1073" i="10"/>
  <c r="L1073" i="10"/>
  <c r="J1073" i="10"/>
  <c r="I1073" i="10"/>
  <c r="H1073" i="10"/>
  <c r="O1072" i="10"/>
  <c r="P1072" i="10" s="1"/>
  <c r="N1072" i="10"/>
  <c r="L1072" i="10"/>
  <c r="J1072" i="10"/>
  <c r="I1072" i="10"/>
  <c r="H1072" i="10"/>
  <c r="O1071" i="10"/>
  <c r="K1071" i="10" s="1"/>
  <c r="N1071" i="10"/>
  <c r="L1071" i="10"/>
  <c r="J1071" i="10"/>
  <c r="I1071" i="10"/>
  <c r="H1071" i="10"/>
  <c r="O1070" i="10"/>
  <c r="K1070" i="10" s="1"/>
  <c r="N1070" i="10"/>
  <c r="L1070" i="10"/>
  <c r="J1070" i="10"/>
  <c r="I1070" i="10"/>
  <c r="H1070" i="10"/>
  <c r="O1069" i="10"/>
  <c r="P1069" i="10" s="1"/>
  <c r="N1069" i="10"/>
  <c r="L1069" i="10"/>
  <c r="J1069" i="10"/>
  <c r="I1069" i="10"/>
  <c r="H1069" i="10"/>
  <c r="O1068" i="10"/>
  <c r="P1068" i="10" s="1"/>
  <c r="N1068" i="10"/>
  <c r="L1068" i="10"/>
  <c r="J1068" i="10"/>
  <c r="I1068" i="10"/>
  <c r="H1068" i="10"/>
  <c r="O1067" i="10"/>
  <c r="P1067" i="10" s="1"/>
  <c r="N1067" i="10"/>
  <c r="L1067" i="10"/>
  <c r="J1067" i="10"/>
  <c r="I1067" i="10"/>
  <c r="H1067" i="10"/>
  <c r="O1066" i="10"/>
  <c r="K1066" i="10" s="1"/>
  <c r="N1066" i="10"/>
  <c r="L1066" i="10"/>
  <c r="J1066" i="10"/>
  <c r="I1066" i="10"/>
  <c r="H1066" i="10"/>
  <c r="O1065" i="10"/>
  <c r="P1065" i="10" s="1"/>
  <c r="N1065" i="10"/>
  <c r="L1065" i="10"/>
  <c r="J1065" i="10"/>
  <c r="I1065" i="10"/>
  <c r="H1065" i="10"/>
  <c r="O1064" i="10"/>
  <c r="P1064" i="10" s="1"/>
  <c r="N1064" i="10"/>
  <c r="L1064" i="10"/>
  <c r="J1064" i="10"/>
  <c r="I1064" i="10"/>
  <c r="H1064" i="10"/>
  <c r="O1063" i="10"/>
  <c r="N1063" i="10"/>
  <c r="L1063" i="10"/>
  <c r="J1063" i="10"/>
  <c r="I1063" i="10"/>
  <c r="H1063" i="10"/>
  <c r="O1062" i="10"/>
  <c r="P1062" i="10" s="1"/>
  <c r="N1062" i="10"/>
  <c r="L1062" i="10"/>
  <c r="J1062" i="10"/>
  <c r="I1062" i="10"/>
  <c r="H1062" i="10"/>
  <c r="O1061" i="10"/>
  <c r="K1061" i="10" s="1"/>
  <c r="N1061" i="10"/>
  <c r="L1061" i="10"/>
  <c r="J1061" i="10"/>
  <c r="I1061" i="10"/>
  <c r="H1061" i="10"/>
  <c r="O1060" i="10"/>
  <c r="N1060" i="10"/>
  <c r="L1060" i="10"/>
  <c r="J1060" i="10"/>
  <c r="I1060" i="10"/>
  <c r="H1060" i="10"/>
  <c r="O1059" i="10"/>
  <c r="P1059" i="10" s="1"/>
  <c r="N1059" i="10"/>
  <c r="L1059" i="10"/>
  <c r="J1059" i="10"/>
  <c r="I1059" i="10"/>
  <c r="H1059" i="10"/>
  <c r="O1058" i="10"/>
  <c r="P1058" i="10" s="1"/>
  <c r="N1058" i="10"/>
  <c r="L1058" i="10"/>
  <c r="J1058" i="10"/>
  <c r="I1058" i="10"/>
  <c r="H1058" i="10"/>
  <c r="O1057" i="10"/>
  <c r="P1057" i="10" s="1"/>
  <c r="N1057" i="10"/>
  <c r="L1057" i="10"/>
  <c r="J1057" i="10"/>
  <c r="I1057" i="10"/>
  <c r="H1057" i="10"/>
  <c r="O1056" i="10"/>
  <c r="P1056" i="10" s="1"/>
  <c r="N1056" i="10"/>
  <c r="L1056" i="10"/>
  <c r="J1056" i="10"/>
  <c r="I1056" i="10"/>
  <c r="H1056" i="10"/>
  <c r="O1055" i="10"/>
  <c r="K1055" i="10" s="1"/>
  <c r="N1055" i="10"/>
  <c r="L1055" i="10"/>
  <c r="J1055" i="10"/>
  <c r="I1055" i="10"/>
  <c r="H1055" i="10"/>
  <c r="O1054" i="10"/>
  <c r="P1054" i="10" s="1"/>
  <c r="N1054" i="10"/>
  <c r="L1054" i="10"/>
  <c r="J1054" i="10"/>
  <c r="I1054" i="10"/>
  <c r="H1054" i="10"/>
  <c r="O1053" i="10"/>
  <c r="P1053" i="10" s="1"/>
  <c r="N1053" i="10"/>
  <c r="L1053" i="10"/>
  <c r="J1053" i="10"/>
  <c r="I1053" i="10"/>
  <c r="H1053" i="10"/>
  <c r="O1052" i="10"/>
  <c r="K1052" i="10" s="1"/>
  <c r="N1052" i="10"/>
  <c r="L1052" i="10"/>
  <c r="J1052" i="10"/>
  <c r="I1052" i="10"/>
  <c r="H1052" i="10"/>
  <c r="O1051" i="10"/>
  <c r="P1051" i="10" s="1"/>
  <c r="N1051" i="10"/>
  <c r="L1051" i="10"/>
  <c r="J1051" i="10"/>
  <c r="I1051" i="10"/>
  <c r="H1051" i="10"/>
  <c r="O1050" i="10"/>
  <c r="P1050" i="10" s="1"/>
  <c r="N1050" i="10"/>
  <c r="L1050" i="10"/>
  <c r="J1050" i="10"/>
  <c r="I1050" i="10"/>
  <c r="H1050" i="10"/>
  <c r="O1049" i="10"/>
  <c r="P1049" i="10" s="1"/>
  <c r="N1049" i="10"/>
  <c r="L1049" i="10"/>
  <c r="J1049" i="10"/>
  <c r="I1049" i="10"/>
  <c r="H1049" i="10"/>
  <c r="O1048" i="10"/>
  <c r="K1048" i="10" s="1"/>
  <c r="N1048" i="10"/>
  <c r="L1048" i="10"/>
  <c r="J1048" i="10"/>
  <c r="I1048" i="10"/>
  <c r="H1048" i="10"/>
  <c r="O1047" i="10"/>
  <c r="P1047" i="10" s="1"/>
  <c r="N1047" i="10"/>
  <c r="L1047" i="10"/>
  <c r="J1047" i="10"/>
  <c r="I1047" i="10"/>
  <c r="H1047" i="10"/>
  <c r="O1046" i="10"/>
  <c r="P1046" i="10" s="1"/>
  <c r="N1046" i="10"/>
  <c r="L1046" i="10"/>
  <c r="J1046" i="10"/>
  <c r="I1046" i="10"/>
  <c r="H1046" i="10"/>
  <c r="O1045" i="10"/>
  <c r="K1045" i="10" s="1"/>
  <c r="N1045" i="10"/>
  <c r="L1045" i="10"/>
  <c r="J1045" i="10"/>
  <c r="I1045" i="10"/>
  <c r="H1045" i="10"/>
  <c r="O1044" i="10"/>
  <c r="P1044" i="10" s="1"/>
  <c r="N1044" i="10"/>
  <c r="L1044" i="10"/>
  <c r="J1044" i="10"/>
  <c r="I1044" i="10"/>
  <c r="H1044" i="10"/>
  <c r="O1043" i="10"/>
  <c r="K1043" i="10" s="1"/>
  <c r="N1043" i="10"/>
  <c r="L1043" i="10"/>
  <c r="J1043" i="10"/>
  <c r="I1043" i="10"/>
  <c r="H1043" i="10"/>
  <c r="O1042" i="10"/>
  <c r="P1042" i="10" s="1"/>
  <c r="N1042" i="10"/>
  <c r="L1042" i="10"/>
  <c r="J1042" i="10"/>
  <c r="I1042" i="10"/>
  <c r="H1042" i="10"/>
  <c r="O1041" i="10"/>
  <c r="P1041" i="10" s="1"/>
  <c r="N1041" i="10"/>
  <c r="L1041" i="10"/>
  <c r="J1041" i="10"/>
  <c r="I1041" i="10"/>
  <c r="H1041" i="10"/>
  <c r="O1040" i="10"/>
  <c r="P1040" i="10" s="1"/>
  <c r="N1040" i="10"/>
  <c r="L1040" i="10"/>
  <c r="J1040" i="10"/>
  <c r="I1040" i="10"/>
  <c r="H1040" i="10"/>
  <c r="O1039" i="10"/>
  <c r="P1039" i="10" s="1"/>
  <c r="N1039" i="10"/>
  <c r="L1039" i="10"/>
  <c r="J1039" i="10"/>
  <c r="I1039" i="10"/>
  <c r="H1039" i="10"/>
  <c r="O1038" i="10"/>
  <c r="K1038" i="10" s="1"/>
  <c r="N1038" i="10"/>
  <c r="L1038" i="10"/>
  <c r="J1038" i="10"/>
  <c r="I1038" i="10"/>
  <c r="H1038" i="10"/>
  <c r="O1037" i="10"/>
  <c r="K1037" i="10" s="1"/>
  <c r="N1037" i="10"/>
  <c r="L1037" i="10"/>
  <c r="J1037" i="10"/>
  <c r="I1037" i="10"/>
  <c r="H1037" i="10"/>
  <c r="O1036" i="10"/>
  <c r="P1036" i="10" s="1"/>
  <c r="N1036" i="10"/>
  <c r="L1036" i="10"/>
  <c r="J1036" i="10"/>
  <c r="I1036" i="10"/>
  <c r="H1036" i="10"/>
  <c r="O1035" i="10"/>
  <c r="P1035" i="10" s="1"/>
  <c r="N1035" i="10"/>
  <c r="L1035" i="10"/>
  <c r="J1035" i="10"/>
  <c r="I1035" i="10"/>
  <c r="H1035" i="10"/>
  <c r="O1034" i="10"/>
  <c r="P1034" i="10" s="1"/>
  <c r="N1034" i="10"/>
  <c r="L1034" i="10"/>
  <c r="J1034" i="10"/>
  <c r="I1034" i="10"/>
  <c r="H1034" i="10"/>
  <c r="O1033" i="10"/>
  <c r="P1033" i="10" s="1"/>
  <c r="N1033" i="10"/>
  <c r="L1033" i="10"/>
  <c r="J1033" i="10"/>
  <c r="I1033" i="10"/>
  <c r="H1033" i="10"/>
  <c r="O1032" i="10"/>
  <c r="P1032" i="10" s="1"/>
  <c r="N1032" i="10"/>
  <c r="L1032" i="10"/>
  <c r="J1032" i="10"/>
  <c r="I1032" i="10"/>
  <c r="H1032" i="10"/>
  <c r="O1031" i="10"/>
  <c r="P1031" i="10" s="1"/>
  <c r="N1031" i="10"/>
  <c r="L1031" i="10"/>
  <c r="J1031" i="10"/>
  <c r="I1031" i="10"/>
  <c r="H1031" i="10"/>
  <c r="O1030" i="10"/>
  <c r="K1030" i="10" s="1"/>
  <c r="N1030" i="10"/>
  <c r="L1030" i="10"/>
  <c r="J1030" i="10"/>
  <c r="I1030" i="10"/>
  <c r="H1030" i="10"/>
  <c r="O1029" i="10"/>
  <c r="K1029" i="10" s="1"/>
  <c r="N1029" i="10"/>
  <c r="L1029" i="10"/>
  <c r="J1029" i="10"/>
  <c r="I1029" i="10"/>
  <c r="H1029" i="10"/>
  <c r="O1028" i="10"/>
  <c r="P1028" i="10" s="1"/>
  <c r="N1028" i="10"/>
  <c r="L1028" i="10"/>
  <c r="J1028" i="10"/>
  <c r="I1028" i="10"/>
  <c r="H1028" i="10"/>
  <c r="O1027" i="10"/>
  <c r="K1027" i="10" s="1"/>
  <c r="N1027" i="10"/>
  <c r="L1027" i="10"/>
  <c r="J1027" i="10"/>
  <c r="I1027" i="10"/>
  <c r="H1027" i="10"/>
  <c r="O1026" i="10"/>
  <c r="P1026" i="10" s="1"/>
  <c r="N1026" i="10"/>
  <c r="L1026" i="10"/>
  <c r="J1026" i="10"/>
  <c r="I1026" i="10"/>
  <c r="H1026" i="10"/>
  <c r="O1025" i="10"/>
  <c r="P1025" i="10" s="1"/>
  <c r="N1025" i="10"/>
  <c r="L1025" i="10"/>
  <c r="J1025" i="10"/>
  <c r="I1025" i="10"/>
  <c r="H1025" i="10"/>
  <c r="O1024" i="10"/>
  <c r="P1024" i="10" s="1"/>
  <c r="N1024" i="10"/>
  <c r="L1024" i="10"/>
  <c r="J1024" i="10"/>
  <c r="I1024" i="10"/>
  <c r="H1024" i="10"/>
  <c r="O1023" i="10"/>
  <c r="K1023" i="10" s="1"/>
  <c r="N1023" i="10"/>
  <c r="L1023" i="10"/>
  <c r="J1023" i="10"/>
  <c r="I1023" i="10"/>
  <c r="H1023" i="10"/>
  <c r="O1022" i="10"/>
  <c r="P1022" i="10" s="1"/>
  <c r="N1022" i="10"/>
  <c r="L1022" i="10"/>
  <c r="J1022" i="10"/>
  <c r="I1022" i="10"/>
  <c r="H1022" i="10"/>
  <c r="O1021" i="10"/>
  <c r="K1021" i="10" s="1"/>
  <c r="N1021" i="10"/>
  <c r="L1021" i="10"/>
  <c r="J1021" i="10"/>
  <c r="I1021" i="10"/>
  <c r="H1021" i="10"/>
  <c r="O1020" i="10"/>
  <c r="P1020" i="10" s="1"/>
  <c r="N1020" i="10"/>
  <c r="L1020" i="10"/>
  <c r="J1020" i="10"/>
  <c r="I1020" i="10"/>
  <c r="H1020" i="10"/>
  <c r="O1019" i="10"/>
  <c r="P1019" i="10" s="1"/>
  <c r="N1019" i="10"/>
  <c r="L1019" i="10"/>
  <c r="J1019" i="10"/>
  <c r="I1019" i="10"/>
  <c r="H1019" i="10"/>
  <c r="O1018" i="10"/>
  <c r="P1018" i="10" s="1"/>
  <c r="N1018" i="10"/>
  <c r="L1018" i="10"/>
  <c r="J1018" i="10"/>
  <c r="I1018" i="10"/>
  <c r="H1018" i="10"/>
  <c r="O1017" i="10"/>
  <c r="P1017" i="10" s="1"/>
  <c r="N1017" i="10"/>
  <c r="L1017" i="10"/>
  <c r="J1017" i="10"/>
  <c r="I1017" i="10"/>
  <c r="H1017" i="10"/>
  <c r="O1016" i="10"/>
  <c r="K1016" i="10" s="1"/>
  <c r="N1016" i="10"/>
  <c r="L1016" i="10"/>
  <c r="J1016" i="10"/>
  <c r="I1016" i="10"/>
  <c r="H1016" i="10"/>
  <c r="O1015" i="10"/>
  <c r="P1015" i="10" s="1"/>
  <c r="N1015" i="10"/>
  <c r="L1015" i="10"/>
  <c r="J1015" i="10"/>
  <c r="I1015" i="10"/>
  <c r="H1015" i="10"/>
  <c r="O1014" i="10"/>
  <c r="K1014" i="10" s="1"/>
  <c r="N1014" i="10"/>
  <c r="L1014" i="10"/>
  <c r="J1014" i="10"/>
  <c r="I1014" i="10"/>
  <c r="H1014" i="10"/>
  <c r="O1013" i="10"/>
  <c r="P1013" i="10" s="1"/>
  <c r="N1013" i="10"/>
  <c r="L1013" i="10"/>
  <c r="J1013" i="10"/>
  <c r="I1013" i="10"/>
  <c r="H1013" i="10"/>
  <c r="O1012" i="10"/>
  <c r="K1012" i="10" s="1"/>
  <c r="N1012" i="10"/>
  <c r="L1012" i="10"/>
  <c r="J1012" i="10"/>
  <c r="I1012" i="10"/>
  <c r="H1012" i="10"/>
  <c r="O1011" i="10"/>
  <c r="P1011" i="10" s="1"/>
  <c r="N1011" i="10"/>
  <c r="L1011" i="10"/>
  <c r="J1011" i="10"/>
  <c r="I1011" i="10"/>
  <c r="H1011" i="10"/>
  <c r="O1010" i="10"/>
  <c r="P1010" i="10" s="1"/>
  <c r="N1010" i="10"/>
  <c r="L1010" i="10"/>
  <c r="J1010" i="10"/>
  <c r="I1010" i="10"/>
  <c r="H1010" i="10"/>
  <c r="O1009" i="10"/>
  <c r="P1009" i="10" s="1"/>
  <c r="N1009" i="10"/>
  <c r="L1009" i="10"/>
  <c r="J1009" i="10"/>
  <c r="I1009" i="10"/>
  <c r="H1009" i="10"/>
  <c r="O1008" i="10"/>
  <c r="K1008" i="10" s="1"/>
  <c r="N1008" i="10"/>
  <c r="L1008" i="10"/>
  <c r="J1008" i="10"/>
  <c r="I1008" i="10"/>
  <c r="H1008" i="10"/>
  <c r="O1007" i="10"/>
  <c r="P1007" i="10" s="1"/>
  <c r="N1007" i="10"/>
  <c r="L1007" i="10"/>
  <c r="J1007" i="10"/>
  <c r="I1007" i="10"/>
  <c r="H1007" i="10"/>
  <c r="O1006" i="10"/>
  <c r="K1006" i="10" s="1"/>
  <c r="N1006" i="10"/>
  <c r="L1006" i="10"/>
  <c r="J1006" i="10"/>
  <c r="I1006" i="10"/>
  <c r="H1006" i="10"/>
  <c r="O1005" i="10"/>
  <c r="P1005" i="10" s="1"/>
  <c r="N1005" i="10"/>
  <c r="L1005" i="10"/>
  <c r="J1005" i="10"/>
  <c r="I1005" i="10"/>
  <c r="H1005" i="10"/>
  <c r="O1004" i="10"/>
  <c r="P1004" i="10" s="1"/>
  <c r="N1004" i="10"/>
  <c r="L1004" i="10"/>
  <c r="J1004" i="10"/>
  <c r="I1004" i="10"/>
  <c r="H1004" i="10"/>
  <c r="O1003" i="10"/>
  <c r="P1003" i="10" s="1"/>
  <c r="N1003" i="10"/>
  <c r="L1003" i="10"/>
  <c r="J1003" i="10"/>
  <c r="I1003" i="10"/>
  <c r="H1003" i="10"/>
  <c r="O1002" i="10"/>
  <c r="P1002" i="10" s="1"/>
  <c r="N1002" i="10"/>
  <c r="L1002" i="10"/>
  <c r="J1002" i="10"/>
  <c r="I1002" i="10"/>
  <c r="H1002" i="10"/>
  <c r="O1001" i="10"/>
  <c r="N1001" i="10"/>
  <c r="L1001" i="10"/>
  <c r="J1001" i="10"/>
  <c r="I1001" i="10"/>
  <c r="H1001" i="10"/>
  <c r="O1000" i="10"/>
  <c r="P1000" i="10" s="1"/>
  <c r="N1000" i="10"/>
  <c r="L1000" i="10"/>
  <c r="J1000" i="10"/>
  <c r="I1000" i="10"/>
  <c r="H1000" i="10"/>
  <c r="O999" i="10"/>
  <c r="P999" i="10" s="1"/>
  <c r="N999" i="10"/>
  <c r="L999" i="10"/>
  <c r="J999" i="10"/>
  <c r="I999" i="10"/>
  <c r="H999" i="10"/>
  <c r="O998" i="10"/>
  <c r="N998" i="10"/>
  <c r="L998" i="10"/>
  <c r="J998" i="10"/>
  <c r="I998" i="10"/>
  <c r="H998" i="10"/>
  <c r="O997" i="10"/>
  <c r="K997" i="10" s="1"/>
  <c r="N997" i="10"/>
  <c r="L997" i="10"/>
  <c r="J997" i="10"/>
  <c r="I997" i="10"/>
  <c r="H997" i="10"/>
  <c r="O996" i="10"/>
  <c r="K996" i="10" s="1"/>
  <c r="N996" i="10"/>
  <c r="L996" i="10"/>
  <c r="J996" i="10"/>
  <c r="I996" i="10"/>
  <c r="H996" i="10"/>
  <c r="O995" i="10"/>
  <c r="P995" i="10" s="1"/>
  <c r="N995" i="10"/>
  <c r="L995" i="10"/>
  <c r="J995" i="10"/>
  <c r="I995" i="10"/>
  <c r="H995" i="10"/>
  <c r="O994" i="10"/>
  <c r="P994" i="10" s="1"/>
  <c r="N994" i="10"/>
  <c r="L994" i="10"/>
  <c r="J994" i="10"/>
  <c r="I994" i="10"/>
  <c r="H994" i="10"/>
  <c r="O993" i="10"/>
  <c r="P993" i="10" s="1"/>
  <c r="N993" i="10"/>
  <c r="L993" i="10"/>
  <c r="J993" i="10"/>
  <c r="I993" i="10"/>
  <c r="H993" i="10"/>
  <c r="O992" i="10"/>
  <c r="P992" i="10" s="1"/>
  <c r="N992" i="10"/>
  <c r="L992" i="10"/>
  <c r="J992" i="10"/>
  <c r="I992" i="10"/>
  <c r="H992" i="10"/>
  <c r="O991" i="10"/>
  <c r="K991" i="10" s="1"/>
  <c r="N991" i="10"/>
  <c r="L991" i="10"/>
  <c r="J991" i="10"/>
  <c r="I991" i="10"/>
  <c r="H991" i="10"/>
  <c r="O990" i="10"/>
  <c r="K990" i="10" s="1"/>
  <c r="N990" i="10"/>
  <c r="L990" i="10"/>
  <c r="J990" i="10"/>
  <c r="I990" i="10"/>
  <c r="H990" i="10"/>
  <c r="O989" i="10"/>
  <c r="K989" i="10" s="1"/>
  <c r="N989" i="10"/>
  <c r="L989" i="10"/>
  <c r="J989" i="10"/>
  <c r="I989" i="10"/>
  <c r="H989" i="10"/>
  <c r="O988" i="10"/>
  <c r="P988" i="10" s="1"/>
  <c r="N988" i="10"/>
  <c r="L988" i="10"/>
  <c r="J988" i="10"/>
  <c r="I988" i="10"/>
  <c r="H988" i="10"/>
  <c r="O987" i="10"/>
  <c r="P987" i="10" s="1"/>
  <c r="N987" i="10"/>
  <c r="L987" i="10"/>
  <c r="J987" i="10"/>
  <c r="I987" i="10"/>
  <c r="H987" i="10"/>
  <c r="O986" i="10"/>
  <c r="K986" i="10" s="1"/>
  <c r="N986" i="10"/>
  <c r="L986" i="10"/>
  <c r="J986" i="10"/>
  <c r="I986" i="10"/>
  <c r="H986" i="10"/>
  <c r="O985" i="10"/>
  <c r="P985" i="10" s="1"/>
  <c r="N985" i="10"/>
  <c r="L985" i="10"/>
  <c r="J985" i="10"/>
  <c r="I985" i="10"/>
  <c r="H985" i="10"/>
  <c r="O984" i="10"/>
  <c r="K984" i="10" s="1"/>
  <c r="N984" i="10"/>
  <c r="L984" i="10"/>
  <c r="J984" i="10"/>
  <c r="I984" i="10"/>
  <c r="H984" i="10"/>
  <c r="O983" i="10"/>
  <c r="K983" i="10" s="1"/>
  <c r="N983" i="10"/>
  <c r="L983" i="10"/>
  <c r="J983" i="10"/>
  <c r="I983" i="10"/>
  <c r="H983" i="10"/>
  <c r="O982" i="10"/>
  <c r="K982" i="10" s="1"/>
  <c r="N982" i="10"/>
  <c r="L982" i="10"/>
  <c r="J982" i="10"/>
  <c r="I982" i="10"/>
  <c r="H982" i="10"/>
  <c r="O981" i="10"/>
  <c r="P981" i="10" s="1"/>
  <c r="N981" i="10"/>
  <c r="L981" i="10"/>
  <c r="J981" i="10"/>
  <c r="I981" i="10"/>
  <c r="H981" i="10"/>
  <c r="O980" i="10"/>
  <c r="K980" i="10" s="1"/>
  <c r="N980" i="10"/>
  <c r="L980" i="10"/>
  <c r="J980" i="10"/>
  <c r="I980" i="10"/>
  <c r="H980" i="10"/>
  <c r="O979" i="10"/>
  <c r="K979" i="10" s="1"/>
  <c r="N979" i="10"/>
  <c r="L979" i="10"/>
  <c r="J979" i="10"/>
  <c r="I979" i="10"/>
  <c r="H979" i="10"/>
  <c r="O978" i="10"/>
  <c r="K978" i="10" s="1"/>
  <c r="N978" i="10"/>
  <c r="L978" i="10"/>
  <c r="J978" i="10"/>
  <c r="I978" i="10"/>
  <c r="H978" i="10"/>
  <c r="O977" i="10"/>
  <c r="P977" i="10" s="1"/>
  <c r="N977" i="10"/>
  <c r="L977" i="10"/>
  <c r="J977" i="10"/>
  <c r="I977" i="10"/>
  <c r="H977" i="10"/>
  <c r="O976" i="10"/>
  <c r="P976" i="10" s="1"/>
  <c r="N976" i="10"/>
  <c r="L976" i="10"/>
  <c r="J976" i="10"/>
  <c r="I976" i="10"/>
  <c r="H976" i="10"/>
  <c r="O975" i="10"/>
  <c r="K975" i="10" s="1"/>
  <c r="N975" i="10"/>
  <c r="L975" i="10"/>
  <c r="J975" i="10"/>
  <c r="I975" i="10"/>
  <c r="H975" i="10"/>
  <c r="O974" i="10"/>
  <c r="K974" i="10" s="1"/>
  <c r="N974" i="10"/>
  <c r="L974" i="10"/>
  <c r="J974" i="10"/>
  <c r="I974" i="10"/>
  <c r="H974" i="10"/>
  <c r="O973" i="10"/>
  <c r="P973" i="10" s="1"/>
  <c r="N973" i="10"/>
  <c r="L973" i="10"/>
  <c r="J973" i="10"/>
  <c r="I973" i="10"/>
  <c r="H973" i="10"/>
  <c r="O972" i="10"/>
  <c r="K972" i="10" s="1"/>
  <c r="N972" i="10"/>
  <c r="L972" i="10"/>
  <c r="J972" i="10"/>
  <c r="I972" i="10"/>
  <c r="H972" i="10"/>
  <c r="O971" i="10"/>
  <c r="P971" i="10" s="1"/>
  <c r="N971" i="10"/>
  <c r="L971" i="10"/>
  <c r="J971" i="10"/>
  <c r="I971" i="10"/>
  <c r="H971" i="10"/>
  <c r="O970" i="10"/>
  <c r="P970" i="10" s="1"/>
  <c r="N970" i="10"/>
  <c r="L970" i="10"/>
  <c r="J970" i="10"/>
  <c r="I970" i="10"/>
  <c r="H970" i="10"/>
  <c r="O969" i="10"/>
  <c r="P969" i="10" s="1"/>
  <c r="N969" i="10"/>
  <c r="L969" i="10"/>
  <c r="J969" i="10"/>
  <c r="I969" i="10"/>
  <c r="H969" i="10"/>
  <c r="O968" i="10"/>
  <c r="P968" i="10" s="1"/>
  <c r="N968" i="10"/>
  <c r="L968" i="10"/>
  <c r="J968" i="10"/>
  <c r="I968" i="10"/>
  <c r="H968" i="10"/>
  <c r="O967" i="10"/>
  <c r="P967" i="10" s="1"/>
  <c r="N967" i="10"/>
  <c r="L967" i="10"/>
  <c r="J967" i="10"/>
  <c r="I967" i="10"/>
  <c r="H967" i="10"/>
  <c r="O966" i="10"/>
  <c r="K966" i="10" s="1"/>
  <c r="N966" i="10"/>
  <c r="L966" i="10"/>
  <c r="J966" i="10"/>
  <c r="I966" i="10"/>
  <c r="H966" i="10"/>
  <c r="O965" i="10"/>
  <c r="K965" i="10" s="1"/>
  <c r="N965" i="10"/>
  <c r="L965" i="10"/>
  <c r="J965" i="10"/>
  <c r="I965" i="10"/>
  <c r="H965" i="10"/>
  <c r="O964" i="10"/>
  <c r="N964" i="10"/>
  <c r="L964" i="10"/>
  <c r="J964" i="10"/>
  <c r="I964" i="10"/>
  <c r="H964" i="10"/>
  <c r="O963" i="10"/>
  <c r="P963" i="10" s="1"/>
  <c r="N963" i="10"/>
  <c r="L963" i="10"/>
  <c r="J963" i="10"/>
  <c r="I963" i="10"/>
  <c r="H963" i="10"/>
  <c r="O962" i="10"/>
  <c r="K962" i="10" s="1"/>
  <c r="N962" i="10"/>
  <c r="L962" i="10"/>
  <c r="J962" i="10"/>
  <c r="I962" i="10"/>
  <c r="H962" i="10"/>
  <c r="O961" i="10"/>
  <c r="P961" i="10" s="1"/>
  <c r="N961" i="10"/>
  <c r="L961" i="10"/>
  <c r="J961" i="10"/>
  <c r="I961" i="10"/>
  <c r="H961" i="10"/>
  <c r="O960" i="10"/>
  <c r="P960" i="10" s="1"/>
  <c r="N960" i="10"/>
  <c r="L960" i="10"/>
  <c r="J960" i="10"/>
  <c r="I960" i="10"/>
  <c r="H960" i="10"/>
  <c r="O959" i="10"/>
  <c r="K959" i="10" s="1"/>
  <c r="N959" i="10"/>
  <c r="L959" i="10"/>
  <c r="J959" i="10"/>
  <c r="I959" i="10"/>
  <c r="H959" i="10"/>
  <c r="O958" i="10"/>
  <c r="P958" i="10" s="1"/>
  <c r="N958" i="10"/>
  <c r="L958" i="10"/>
  <c r="J958" i="10"/>
  <c r="I958" i="10"/>
  <c r="H958" i="10"/>
  <c r="O957" i="10"/>
  <c r="K957" i="10" s="1"/>
  <c r="N957" i="10"/>
  <c r="L957" i="10"/>
  <c r="J957" i="10"/>
  <c r="I957" i="10"/>
  <c r="H957" i="10"/>
  <c r="O956" i="10"/>
  <c r="P956" i="10" s="1"/>
  <c r="N956" i="10"/>
  <c r="L956" i="10"/>
  <c r="J956" i="10"/>
  <c r="I956" i="10"/>
  <c r="H956" i="10"/>
  <c r="O955" i="10"/>
  <c r="P955" i="10" s="1"/>
  <c r="N955" i="10"/>
  <c r="L955" i="10"/>
  <c r="J955" i="10"/>
  <c r="I955" i="10"/>
  <c r="H955" i="10"/>
  <c r="O954" i="10"/>
  <c r="K954" i="10" s="1"/>
  <c r="N954" i="10"/>
  <c r="L954" i="10"/>
  <c r="J954" i="10"/>
  <c r="I954" i="10"/>
  <c r="H954" i="10"/>
  <c r="O953" i="10"/>
  <c r="P953" i="10" s="1"/>
  <c r="N953" i="10"/>
  <c r="L953" i="10"/>
  <c r="J953" i="10"/>
  <c r="I953" i="10"/>
  <c r="H953" i="10"/>
  <c r="O952" i="10"/>
  <c r="K952" i="10" s="1"/>
  <c r="N952" i="10"/>
  <c r="L952" i="10"/>
  <c r="J952" i="10"/>
  <c r="I952" i="10"/>
  <c r="H952" i="10"/>
  <c r="O951" i="10"/>
  <c r="P951" i="10" s="1"/>
  <c r="N951" i="10"/>
  <c r="L951" i="10"/>
  <c r="J951" i="10"/>
  <c r="I951" i="10"/>
  <c r="H951" i="10"/>
  <c r="O950" i="10"/>
  <c r="K950" i="10" s="1"/>
  <c r="N950" i="10"/>
  <c r="L950" i="10"/>
  <c r="J950" i="10"/>
  <c r="I950" i="10"/>
  <c r="H950" i="10"/>
  <c r="O949" i="10"/>
  <c r="N949" i="10"/>
  <c r="L949" i="10"/>
  <c r="J949" i="10"/>
  <c r="I949" i="10"/>
  <c r="H949" i="10"/>
  <c r="O948" i="10"/>
  <c r="K948" i="10" s="1"/>
  <c r="N948" i="10"/>
  <c r="L948" i="10"/>
  <c r="J948" i="10"/>
  <c r="I948" i="10"/>
  <c r="H948" i="10"/>
  <c r="O947" i="10"/>
  <c r="P947" i="10" s="1"/>
  <c r="N947" i="10"/>
  <c r="L947" i="10"/>
  <c r="J947" i="10"/>
  <c r="I947" i="10"/>
  <c r="H947" i="10"/>
  <c r="O946" i="10"/>
  <c r="P946" i="10" s="1"/>
  <c r="N946" i="10"/>
  <c r="L946" i="10"/>
  <c r="J946" i="10"/>
  <c r="I946" i="10"/>
  <c r="H946" i="10"/>
  <c r="O945" i="10"/>
  <c r="K945" i="10" s="1"/>
  <c r="N945" i="10"/>
  <c r="L945" i="10"/>
  <c r="J945" i="10"/>
  <c r="I945" i="10"/>
  <c r="H945" i="10"/>
  <c r="O944" i="10"/>
  <c r="K944" i="10" s="1"/>
  <c r="N944" i="10"/>
  <c r="L944" i="10"/>
  <c r="J944" i="10"/>
  <c r="I944" i="10"/>
  <c r="H944" i="10"/>
  <c r="O943" i="10"/>
  <c r="K943" i="10" s="1"/>
  <c r="N943" i="10"/>
  <c r="L943" i="10"/>
  <c r="J943" i="10"/>
  <c r="I943" i="10"/>
  <c r="H943" i="10"/>
  <c r="O942" i="10"/>
  <c r="K942" i="10" s="1"/>
  <c r="N942" i="10"/>
  <c r="L942" i="10"/>
  <c r="J942" i="10"/>
  <c r="I942" i="10"/>
  <c r="H942" i="10"/>
  <c r="O941" i="10"/>
  <c r="P941" i="10" s="1"/>
  <c r="N941" i="10"/>
  <c r="L941" i="10"/>
  <c r="J941" i="10"/>
  <c r="I941" i="10"/>
  <c r="H941" i="10"/>
  <c r="O940" i="10"/>
  <c r="P940" i="10" s="1"/>
  <c r="N940" i="10"/>
  <c r="L940" i="10"/>
  <c r="J940" i="10"/>
  <c r="I940" i="10"/>
  <c r="H940" i="10"/>
  <c r="O939" i="10"/>
  <c r="P939" i="10" s="1"/>
  <c r="N939" i="10"/>
  <c r="L939" i="10"/>
  <c r="J939" i="10"/>
  <c r="I939" i="10"/>
  <c r="H939" i="10"/>
  <c r="O938" i="10"/>
  <c r="P938" i="10" s="1"/>
  <c r="N938" i="10"/>
  <c r="L938" i="10"/>
  <c r="J938" i="10"/>
  <c r="I938" i="10"/>
  <c r="H938" i="10"/>
  <c r="O937" i="10"/>
  <c r="P937" i="10" s="1"/>
  <c r="N937" i="10"/>
  <c r="L937" i="10"/>
  <c r="J937" i="10"/>
  <c r="I937" i="10"/>
  <c r="H937" i="10"/>
  <c r="O936" i="10"/>
  <c r="P936" i="10" s="1"/>
  <c r="N936" i="10"/>
  <c r="L936" i="10"/>
  <c r="J936" i="10"/>
  <c r="I936" i="10"/>
  <c r="H936" i="10"/>
  <c r="O935" i="10"/>
  <c r="K935" i="10" s="1"/>
  <c r="N935" i="10"/>
  <c r="L935" i="10"/>
  <c r="J935" i="10"/>
  <c r="I935" i="10"/>
  <c r="H935" i="10"/>
  <c r="O934" i="10"/>
  <c r="K934" i="10" s="1"/>
  <c r="N934" i="10"/>
  <c r="L934" i="10"/>
  <c r="J934" i="10"/>
  <c r="I934" i="10"/>
  <c r="H934" i="10"/>
  <c r="O933" i="10"/>
  <c r="K933" i="10" s="1"/>
  <c r="N933" i="10"/>
  <c r="L933" i="10"/>
  <c r="J933" i="10"/>
  <c r="I933" i="10"/>
  <c r="H933" i="10"/>
  <c r="O932" i="10"/>
  <c r="P932" i="10" s="1"/>
  <c r="N932" i="10"/>
  <c r="L932" i="10"/>
  <c r="J932" i="10"/>
  <c r="I932" i="10"/>
  <c r="H932" i="10"/>
  <c r="O931" i="10"/>
  <c r="P931" i="10" s="1"/>
  <c r="N931" i="10"/>
  <c r="L931" i="10"/>
  <c r="J931" i="10"/>
  <c r="I931" i="10"/>
  <c r="H931" i="10"/>
  <c r="O930" i="10"/>
  <c r="P930" i="10" s="1"/>
  <c r="N930" i="10"/>
  <c r="L930" i="10"/>
  <c r="J930" i="10"/>
  <c r="I930" i="10"/>
  <c r="H930" i="10"/>
  <c r="O929" i="10"/>
  <c r="P929" i="10" s="1"/>
  <c r="N929" i="10"/>
  <c r="L929" i="10"/>
  <c r="J929" i="10"/>
  <c r="I929" i="10"/>
  <c r="H929" i="10"/>
  <c r="O928" i="10"/>
  <c r="P928" i="10" s="1"/>
  <c r="N928" i="10"/>
  <c r="L928" i="10"/>
  <c r="J928" i="10"/>
  <c r="I928" i="10"/>
  <c r="H928" i="10"/>
  <c r="O927" i="10"/>
  <c r="K927" i="10" s="1"/>
  <c r="N927" i="10"/>
  <c r="L927" i="10"/>
  <c r="J927" i="10"/>
  <c r="I927" i="10"/>
  <c r="H927" i="10"/>
  <c r="O926" i="10"/>
  <c r="K926" i="10" s="1"/>
  <c r="N926" i="10"/>
  <c r="L926" i="10"/>
  <c r="J926" i="10"/>
  <c r="I926" i="10"/>
  <c r="H926" i="10"/>
  <c r="O925" i="10"/>
  <c r="P925" i="10" s="1"/>
  <c r="N925" i="10"/>
  <c r="L925" i="10"/>
  <c r="J925" i="10"/>
  <c r="I925" i="10"/>
  <c r="H925" i="10"/>
  <c r="O924" i="10"/>
  <c r="K924" i="10" s="1"/>
  <c r="N924" i="10"/>
  <c r="L924" i="10"/>
  <c r="J924" i="10"/>
  <c r="I924" i="10"/>
  <c r="H924" i="10"/>
  <c r="O923" i="10"/>
  <c r="P923" i="10" s="1"/>
  <c r="N923" i="10"/>
  <c r="L923" i="10"/>
  <c r="J923" i="10"/>
  <c r="I923" i="10"/>
  <c r="H923" i="10"/>
  <c r="O922" i="10"/>
  <c r="P922" i="10" s="1"/>
  <c r="N922" i="10"/>
  <c r="L922" i="10"/>
  <c r="J922" i="10"/>
  <c r="I922" i="10"/>
  <c r="H922" i="10"/>
  <c r="O921" i="10"/>
  <c r="P921" i="10" s="1"/>
  <c r="N921" i="10"/>
  <c r="L921" i="10"/>
  <c r="J921" i="10"/>
  <c r="I921" i="10"/>
  <c r="H921" i="10"/>
  <c r="O920" i="10"/>
  <c r="K920" i="10" s="1"/>
  <c r="N920" i="10"/>
  <c r="L920" i="10"/>
  <c r="J920" i="10"/>
  <c r="I920" i="10"/>
  <c r="H920" i="10"/>
  <c r="O919" i="10"/>
  <c r="P919" i="10" s="1"/>
  <c r="N919" i="10"/>
  <c r="L919" i="10"/>
  <c r="J919" i="10"/>
  <c r="I919" i="10"/>
  <c r="H919" i="10"/>
  <c r="O918" i="10"/>
  <c r="K918" i="10" s="1"/>
  <c r="N918" i="10"/>
  <c r="L918" i="10"/>
  <c r="J918" i="10"/>
  <c r="I918" i="10"/>
  <c r="H918" i="10"/>
  <c r="O917" i="10"/>
  <c r="P917" i="10" s="1"/>
  <c r="N917" i="10"/>
  <c r="L917" i="10"/>
  <c r="J917" i="10"/>
  <c r="I917" i="10"/>
  <c r="H917" i="10"/>
  <c r="O916" i="10"/>
  <c r="P916" i="10" s="1"/>
  <c r="N916" i="10"/>
  <c r="L916" i="10"/>
  <c r="J916" i="10"/>
  <c r="I916" i="10"/>
  <c r="H916" i="10"/>
  <c r="O915" i="10"/>
  <c r="P915" i="10" s="1"/>
  <c r="N915" i="10"/>
  <c r="L915" i="10"/>
  <c r="J915" i="10"/>
  <c r="I915" i="10"/>
  <c r="H915" i="10"/>
  <c r="O914" i="10"/>
  <c r="P914" i="10" s="1"/>
  <c r="N914" i="10"/>
  <c r="L914" i="10"/>
  <c r="J914" i="10"/>
  <c r="I914" i="10"/>
  <c r="H914" i="10"/>
  <c r="O913" i="10"/>
  <c r="P913" i="10" s="1"/>
  <c r="N913" i="10"/>
  <c r="L913" i="10"/>
  <c r="J913" i="10"/>
  <c r="I913" i="10"/>
  <c r="H913" i="10"/>
  <c r="O912" i="10"/>
  <c r="P912" i="10" s="1"/>
  <c r="N912" i="10"/>
  <c r="L912" i="10"/>
  <c r="J912" i="10"/>
  <c r="I912" i="10"/>
  <c r="H912" i="10"/>
  <c r="O911" i="10"/>
  <c r="P911" i="10" s="1"/>
  <c r="N911" i="10"/>
  <c r="L911" i="10"/>
  <c r="J911" i="10"/>
  <c r="I911" i="10"/>
  <c r="H911" i="10"/>
  <c r="O910" i="10"/>
  <c r="P910" i="10" s="1"/>
  <c r="N910" i="10"/>
  <c r="L910" i="10"/>
  <c r="J910" i="10"/>
  <c r="I910" i="10"/>
  <c r="H910" i="10"/>
  <c r="O909" i="10"/>
  <c r="N909" i="10"/>
  <c r="L909" i="10"/>
  <c r="J909" i="10"/>
  <c r="I909" i="10"/>
  <c r="H909" i="10"/>
  <c r="O908" i="10"/>
  <c r="P908" i="10" s="1"/>
  <c r="N908" i="10"/>
  <c r="L908" i="10"/>
  <c r="J908" i="10"/>
  <c r="I908" i="10"/>
  <c r="H908" i="10"/>
  <c r="O907" i="10"/>
  <c r="P907" i="10" s="1"/>
  <c r="N907" i="10"/>
  <c r="L907" i="10"/>
  <c r="J907" i="10"/>
  <c r="I907" i="10"/>
  <c r="H907" i="10"/>
  <c r="O906" i="10"/>
  <c r="N906" i="10"/>
  <c r="L906" i="10"/>
  <c r="J906" i="10"/>
  <c r="I906" i="10"/>
  <c r="H906" i="10"/>
  <c r="O905" i="10"/>
  <c r="P905" i="10" s="1"/>
  <c r="N905" i="10"/>
  <c r="L905" i="10"/>
  <c r="J905" i="10"/>
  <c r="I905" i="10"/>
  <c r="H905" i="10"/>
  <c r="O904" i="10"/>
  <c r="P904" i="10" s="1"/>
  <c r="N904" i="10"/>
  <c r="L904" i="10"/>
  <c r="J904" i="10"/>
  <c r="I904" i="10"/>
  <c r="H904" i="10"/>
  <c r="O903" i="10"/>
  <c r="P903" i="10" s="1"/>
  <c r="N903" i="10"/>
  <c r="L903" i="10"/>
  <c r="J903" i="10"/>
  <c r="I903" i="10"/>
  <c r="H903" i="10"/>
  <c r="O902" i="10"/>
  <c r="K902" i="10" s="1"/>
  <c r="N902" i="10"/>
  <c r="L902" i="10"/>
  <c r="J902" i="10"/>
  <c r="I902" i="10"/>
  <c r="H902" i="10"/>
  <c r="O901" i="10"/>
  <c r="K901" i="10" s="1"/>
  <c r="N901" i="10"/>
  <c r="L901" i="10"/>
  <c r="J901" i="10"/>
  <c r="I901" i="10"/>
  <c r="H901" i="10"/>
  <c r="O900" i="10"/>
  <c r="P900" i="10" s="1"/>
  <c r="N900" i="10"/>
  <c r="L900" i="10"/>
  <c r="J900" i="10"/>
  <c r="I900" i="10"/>
  <c r="H900" i="10"/>
  <c r="O899" i="10"/>
  <c r="P899" i="10" s="1"/>
  <c r="N899" i="10"/>
  <c r="L899" i="10"/>
  <c r="J899" i="10"/>
  <c r="I899" i="10"/>
  <c r="H899" i="10"/>
  <c r="O898" i="10"/>
  <c r="P898" i="10" s="1"/>
  <c r="N898" i="10"/>
  <c r="L898" i="10"/>
  <c r="J898" i="10"/>
  <c r="I898" i="10"/>
  <c r="H898" i="10"/>
  <c r="O897" i="10"/>
  <c r="K897" i="10" s="1"/>
  <c r="N897" i="10"/>
  <c r="L897" i="10"/>
  <c r="J897" i="10"/>
  <c r="I897" i="10"/>
  <c r="H897" i="10"/>
  <c r="O896" i="10"/>
  <c r="P896" i="10" s="1"/>
  <c r="N896" i="10"/>
  <c r="L896" i="10"/>
  <c r="J896" i="10"/>
  <c r="I896" i="10"/>
  <c r="H896" i="10"/>
  <c r="O895" i="10"/>
  <c r="P895" i="10" s="1"/>
  <c r="N895" i="10"/>
  <c r="L895" i="10"/>
  <c r="J895" i="10"/>
  <c r="I895" i="10"/>
  <c r="H895" i="10"/>
  <c r="O894" i="10"/>
  <c r="P894" i="10" s="1"/>
  <c r="N894" i="10"/>
  <c r="L894" i="10"/>
  <c r="J894" i="10"/>
  <c r="I894" i="10"/>
  <c r="H894" i="10"/>
  <c r="O893" i="10"/>
  <c r="P893" i="10" s="1"/>
  <c r="N893" i="10"/>
  <c r="L893" i="10"/>
  <c r="J893" i="10"/>
  <c r="I893" i="10"/>
  <c r="H893" i="10"/>
  <c r="O892" i="10"/>
  <c r="K892" i="10" s="1"/>
  <c r="N892" i="10"/>
  <c r="L892" i="10"/>
  <c r="J892" i="10"/>
  <c r="I892" i="10"/>
  <c r="H892" i="10"/>
  <c r="O891" i="10"/>
  <c r="P891" i="10" s="1"/>
  <c r="N891" i="10"/>
  <c r="L891" i="10"/>
  <c r="J891" i="10"/>
  <c r="I891" i="10"/>
  <c r="H891" i="10"/>
  <c r="O890" i="10"/>
  <c r="K890" i="10" s="1"/>
  <c r="N890" i="10"/>
  <c r="L890" i="10"/>
  <c r="J890" i="10"/>
  <c r="I890" i="10"/>
  <c r="H890" i="10"/>
  <c r="O889" i="10"/>
  <c r="P889" i="10" s="1"/>
  <c r="N889" i="10"/>
  <c r="L889" i="10"/>
  <c r="J889" i="10"/>
  <c r="I889" i="10"/>
  <c r="H889" i="10"/>
  <c r="O888" i="10"/>
  <c r="K888" i="10" s="1"/>
  <c r="N888" i="10"/>
  <c r="L888" i="10"/>
  <c r="J888" i="10"/>
  <c r="I888" i="10"/>
  <c r="H888" i="10"/>
  <c r="O887" i="10"/>
  <c r="K887" i="10" s="1"/>
  <c r="N887" i="10"/>
  <c r="L887" i="10"/>
  <c r="J887" i="10"/>
  <c r="I887" i="10"/>
  <c r="H887" i="10"/>
  <c r="O886" i="10"/>
  <c r="K886" i="10" s="1"/>
  <c r="N886" i="10"/>
  <c r="L886" i="10"/>
  <c r="J886" i="10"/>
  <c r="I886" i="10"/>
  <c r="H886" i="10"/>
  <c r="O885" i="10"/>
  <c r="P885" i="10" s="1"/>
  <c r="N885" i="10"/>
  <c r="L885" i="10"/>
  <c r="J885" i="10"/>
  <c r="I885" i="10"/>
  <c r="H885" i="10"/>
  <c r="O884" i="10"/>
  <c r="P884" i="10" s="1"/>
  <c r="N884" i="10"/>
  <c r="L884" i="10"/>
  <c r="J884" i="10"/>
  <c r="I884" i="10"/>
  <c r="H884" i="10"/>
  <c r="O883" i="10"/>
  <c r="K883" i="10" s="1"/>
  <c r="N883" i="10"/>
  <c r="L883" i="10"/>
  <c r="J883" i="10"/>
  <c r="I883" i="10"/>
  <c r="H883" i="10"/>
  <c r="O882" i="10"/>
  <c r="P882" i="10" s="1"/>
  <c r="N882" i="10"/>
  <c r="L882" i="10"/>
  <c r="J882" i="10"/>
  <c r="I882" i="10"/>
  <c r="H882" i="10"/>
  <c r="O881" i="10"/>
  <c r="P881" i="10" s="1"/>
  <c r="N881" i="10"/>
  <c r="L881" i="10"/>
  <c r="J881" i="10"/>
  <c r="I881" i="10"/>
  <c r="H881" i="10"/>
  <c r="O880" i="10"/>
  <c r="K880" i="10" s="1"/>
  <c r="N880" i="10"/>
  <c r="L880" i="10"/>
  <c r="J880" i="10"/>
  <c r="I880" i="10"/>
  <c r="H880" i="10"/>
  <c r="O879" i="10"/>
  <c r="P879" i="10" s="1"/>
  <c r="N879" i="10"/>
  <c r="L879" i="10"/>
  <c r="J879" i="10"/>
  <c r="I879" i="10"/>
  <c r="H879" i="10"/>
  <c r="O878" i="10"/>
  <c r="P878" i="10" s="1"/>
  <c r="N878" i="10"/>
  <c r="L878" i="10"/>
  <c r="J878" i="10"/>
  <c r="I878" i="10"/>
  <c r="H878" i="10"/>
  <c r="O877" i="10"/>
  <c r="P877" i="10" s="1"/>
  <c r="N877" i="10"/>
  <c r="L877" i="10"/>
  <c r="J877" i="10"/>
  <c r="I877" i="10"/>
  <c r="H877" i="10"/>
  <c r="O876" i="10"/>
  <c r="K876" i="10" s="1"/>
  <c r="N876" i="10"/>
  <c r="L876" i="10"/>
  <c r="J876" i="10"/>
  <c r="I876" i="10"/>
  <c r="H876" i="10"/>
  <c r="O875" i="10"/>
  <c r="P875" i="10" s="1"/>
  <c r="N875" i="10"/>
  <c r="L875" i="10"/>
  <c r="J875" i="10"/>
  <c r="I875" i="10"/>
  <c r="H875" i="10"/>
  <c r="O874" i="10"/>
  <c r="K874" i="10" s="1"/>
  <c r="N874" i="10"/>
  <c r="L874" i="10"/>
  <c r="J874" i="10"/>
  <c r="I874" i="10"/>
  <c r="H874" i="10"/>
  <c r="O873" i="10"/>
  <c r="N873" i="10"/>
  <c r="L873" i="10"/>
  <c r="J873" i="10"/>
  <c r="I873" i="10"/>
  <c r="H873" i="10"/>
  <c r="O872" i="10"/>
  <c r="P872" i="10" s="1"/>
  <c r="N872" i="10"/>
  <c r="L872" i="10"/>
  <c r="J872" i="10"/>
  <c r="I872" i="10"/>
  <c r="H872" i="10"/>
  <c r="O871" i="10"/>
  <c r="P871" i="10" s="1"/>
  <c r="N871" i="10"/>
  <c r="L871" i="10"/>
  <c r="J871" i="10"/>
  <c r="I871" i="10"/>
  <c r="H871" i="10"/>
  <c r="O870" i="10"/>
  <c r="K870" i="10" s="1"/>
  <c r="N870" i="10"/>
  <c r="L870" i="10"/>
  <c r="J870" i="10"/>
  <c r="I870" i="10"/>
  <c r="H870" i="10"/>
  <c r="O869" i="10"/>
  <c r="K869" i="10" s="1"/>
  <c r="N869" i="10"/>
  <c r="L869" i="10"/>
  <c r="J869" i="10"/>
  <c r="I869" i="10"/>
  <c r="H869" i="10"/>
  <c r="O868" i="10"/>
  <c r="P868" i="10" s="1"/>
  <c r="N868" i="10"/>
  <c r="L868" i="10"/>
  <c r="J868" i="10"/>
  <c r="I868" i="10"/>
  <c r="H868" i="10"/>
  <c r="O867" i="10"/>
  <c r="P867" i="10" s="1"/>
  <c r="N867" i="10"/>
  <c r="L867" i="10"/>
  <c r="J867" i="10"/>
  <c r="I867" i="10"/>
  <c r="H867" i="10"/>
  <c r="O866" i="10"/>
  <c r="P866" i="10" s="1"/>
  <c r="N866" i="10"/>
  <c r="L866" i="10"/>
  <c r="K866" i="10"/>
  <c r="J866" i="10"/>
  <c r="I866" i="10"/>
  <c r="H866" i="10"/>
  <c r="O865" i="10"/>
  <c r="P865" i="10" s="1"/>
  <c r="N865" i="10"/>
  <c r="L865" i="10"/>
  <c r="J865" i="10"/>
  <c r="I865" i="10"/>
  <c r="H865" i="10"/>
  <c r="O864" i="10"/>
  <c r="P864" i="10" s="1"/>
  <c r="N864" i="10"/>
  <c r="L864" i="10"/>
  <c r="J864" i="10"/>
  <c r="I864" i="10"/>
  <c r="H864" i="10"/>
  <c r="O863" i="10"/>
  <c r="P863" i="10" s="1"/>
  <c r="N863" i="10"/>
  <c r="L863" i="10"/>
  <c r="J863" i="10"/>
  <c r="I863" i="10"/>
  <c r="H863" i="10"/>
  <c r="O862" i="10"/>
  <c r="P862" i="10" s="1"/>
  <c r="N862" i="10"/>
  <c r="L862" i="10"/>
  <c r="J862" i="10"/>
  <c r="I862" i="10"/>
  <c r="H862" i="10"/>
  <c r="O861" i="10"/>
  <c r="P861" i="10" s="1"/>
  <c r="N861" i="10"/>
  <c r="L861" i="10"/>
  <c r="J861" i="10"/>
  <c r="I861" i="10"/>
  <c r="H861" i="10"/>
  <c r="O860" i="10"/>
  <c r="P860" i="10" s="1"/>
  <c r="N860" i="10"/>
  <c r="L860" i="10"/>
  <c r="J860" i="10"/>
  <c r="I860" i="10"/>
  <c r="H860" i="10"/>
  <c r="O859" i="10"/>
  <c r="P859" i="10" s="1"/>
  <c r="N859" i="10"/>
  <c r="L859" i="10"/>
  <c r="J859" i="10"/>
  <c r="I859" i="10"/>
  <c r="H859" i="10"/>
  <c r="O858" i="10"/>
  <c r="P858" i="10" s="1"/>
  <c r="N858" i="10"/>
  <c r="L858" i="10"/>
  <c r="J858" i="10"/>
  <c r="I858" i="10"/>
  <c r="H858" i="10"/>
  <c r="O857" i="10"/>
  <c r="P857" i="10" s="1"/>
  <c r="N857" i="10"/>
  <c r="L857" i="10"/>
  <c r="J857" i="10"/>
  <c r="I857" i="10"/>
  <c r="H857" i="10"/>
  <c r="O856" i="10"/>
  <c r="K856" i="10" s="1"/>
  <c r="N856" i="10"/>
  <c r="L856" i="10"/>
  <c r="J856" i="10"/>
  <c r="I856" i="10"/>
  <c r="H856" i="10"/>
  <c r="O855" i="10"/>
  <c r="P855" i="10" s="1"/>
  <c r="N855" i="10"/>
  <c r="L855" i="10"/>
  <c r="J855" i="10"/>
  <c r="I855" i="10"/>
  <c r="H855" i="10"/>
  <c r="O854" i="10"/>
  <c r="K854" i="10" s="1"/>
  <c r="N854" i="10"/>
  <c r="L854" i="10"/>
  <c r="J854" i="10"/>
  <c r="I854" i="10"/>
  <c r="H854" i="10"/>
  <c r="O853" i="10"/>
  <c r="P853" i="10" s="1"/>
  <c r="N853" i="10"/>
  <c r="L853" i="10"/>
  <c r="J853" i="10"/>
  <c r="I853" i="10"/>
  <c r="H853" i="10"/>
  <c r="O852" i="10"/>
  <c r="K852" i="10" s="1"/>
  <c r="N852" i="10"/>
  <c r="L852" i="10"/>
  <c r="J852" i="10"/>
  <c r="I852" i="10"/>
  <c r="H852" i="10"/>
  <c r="O851" i="10"/>
  <c r="P851" i="10" s="1"/>
  <c r="N851" i="10"/>
  <c r="L851" i="10"/>
  <c r="J851" i="10"/>
  <c r="I851" i="10"/>
  <c r="H851" i="10"/>
  <c r="O850" i="10"/>
  <c r="K850" i="10" s="1"/>
  <c r="N850" i="10"/>
  <c r="L850" i="10"/>
  <c r="J850" i="10"/>
  <c r="I850" i="10"/>
  <c r="H850" i="10"/>
  <c r="O849" i="10"/>
  <c r="P849" i="10" s="1"/>
  <c r="N849" i="10"/>
  <c r="L849" i="10"/>
  <c r="J849" i="10"/>
  <c r="I849" i="10"/>
  <c r="H849" i="10"/>
  <c r="O848" i="10"/>
  <c r="K848" i="10" s="1"/>
  <c r="N848" i="10"/>
  <c r="L848" i="10"/>
  <c r="J848" i="10"/>
  <c r="I848" i="10"/>
  <c r="H848" i="10"/>
  <c r="O847" i="10"/>
  <c r="P847" i="10" s="1"/>
  <c r="N847" i="10"/>
  <c r="L847" i="10"/>
  <c r="J847" i="10"/>
  <c r="I847" i="10"/>
  <c r="H847" i="10"/>
  <c r="O846" i="10"/>
  <c r="P846" i="10" s="1"/>
  <c r="N846" i="10"/>
  <c r="L846" i="10"/>
  <c r="J846" i="10"/>
  <c r="I846" i="10"/>
  <c r="H846" i="10"/>
  <c r="O845" i="10"/>
  <c r="K845" i="10" s="1"/>
  <c r="N845" i="10"/>
  <c r="L845" i="10"/>
  <c r="J845" i="10"/>
  <c r="I845" i="10"/>
  <c r="H845" i="10"/>
  <c r="O844" i="10"/>
  <c r="P844" i="10" s="1"/>
  <c r="N844" i="10"/>
  <c r="L844" i="10"/>
  <c r="J844" i="10"/>
  <c r="I844" i="10"/>
  <c r="H844" i="10"/>
  <c r="O843" i="10"/>
  <c r="K843" i="10" s="1"/>
  <c r="N843" i="10"/>
  <c r="L843" i="10"/>
  <c r="J843" i="10"/>
  <c r="I843" i="10"/>
  <c r="H843" i="10"/>
  <c r="O842" i="10"/>
  <c r="P842" i="10" s="1"/>
  <c r="N842" i="10"/>
  <c r="L842" i="10"/>
  <c r="J842" i="10"/>
  <c r="I842" i="10"/>
  <c r="H842" i="10"/>
  <c r="O841" i="10"/>
  <c r="P841" i="10" s="1"/>
  <c r="N841" i="10"/>
  <c r="L841" i="10"/>
  <c r="J841" i="10"/>
  <c r="I841" i="10"/>
  <c r="H841" i="10"/>
  <c r="O840" i="10"/>
  <c r="P840" i="10" s="1"/>
  <c r="N840" i="10"/>
  <c r="L840" i="10"/>
  <c r="J840" i="10"/>
  <c r="I840" i="10"/>
  <c r="H840" i="10"/>
  <c r="O839" i="10"/>
  <c r="P839" i="10" s="1"/>
  <c r="N839" i="10"/>
  <c r="L839" i="10"/>
  <c r="J839" i="10"/>
  <c r="I839" i="10"/>
  <c r="H839" i="10"/>
  <c r="O838" i="10"/>
  <c r="K838" i="10" s="1"/>
  <c r="N838" i="10"/>
  <c r="L838" i="10"/>
  <c r="J838" i="10"/>
  <c r="I838" i="10"/>
  <c r="H838" i="10"/>
  <c r="O837" i="10"/>
  <c r="K837" i="10" s="1"/>
  <c r="N837" i="10"/>
  <c r="L837" i="10"/>
  <c r="J837" i="10"/>
  <c r="I837" i="10"/>
  <c r="H837" i="10"/>
  <c r="O836" i="10"/>
  <c r="P836" i="10" s="1"/>
  <c r="N836" i="10"/>
  <c r="L836" i="10"/>
  <c r="J836" i="10"/>
  <c r="I836" i="10"/>
  <c r="H836" i="10"/>
  <c r="O835" i="10"/>
  <c r="P835" i="10" s="1"/>
  <c r="N835" i="10"/>
  <c r="L835" i="10"/>
  <c r="J835" i="10"/>
  <c r="I835" i="10"/>
  <c r="H835" i="10"/>
  <c r="O834" i="10"/>
  <c r="P834" i="10" s="1"/>
  <c r="N834" i="10"/>
  <c r="L834" i="10"/>
  <c r="J834" i="10"/>
  <c r="I834" i="10"/>
  <c r="H834" i="10"/>
  <c r="O833" i="10"/>
  <c r="K833" i="10" s="1"/>
  <c r="N833" i="10"/>
  <c r="L833" i="10"/>
  <c r="J833" i="10"/>
  <c r="I833" i="10"/>
  <c r="H833" i="10"/>
  <c r="O832" i="10"/>
  <c r="K832" i="10" s="1"/>
  <c r="N832" i="10"/>
  <c r="L832" i="10"/>
  <c r="J832" i="10"/>
  <c r="I832" i="10"/>
  <c r="H832" i="10"/>
  <c r="O831" i="10"/>
  <c r="K831" i="10" s="1"/>
  <c r="N831" i="10"/>
  <c r="L831" i="10"/>
  <c r="J831" i="10"/>
  <c r="I831" i="10"/>
  <c r="H831" i="10"/>
  <c r="O830" i="10"/>
  <c r="P830" i="10" s="1"/>
  <c r="N830" i="10"/>
  <c r="L830" i="10"/>
  <c r="J830" i="10"/>
  <c r="I830" i="10"/>
  <c r="H830" i="10"/>
  <c r="O829" i="10"/>
  <c r="K829" i="10" s="1"/>
  <c r="N829" i="10"/>
  <c r="L829" i="10"/>
  <c r="J829" i="10"/>
  <c r="I829" i="10"/>
  <c r="H829" i="10"/>
  <c r="O828" i="10"/>
  <c r="P828" i="10" s="1"/>
  <c r="N828" i="10"/>
  <c r="L828" i="10"/>
  <c r="J828" i="10"/>
  <c r="I828" i="10"/>
  <c r="H828" i="10"/>
  <c r="O827" i="10"/>
  <c r="P827" i="10" s="1"/>
  <c r="N827" i="10"/>
  <c r="L827" i="10"/>
  <c r="J827" i="10"/>
  <c r="I827" i="10"/>
  <c r="H827" i="10"/>
  <c r="O826" i="10"/>
  <c r="P826" i="10" s="1"/>
  <c r="N826" i="10"/>
  <c r="L826" i="10"/>
  <c r="J826" i="10"/>
  <c r="I826" i="10"/>
  <c r="H826" i="10"/>
  <c r="O825" i="10"/>
  <c r="P825" i="10" s="1"/>
  <c r="N825" i="10"/>
  <c r="L825" i="10"/>
  <c r="J825" i="10"/>
  <c r="I825" i="10"/>
  <c r="H825" i="10"/>
  <c r="O824" i="10"/>
  <c r="K824" i="10" s="1"/>
  <c r="N824" i="10"/>
  <c r="L824" i="10"/>
  <c r="J824" i="10"/>
  <c r="I824" i="10"/>
  <c r="H824" i="10"/>
  <c r="O823" i="10"/>
  <c r="P823" i="10" s="1"/>
  <c r="N823" i="10"/>
  <c r="L823" i="10"/>
  <c r="J823" i="10"/>
  <c r="I823" i="10"/>
  <c r="H823" i="10"/>
  <c r="O822" i="10"/>
  <c r="K822" i="10" s="1"/>
  <c r="N822" i="10"/>
  <c r="L822" i="10"/>
  <c r="J822" i="10"/>
  <c r="I822" i="10"/>
  <c r="H822" i="10"/>
  <c r="O821" i="10"/>
  <c r="K821" i="10" s="1"/>
  <c r="N821" i="10"/>
  <c r="L821" i="10"/>
  <c r="J821" i="10"/>
  <c r="I821" i="10"/>
  <c r="H821" i="10"/>
  <c r="O820" i="10"/>
  <c r="P820" i="10" s="1"/>
  <c r="N820" i="10"/>
  <c r="L820" i="10"/>
  <c r="J820" i="10"/>
  <c r="I820" i="10"/>
  <c r="H820" i="10"/>
  <c r="O819" i="10"/>
  <c r="P819" i="10" s="1"/>
  <c r="N819" i="10"/>
  <c r="L819" i="10"/>
  <c r="J819" i="10"/>
  <c r="I819" i="10"/>
  <c r="H819" i="10"/>
  <c r="O818" i="10"/>
  <c r="P818" i="10" s="1"/>
  <c r="N818" i="10"/>
  <c r="L818" i="10"/>
  <c r="J818" i="10"/>
  <c r="I818" i="10"/>
  <c r="H818" i="10"/>
  <c r="O817" i="10"/>
  <c r="K817" i="10" s="1"/>
  <c r="N817" i="10"/>
  <c r="L817" i="10"/>
  <c r="J817" i="10"/>
  <c r="I817" i="10"/>
  <c r="H817" i="10"/>
  <c r="O816" i="10"/>
  <c r="P816" i="10" s="1"/>
  <c r="N816" i="10"/>
  <c r="L816" i="10"/>
  <c r="J816" i="10"/>
  <c r="I816" i="10"/>
  <c r="H816" i="10"/>
  <c r="O815" i="10"/>
  <c r="K815" i="10" s="1"/>
  <c r="N815" i="10"/>
  <c r="L815" i="10"/>
  <c r="J815" i="10"/>
  <c r="I815" i="10"/>
  <c r="H815" i="10"/>
  <c r="O814" i="10"/>
  <c r="N814" i="10"/>
  <c r="L814" i="10"/>
  <c r="J814" i="10"/>
  <c r="I814" i="10"/>
  <c r="H814" i="10"/>
  <c r="O813" i="10"/>
  <c r="P813" i="10" s="1"/>
  <c r="N813" i="10"/>
  <c r="L813" i="10"/>
  <c r="J813" i="10"/>
  <c r="I813" i="10"/>
  <c r="H813" i="10"/>
  <c r="O812" i="10"/>
  <c r="K812" i="10" s="1"/>
  <c r="N812" i="10"/>
  <c r="L812" i="10"/>
  <c r="J812" i="10"/>
  <c r="I812" i="10"/>
  <c r="H812" i="10"/>
  <c r="O811" i="10"/>
  <c r="P811" i="10" s="1"/>
  <c r="N811" i="10"/>
  <c r="L811" i="10"/>
  <c r="J811" i="10"/>
  <c r="I811" i="10"/>
  <c r="H811" i="10"/>
  <c r="O810" i="10"/>
  <c r="K810" i="10" s="1"/>
  <c r="N810" i="10"/>
  <c r="L810" i="10"/>
  <c r="J810" i="10"/>
  <c r="I810" i="10"/>
  <c r="H810" i="10"/>
  <c r="O809" i="10"/>
  <c r="P809" i="10" s="1"/>
  <c r="N809" i="10"/>
  <c r="L809" i="10"/>
  <c r="J809" i="10"/>
  <c r="I809" i="10"/>
  <c r="H809" i="10"/>
  <c r="O808" i="10"/>
  <c r="P808" i="10" s="1"/>
  <c r="N808" i="10"/>
  <c r="L808" i="10"/>
  <c r="J808" i="10"/>
  <c r="I808" i="10"/>
  <c r="H808" i="10"/>
  <c r="O807" i="10"/>
  <c r="P807" i="10" s="1"/>
  <c r="N807" i="10"/>
  <c r="L807" i="10"/>
  <c r="J807" i="10"/>
  <c r="I807" i="10"/>
  <c r="H807" i="10"/>
  <c r="O806" i="10"/>
  <c r="K806" i="10" s="1"/>
  <c r="N806" i="10"/>
  <c r="L806" i="10"/>
  <c r="J806" i="10"/>
  <c r="I806" i="10"/>
  <c r="H806" i="10"/>
  <c r="O805" i="10"/>
  <c r="K805" i="10" s="1"/>
  <c r="N805" i="10"/>
  <c r="L805" i="10"/>
  <c r="J805" i="10"/>
  <c r="I805" i="10"/>
  <c r="H805" i="10"/>
  <c r="O804" i="10"/>
  <c r="P804" i="10" s="1"/>
  <c r="N804" i="10"/>
  <c r="L804" i="10"/>
  <c r="J804" i="10"/>
  <c r="I804" i="10"/>
  <c r="H804" i="10"/>
  <c r="O803" i="10"/>
  <c r="P803" i="10" s="1"/>
  <c r="N803" i="10"/>
  <c r="L803" i="10"/>
  <c r="J803" i="10"/>
  <c r="I803" i="10"/>
  <c r="H803" i="10"/>
  <c r="O802" i="10"/>
  <c r="P802" i="10" s="1"/>
  <c r="N802" i="10"/>
  <c r="L802" i="10"/>
  <c r="J802" i="10"/>
  <c r="I802" i="10"/>
  <c r="H802" i="10"/>
  <c r="O801" i="10"/>
  <c r="K801" i="10" s="1"/>
  <c r="N801" i="10"/>
  <c r="L801" i="10"/>
  <c r="J801" i="10"/>
  <c r="I801" i="10"/>
  <c r="H801" i="10"/>
  <c r="O800" i="10"/>
  <c r="N800" i="10"/>
  <c r="L800" i="10"/>
  <c r="J800" i="10"/>
  <c r="I800" i="10"/>
  <c r="H800" i="10"/>
  <c r="O799" i="10"/>
  <c r="K799" i="10" s="1"/>
  <c r="N799" i="10"/>
  <c r="L799" i="10"/>
  <c r="J799" i="10"/>
  <c r="I799" i="10"/>
  <c r="H799" i="10"/>
  <c r="O798" i="10"/>
  <c r="P798" i="10" s="1"/>
  <c r="N798" i="10"/>
  <c r="L798" i="10"/>
  <c r="J798" i="10"/>
  <c r="I798" i="10"/>
  <c r="H798" i="10"/>
  <c r="O797" i="10"/>
  <c r="P797" i="10" s="1"/>
  <c r="N797" i="10"/>
  <c r="L797" i="10"/>
  <c r="J797" i="10"/>
  <c r="I797" i="10"/>
  <c r="H797" i="10"/>
  <c r="O796" i="10"/>
  <c r="K796" i="10" s="1"/>
  <c r="N796" i="10"/>
  <c r="L796" i="10"/>
  <c r="J796" i="10"/>
  <c r="I796" i="10"/>
  <c r="H796" i="10"/>
  <c r="O795" i="10"/>
  <c r="P795" i="10" s="1"/>
  <c r="N795" i="10"/>
  <c r="L795" i="10"/>
  <c r="J795" i="10"/>
  <c r="I795" i="10"/>
  <c r="H795" i="10"/>
  <c r="O794" i="10"/>
  <c r="P794" i="10" s="1"/>
  <c r="N794" i="10"/>
  <c r="L794" i="10"/>
  <c r="J794" i="10"/>
  <c r="I794" i="10"/>
  <c r="H794" i="10"/>
  <c r="O793" i="10"/>
  <c r="P793" i="10" s="1"/>
  <c r="N793" i="10"/>
  <c r="L793" i="10"/>
  <c r="J793" i="10"/>
  <c r="I793" i="10"/>
  <c r="H793" i="10"/>
  <c r="O792" i="10"/>
  <c r="N792" i="10"/>
  <c r="L792" i="10"/>
  <c r="J792" i="10"/>
  <c r="I792" i="10"/>
  <c r="H792" i="10"/>
  <c r="O791" i="10"/>
  <c r="P791" i="10" s="1"/>
  <c r="N791" i="10"/>
  <c r="L791" i="10"/>
  <c r="J791" i="10"/>
  <c r="I791" i="10"/>
  <c r="H791" i="10"/>
  <c r="O790" i="10"/>
  <c r="K790" i="10" s="1"/>
  <c r="N790" i="10"/>
  <c r="L790" i="10"/>
  <c r="J790" i="10"/>
  <c r="I790" i="10"/>
  <c r="H790" i="10"/>
  <c r="O789" i="10"/>
  <c r="P789" i="10" s="1"/>
  <c r="N789" i="10"/>
  <c r="L789" i="10"/>
  <c r="J789" i="10"/>
  <c r="I789" i="10"/>
  <c r="H789" i="10"/>
  <c r="O788" i="10"/>
  <c r="P788" i="10" s="1"/>
  <c r="N788" i="10"/>
  <c r="L788" i="10"/>
  <c r="J788" i="10"/>
  <c r="I788" i="10"/>
  <c r="H788" i="10"/>
  <c r="O787" i="10"/>
  <c r="P787" i="10" s="1"/>
  <c r="N787" i="10"/>
  <c r="L787" i="10"/>
  <c r="J787" i="10"/>
  <c r="I787" i="10"/>
  <c r="H787" i="10"/>
  <c r="O786" i="10"/>
  <c r="P786" i="10" s="1"/>
  <c r="N786" i="10"/>
  <c r="L786" i="10"/>
  <c r="J786" i="10"/>
  <c r="I786" i="10"/>
  <c r="H786" i="10"/>
  <c r="O785" i="10"/>
  <c r="P785" i="10" s="1"/>
  <c r="N785" i="10"/>
  <c r="L785" i="10"/>
  <c r="J785" i="10"/>
  <c r="I785" i="10"/>
  <c r="H785" i="10"/>
  <c r="O784" i="10"/>
  <c r="P784" i="10" s="1"/>
  <c r="N784" i="10"/>
  <c r="L784" i="10"/>
  <c r="J784" i="10"/>
  <c r="I784" i="10"/>
  <c r="H784" i="10"/>
  <c r="O783" i="10"/>
  <c r="P783" i="10" s="1"/>
  <c r="N783" i="10"/>
  <c r="L783" i="10"/>
  <c r="J783" i="10"/>
  <c r="I783" i="10"/>
  <c r="H783" i="10"/>
  <c r="O782" i="10"/>
  <c r="P782" i="10" s="1"/>
  <c r="N782" i="10"/>
  <c r="L782" i="10"/>
  <c r="J782" i="10"/>
  <c r="I782" i="10"/>
  <c r="H782" i="10"/>
  <c r="O781" i="10"/>
  <c r="K781" i="10" s="1"/>
  <c r="N781" i="10"/>
  <c r="L781" i="10"/>
  <c r="J781" i="10"/>
  <c r="I781" i="10"/>
  <c r="H781" i="10"/>
  <c r="O780" i="10"/>
  <c r="P780" i="10" s="1"/>
  <c r="N780" i="10"/>
  <c r="L780" i="10"/>
  <c r="J780" i="10"/>
  <c r="I780" i="10"/>
  <c r="H780" i="10"/>
  <c r="O779" i="10"/>
  <c r="P779" i="10" s="1"/>
  <c r="N779" i="10"/>
  <c r="L779" i="10"/>
  <c r="J779" i="10"/>
  <c r="I779" i="10"/>
  <c r="H779" i="10"/>
  <c r="O778" i="10"/>
  <c r="P778" i="10" s="1"/>
  <c r="N778" i="10"/>
  <c r="L778" i="10"/>
  <c r="J778" i="10"/>
  <c r="I778" i="10"/>
  <c r="H778" i="10"/>
  <c r="O777" i="10"/>
  <c r="P777" i="10" s="1"/>
  <c r="N777" i="10"/>
  <c r="L777" i="10"/>
  <c r="J777" i="10"/>
  <c r="I777" i="10"/>
  <c r="H777" i="10"/>
  <c r="O776" i="10"/>
  <c r="P776" i="10" s="1"/>
  <c r="N776" i="10"/>
  <c r="L776" i="10"/>
  <c r="J776" i="10"/>
  <c r="I776" i="10"/>
  <c r="H776" i="10"/>
  <c r="O775" i="10"/>
  <c r="P775" i="10" s="1"/>
  <c r="N775" i="10"/>
  <c r="L775" i="10"/>
  <c r="J775" i="10"/>
  <c r="I775" i="10"/>
  <c r="H775" i="10"/>
  <c r="O774" i="10"/>
  <c r="K774" i="10" s="1"/>
  <c r="N774" i="10"/>
  <c r="L774" i="10"/>
  <c r="J774" i="10"/>
  <c r="I774" i="10"/>
  <c r="H774" i="10"/>
  <c r="O773" i="10"/>
  <c r="K773" i="10" s="1"/>
  <c r="N773" i="10"/>
  <c r="L773" i="10"/>
  <c r="J773" i="10"/>
  <c r="I773" i="10"/>
  <c r="H773" i="10"/>
  <c r="O772" i="10"/>
  <c r="P772" i="10" s="1"/>
  <c r="N772" i="10"/>
  <c r="L772" i="10"/>
  <c r="J772" i="10"/>
  <c r="I772" i="10"/>
  <c r="H772" i="10"/>
  <c r="O771" i="10"/>
  <c r="P771" i="10" s="1"/>
  <c r="N771" i="10"/>
  <c r="L771" i="10"/>
  <c r="J771" i="10"/>
  <c r="I771" i="10"/>
  <c r="H771" i="10"/>
  <c r="O770" i="10"/>
  <c r="K770" i="10" s="1"/>
  <c r="N770" i="10"/>
  <c r="L770" i="10"/>
  <c r="J770" i="10"/>
  <c r="I770" i="10"/>
  <c r="H770" i="10"/>
  <c r="O769" i="10"/>
  <c r="P769" i="10" s="1"/>
  <c r="N769" i="10"/>
  <c r="L769" i="10"/>
  <c r="J769" i="10"/>
  <c r="I769" i="10"/>
  <c r="H769" i="10"/>
  <c r="O768" i="10"/>
  <c r="P768" i="10" s="1"/>
  <c r="N768" i="10"/>
  <c r="L768" i="10"/>
  <c r="J768" i="10"/>
  <c r="I768" i="10"/>
  <c r="H768" i="10"/>
  <c r="O767" i="10"/>
  <c r="P767" i="10" s="1"/>
  <c r="N767" i="10"/>
  <c r="L767" i="10"/>
  <c r="J767" i="10"/>
  <c r="I767" i="10"/>
  <c r="H767" i="10"/>
  <c r="O766" i="10"/>
  <c r="K766" i="10" s="1"/>
  <c r="N766" i="10"/>
  <c r="L766" i="10"/>
  <c r="J766" i="10"/>
  <c r="I766" i="10"/>
  <c r="H766" i="10"/>
  <c r="O765" i="10"/>
  <c r="P765" i="10" s="1"/>
  <c r="N765" i="10"/>
  <c r="L765" i="10"/>
  <c r="J765" i="10"/>
  <c r="I765" i="10"/>
  <c r="H765" i="10"/>
  <c r="O764" i="10"/>
  <c r="P764" i="10" s="1"/>
  <c r="N764" i="10"/>
  <c r="L764" i="10"/>
  <c r="J764" i="10"/>
  <c r="I764" i="10"/>
  <c r="H764" i="10"/>
  <c r="O763" i="10"/>
  <c r="P763" i="10" s="1"/>
  <c r="N763" i="10"/>
  <c r="L763" i="10"/>
  <c r="J763" i="10"/>
  <c r="I763" i="10"/>
  <c r="H763" i="10"/>
  <c r="O762" i="10"/>
  <c r="K762" i="10" s="1"/>
  <c r="N762" i="10"/>
  <c r="L762" i="10"/>
  <c r="J762" i="10"/>
  <c r="I762" i="10"/>
  <c r="H762" i="10"/>
  <c r="O761" i="10"/>
  <c r="P761" i="10" s="1"/>
  <c r="N761" i="10"/>
  <c r="L761" i="10"/>
  <c r="J761" i="10"/>
  <c r="I761" i="10"/>
  <c r="H761" i="10"/>
  <c r="O760" i="10"/>
  <c r="K760" i="10" s="1"/>
  <c r="N760" i="10"/>
  <c r="L760" i="10"/>
  <c r="J760" i="10"/>
  <c r="I760" i="10"/>
  <c r="H760" i="10"/>
  <c r="O759" i="10"/>
  <c r="N759" i="10"/>
  <c r="L759" i="10"/>
  <c r="J759" i="10"/>
  <c r="I759" i="10"/>
  <c r="H759" i="10"/>
  <c r="O758" i="10"/>
  <c r="K758" i="10" s="1"/>
  <c r="N758" i="10"/>
  <c r="L758" i="10"/>
  <c r="J758" i="10"/>
  <c r="I758" i="10"/>
  <c r="H758" i="10"/>
  <c r="O757" i="10"/>
  <c r="P757" i="10" s="1"/>
  <c r="N757" i="10"/>
  <c r="L757" i="10"/>
  <c r="J757" i="10"/>
  <c r="I757" i="10"/>
  <c r="H757" i="10"/>
  <c r="O756" i="10"/>
  <c r="P756" i="10" s="1"/>
  <c r="N756" i="10"/>
  <c r="L756" i="10"/>
  <c r="J756" i="10"/>
  <c r="I756" i="10"/>
  <c r="H756" i="10"/>
  <c r="O755" i="10"/>
  <c r="K755" i="10" s="1"/>
  <c r="N755" i="10"/>
  <c r="L755" i="10"/>
  <c r="J755" i="10"/>
  <c r="I755" i="10"/>
  <c r="H755" i="10"/>
  <c r="O754" i="10"/>
  <c r="P754" i="10" s="1"/>
  <c r="N754" i="10"/>
  <c r="L754" i="10"/>
  <c r="J754" i="10"/>
  <c r="I754" i="10"/>
  <c r="H754" i="10"/>
  <c r="O753" i="10"/>
  <c r="P753" i="10" s="1"/>
  <c r="N753" i="10"/>
  <c r="L753" i="10"/>
  <c r="J753" i="10"/>
  <c r="I753" i="10"/>
  <c r="H753" i="10"/>
  <c r="O752" i="10"/>
  <c r="P752" i="10" s="1"/>
  <c r="N752" i="10"/>
  <c r="L752" i="10"/>
  <c r="J752" i="10"/>
  <c r="I752" i="10"/>
  <c r="H752" i="10"/>
  <c r="O751" i="10"/>
  <c r="P751" i="10" s="1"/>
  <c r="N751" i="10"/>
  <c r="L751" i="10"/>
  <c r="J751" i="10"/>
  <c r="I751" i="10"/>
  <c r="H751" i="10"/>
  <c r="O750" i="10"/>
  <c r="P750" i="10" s="1"/>
  <c r="N750" i="10"/>
  <c r="L750" i="10"/>
  <c r="J750" i="10"/>
  <c r="I750" i="10"/>
  <c r="H750" i="10"/>
  <c r="O749" i="10"/>
  <c r="P749" i="10" s="1"/>
  <c r="N749" i="10"/>
  <c r="L749" i="10"/>
  <c r="J749" i="10"/>
  <c r="I749" i="10"/>
  <c r="H749" i="10"/>
  <c r="O748" i="10"/>
  <c r="K748" i="10" s="1"/>
  <c r="N748" i="10"/>
  <c r="L748" i="10"/>
  <c r="J748" i="10"/>
  <c r="I748" i="10"/>
  <c r="H748" i="10"/>
  <c r="O747" i="10"/>
  <c r="P747" i="10" s="1"/>
  <c r="N747" i="10"/>
  <c r="L747" i="10"/>
  <c r="J747" i="10"/>
  <c r="I747" i="10"/>
  <c r="H747" i="10"/>
  <c r="O746" i="10"/>
  <c r="K746" i="10" s="1"/>
  <c r="N746" i="10"/>
  <c r="L746" i="10"/>
  <c r="J746" i="10"/>
  <c r="I746" i="10"/>
  <c r="H746" i="10"/>
  <c r="O745" i="10"/>
  <c r="P745" i="10" s="1"/>
  <c r="N745" i="10"/>
  <c r="L745" i="10"/>
  <c r="J745" i="10"/>
  <c r="I745" i="10"/>
  <c r="H745" i="10"/>
  <c r="O744" i="10"/>
  <c r="P744" i="10" s="1"/>
  <c r="N744" i="10"/>
  <c r="L744" i="10"/>
  <c r="J744" i="10"/>
  <c r="I744" i="10"/>
  <c r="H744" i="10"/>
  <c r="O743" i="10"/>
  <c r="P743" i="10" s="1"/>
  <c r="N743" i="10"/>
  <c r="L743" i="10"/>
  <c r="J743" i="10"/>
  <c r="I743" i="10"/>
  <c r="H743" i="10"/>
  <c r="O742" i="10"/>
  <c r="K742" i="10" s="1"/>
  <c r="N742" i="10"/>
  <c r="L742" i="10"/>
  <c r="J742" i="10"/>
  <c r="I742" i="10"/>
  <c r="H742" i="10"/>
  <c r="O741" i="10"/>
  <c r="K741" i="10" s="1"/>
  <c r="N741" i="10"/>
  <c r="L741" i="10"/>
  <c r="J741" i="10"/>
  <c r="I741" i="10"/>
  <c r="H741" i="10"/>
  <c r="O740" i="10"/>
  <c r="P740" i="10" s="1"/>
  <c r="N740" i="10"/>
  <c r="L740" i="10"/>
  <c r="J740" i="10"/>
  <c r="I740" i="10"/>
  <c r="H740" i="10"/>
  <c r="O739" i="10"/>
  <c r="P739" i="10" s="1"/>
  <c r="N739" i="10"/>
  <c r="L739" i="10"/>
  <c r="J739" i="10"/>
  <c r="I739" i="10"/>
  <c r="H739" i="10"/>
  <c r="O738" i="10"/>
  <c r="P738" i="10" s="1"/>
  <c r="N738" i="10"/>
  <c r="L738" i="10"/>
  <c r="J738" i="10"/>
  <c r="I738" i="10"/>
  <c r="H738" i="10"/>
  <c r="O737" i="10"/>
  <c r="K737" i="10" s="1"/>
  <c r="N737" i="10"/>
  <c r="L737" i="10"/>
  <c r="J737" i="10"/>
  <c r="I737" i="10"/>
  <c r="H737" i="10"/>
  <c r="O736" i="10"/>
  <c r="P736" i="10" s="1"/>
  <c r="N736" i="10"/>
  <c r="L736" i="10"/>
  <c r="J736" i="10"/>
  <c r="I736" i="10"/>
  <c r="H736" i="10"/>
  <c r="O735" i="10"/>
  <c r="P735" i="10" s="1"/>
  <c r="N735" i="10"/>
  <c r="L735" i="10"/>
  <c r="J735" i="10"/>
  <c r="I735" i="10"/>
  <c r="H735" i="10"/>
  <c r="O734" i="10"/>
  <c r="P734" i="10" s="1"/>
  <c r="N734" i="10"/>
  <c r="L734" i="10"/>
  <c r="J734" i="10"/>
  <c r="I734" i="10"/>
  <c r="H734" i="10"/>
  <c r="O733" i="10"/>
  <c r="K733" i="10" s="1"/>
  <c r="N733" i="10"/>
  <c r="L733" i="10"/>
  <c r="J733" i="10"/>
  <c r="I733" i="10"/>
  <c r="H733" i="10"/>
  <c r="O732" i="10"/>
  <c r="P732" i="10" s="1"/>
  <c r="N732" i="10"/>
  <c r="L732" i="10"/>
  <c r="J732" i="10"/>
  <c r="I732" i="10"/>
  <c r="H732" i="10"/>
  <c r="O731" i="10"/>
  <c r="P731" i="10" s="1"/>
  <c r="N731" i="10"/>
  <c r="L731" i="10"/>
  <c r="J731" i="10"/>
  <c r="I731" i="10"/>
  <c r="H731" i="10"/>
  <c r="O730" i="10"/>
  <c r="P730" i="10" s="1"/>
  <c r="N730" i="10"/>
  <c r="L730" i="10"/>
  <c r="J730" i="10"/>
  <c r="I730" i="10"/>
  <c r="H730" i="10"/>
  <c r="O729" i="10"/>
  <c r="P729" i="10" s="1"/>
  <c r="N729" i="10"/>
  <c r="L729" i="10"/>
  <c r="J729" i="10"/>
  <c r="I729" i="10"/>
  <c r="H729" i="10"/>
  <c r="O728" i="10"/>
  <c r="K728" i="10" s="1"/>
  <c r="N728" i="10"/>
  <c r="L728" i="10"/>
  <c r="J728" i="10"/>
  <c r="I728" i="10"/>
  <c r="H728" i="10"/>
  <c r="O727" i="10"/>
  <c r="P727" i="10" s="1"/>
  <c r="N727" i="10"/>
  <c r="L727" i="10"/>
  <c r="J727" i="10"/>
  <c r="I727" i="10"/>
  <c r="H727" i="10"/>
  <c r="O726" i="10"/>
  <c r="K726" i="10" s="1"/>
  <c r="N726" i="10"/>
  <c r="L726" i="10"/>
  <c r="J726" i="10"/>
  <c r="I726" i="10"/>
  <c r="H726" i="10"/>
  <c r="O725" i="10"/>
  <c r="P725" i="10" s="1"/>
  <c r="N725" i="10"/>
  <c r="L725" i="10"/>
  <c r="J725" i="10"/>
  <c r="I725" i="10"/>
  <c r="H725" i="10"/>
  <c r="O724" i="10"/>
  <c r="P724" i="10" s="1"/>
  <c r="N724" i="10"/>
  <c r="L724" i="10"/>
  <c r="J724" i="10"/>
  <c r="I724" i="10"/>
  <c r="H724" i="10"/>
  <c r="O723" i="10"/>
  <c r="P723" i="10" s="1"/>
  <c r="N723" i="10"/>
  <c r="L723" i="10"/>
  <c r="J723" i="10"/>
  <c r="I723" i="10"/>
  <c r="H723" i="10"/>
  <c r="O722" i="10"/>
  <c r="K722" i="10" s="1"/>
  <c r="N722" i="10"/>
  <c r="L722" i="10"/>
  <c r="J722" i="10"/>
  <c r="I722" i="10"/>
  <c r="H722" i="10"/>
  <c r="O721" i="10"/>
  <c r="P721" i="10" s="1"/>
  <c r="N721" i="10"/>
  <c r="L721" i="10"/>
  <c r="J721" i="10"/>
  <c r="I721" i="10"/>
  <c r="H721" i="10"/>
  <c r="O720" i="10"/>
  <c r="K720" i="10" s="1"/>
  <c r="N720" i="10"/>
  <c r="L720" i="10"/>
  <c r="J720" i="10"/>
  <c r="I720" i="10"/>
  <c r="H720" i="10"/>
  <c r="O719" i="10"/>
  <c r="K719" i="10" s="1"/>
  <c r="N719" i="10"/>
  <c r="L719" i="10"/>
  <c r="J719" i="10"/>
  <c r="I719" i="10"/>
  <c r="H719" i="10"/>
  <c r="O718" i="10"/>
  <c r="P718" i="10" s="1"/>
  <c r="N718" i="10"/>
  <c r="L718" i="10"/>
  <c r="J718" i="10"/>
  <c r="I718" i="10"/>
  <c r="H718" i="10"/>
  <c r="O717" i="10"/>
  <c r="P717" i="10" s="1"/>
  <c r="N717" i="10"/>
  <c r="L717" i="10"/>
  <c r="J717" i="10"/>
  <c r="I717" i="10"/>
  <c r="H717" i="10"/>
  <c r="O716" i="10"/>
  <c r="N716" i="10"/>
  <c r="L716" i="10"/>
  <c r="J716" i="10"/>
  <c r="I716" i="10"/>
  <c r="H716" i="10"/>
  <c r="O715" i="10"/>
  <c r="K715" i="10" s="1"/>
  <c r="N715" i="10"/>
  <c r="L715" i="10"/>
  <c r="J715" i="10"/>
  <c r="I715" i="10"/>
  <c r="H715" i="10"/>
  <c r="O714" i="10"/>
  <c r="P714" i="10" s="1"/>
  <c r="N714" i="10"/>
  <c r="L714" i="10"/>
  <c r="J714" i="10"/>
  <c r="I714" i="10"/>
  <c r="H714" i="10"/>
  <c r="O713" i="10"/>
  <c r="P713" i="10" s="1"/>
  <c r="N713" i="10"/>
  <c r="L713" i="10"/>
  <c r="J713" i="10"/>
  <c r="I713" i="10"/>
  <c r="H713" i="10"/>
  <c r="O712" i="10"/>
  <c r="P712" i="10" s="1"/>
  <c r="N712" i="10"/>
  <c r="L712" i="10"/>
  <c r="J712" i="10"/>
  <c r="I712" i="10"/>
  <c r="H712" i="10"/>
  <c r="O711" i="10"/>
  <c r="P711" i="10" s="1"/>
  <c r="N711" i="10"/>
  <c r="L711" i="10"/>
  <c r="J711" i="10"/>
  <c r="I711" i="10"/>
  <c r="H711" i="10"/>
  <c r="O710" i="10"/>
  <c r="K710" i="10" s="1"/>
  <c r="N710" i="10"/>
  <c r="L710" i="10"/>
  <c r="J710" i="10"/>
  <c r="I710" i="10"/>
  <c r="H710" i="10"/>
  <c r="O709" i="10"/>
  <c r="K709" i="10" s="1"/>
  <c r="N709" i="10"/>
  <c r="L709" i="10"/>
  <c r="J709" i="10"/>
  <c r="I709" i="10"/>
  <c r="H709" i="10"/>
  <c r="O708" i="10"/>
  <c r="K708" i="10" s="1"/>
  <c r="N708" i="10"/>
  <c r="L708" i="10"/>
  <c r="J708" i="10"/>
  <c r="I708" i="10"/>
  <c r="H708" i="10"/>
  <c r="O707" i="10"/>
  <c r="P707" i="10" s="1"/>
  <c r="N707" i="10"/>
  <c r="L707" i="10"/>
  <c r="J707" i="10"/>
  <c r="I707" i="10"/>
  <c r="H707" i="10"/>
  <c r="O706" i="10"/>
  <c r="P706" i="10" s="1"/>
  <c r="N706" i="10"/>
  <c r="L706" i="10"/>
  <c r="J706" i="10"/>
  <c r="I706" i="10"/>
  <c r="H706" i="10"/>
  <c r="O705" i="10"/>
  <c r="P705" i="10" s="1"/>
  <c r="N705" i="10"/>
  <c r="L705" i="10"/>
  <c r="J705" i="10"/>
  <c r="I705" i="10"/>
  <c r="H705" i="10"/>
  <c r="O704" i="10"/>
  <c r="K704" i="10" s="1"/>
  <c r="N704" i="10"/>
  <c r="L704" i="10"/>
  <c r="J704" i="10"/>
  <c r="I704" i="10"/>
  <c r="H704" i="10"/>
  <c r="O703" i="10"/>
  <c r="K703" i="10" s="1"/>
  <c r="N703" i="10"/>
  <c r="L703" i="10"/>
  <c r="J703" i="10"/>
  <c r="I703" i="10"/>
  <c r="H703" i="10"/>
  <c r="O702" i="10"/>
  <c r="P702" i="10" s="1"/>
  <c r="N702" i="10"/>
  <c r="L702" i="10"/>
  <c r="J702" i="10"/>
  <c r="I702" i="10"/>
  <c r="H702" i="10"/>
  <c r="O701" i="10"/>
  <c r="K701" i="10" s="1"/>
  <c r="N701" i="10"/>
  <c r="L701" i="10"/>
  <c r="J701" i="10"/>
  <c r="I701" i="10"/>
  <c r="H701" i="10"/>
  <c r="O700" i="10"/>
  <c r="P700" i="10" s="1"/>
  <c r="N700" i="10"/>
  <c r="L700" i="10"/>
  <c r="J700" i="10"/>
  <c r="I700" i="10"/>
  <c r="H700" i="10"/>
  <c r="O699" i="10"/>
  <c r="P699" i="10" s="1"/>
  <c r="N699" i="10"/>
  <c r="L699" i="10"/>
  <c r="J699" i="10"/>
  <c r="I699" i="10"/>
  <c r="H699" i="10"/>
  <c r="O698" i="10"/>
  <c r="K698" i="10" s="1"/>
  <c r="N698" i="10"/>
  <c r="L698" i="10"/>
  <c r="J698" i="10"/>
  <c r="I698" i="10"/>
  <c r="H698" i="10"/>
  <c r="O697" i="10"/>
  <c r="P697" i="10" s="1"/>
  <c r="N697" i="10"/>
  <c r="L697" i="10"/>
  <c r="J697" i="10"/>
  <c r="I697" i="10"/>
  <c r="H697" i="10"/>
  <c r="O696" i="10"/>
  <c r="K696" i="10" s="1"/>
  <c r="N696" i="10"/>
  <c r="L696" i="10"/>
  <c r="J696" i="10"/>
  <c r="I696" i="10"/>
  <c r="H696" i="10"/>
  <c r="O695" i="10"/>
  <c r="P695" i="10" s="1"/>
  <c r="N695" i="10"/>
  <c r="L695" i="10"/>
  <c r="J695" i="10"/>
  <c r="I695" i="10"/>
  <c r="H695" i="10"/>
  <c r="O694" i="10"/>
  <c r="K694" i="10" s="1"/>
  <c r="N694" i="10"/>
  <c r="L694" i="10"/>
  <c r="J694" i="10"/>
  <c r="I694" i="10"/>
  <c r="H694" i="10"/>
  <c r="O693" i="10"/>
  <c r="K693" i="10" s="1"/>
  <c r="N693" i="10"/>
  <c r="L693" i="10"/>
  <c r="J693" i="10"/>
  <c r="I693" i="10"/>
  <c r="H693" i="10"/>
  <c r="O692" i="10"/>
  <c r="P692" i="10" s="1"/>
  <c r="N692" i="10"/>
  <c r="L692" i="10"/>
  <c r="J692" i="10"/>
  <c r="I692" i="10"/>
  <c r="H692" i="10"/>
  <c r="O691" i="10"/>
  <c r="P691" i="10" s="1"/>
  <c r="N691" i="10"/>
  <c r="L691" i="10"/>
  <c r="J691" i="10"/>
  <c r="I691" i="10"/>
  <c r="H691" i="10"/>
  <c r="O690" i="10"/>
  <c r="P690" i="10" s="1"/>
  <c r="N690" i="10"/>
  <c r="L690" i="10"/>
  <c r="J690" i="10"/>
  <c r="I690" i="10"/>
  <c r="H690" i="10"/>
  <c r="O689" i="10"/>
  <c r="P689" i="10" s="1"/>
  <c r="N689" i="10"/>
  <c r="L689" i="10"/>
  <c r="J689" i="10"/>
  <c r="I689" i="10"/>
  <c r="H689" i="10"/>
  <c r="O688" i="10"/>
  <c r="P688" i="10" s="1"/>
  <c r="N688" i="10"/>
  <c r="L688" i="10"/>
  <c r="J688" i="10"/>
  <c r="I688" i="10"/>
  <c r="H688" i="10"/>
  <c r="O687" i="10"/>
  <c r="K687" i="10" s="1"/>
  <c r="N687" i="10"/>
  <c r="L687" i="10"/>
  <c r="J687" i="10"/>
  <c r="I687" i="10"/>
  <c r="H687" i="10"/>
  <c r="O686" i="10"/>
  <c r="N686" i="10"/>
  <c r="L686" i="10"/>
  <c r="J686" i="10"/>
  <c r="I686" i="10"/>
  <c r="H686" i="10"/>
  <c r="O685" i="10"/>
  <c r="P685" i="10" s="1"/>
  <c r="N685" i="10"/>
  <c r="L685" i="10"/>
  <c r="J685" i="10"/>
  <c r="I685" i="10"/>
  <c r="H685" i="10"/>
  <c r="O684" i="10"/>
  <c r="P684" i="10" s="1"/>
  <c r="N684" i="10"/>
  <c r="L684" i="10"/>
  <c r="J684" i="10"/>
  <c r="I684" i="10"/>
  <c r="H684" i="10"/>
  <c r="O683" i="10"/>
  <c r="K683" i="10" s="1"/>
  <c r="N683" i="10"/>
  <c r="L683" i="10"/>
  <c r="J683" i="10"/>
  <c r="I683" i="10"/>
  <c r="H683" i="10"/>
  <c r="O682" i="10"/>
  <c r="P682" i="10" s="1"/>
  <c r="N682" i="10"/>
  <c r="L682" i="10"/>
  <c r="J682" i="10"/>
  <c r="I682" i="10"/>
  <c r="H682" i="10"/>
  <c r="O681" i="10"/>
  <c r="P681" i="10" s="1"/>
  <c r="N681" i="10"/>
  <c r="L681" i="10"/>
  <c r="J681" i="10"/>
  <c r="I681" i="10"/>
  <c r="H681" i="10"/>
  <c r="O680" i="10"/>
  <c r="P680" i="10" s="1"/>
  <c r="N680" i="10"/>
  <c r="L680" i="10"/>
  <c r="J680" i="10"/>
  <c r="I680" i="10"/>
  <c r="H680" i="10"/>
  <c r="O679" i="10"/>
  <c r="K679" i="10" s="1"/>
  <c r="N679" i="10"/>
  <c r="L679" i="10"/>
  <c r="J679" i="10"/>
  <c r="I679" i="10"/>
  <c r="H679" i="10"/>
  <c r="O678" i="10"/>
  <c r="K678" i="10" s="1"/>
  <c r="N678" i="10"/>
  <c r="L678" i="10"/>
  <c r="J678" i="10"/>
  <c r="I678" i="10"/>
  <c r="H678" i="10"/>
  <c r="O677" i="10"/>
  <c r="K677" i="10" s="1"/>
  <c r="N677" i="10"/>
  <c r="L677" i="10"/>
  <c r="J677" i="10"/>
  <c r="I677" i="10"/>
  <c r="H677" i="10"/>
  <c r="O676" i="10"/>
  <c r="P676" i="10" s="1"/>
  <c r="N676" i="10"/>
  <c r="L676" i="10"/>
  <c r="J676" i="10"/>
  <c r="I676" i="10"/>
  <c r="H676" i="10"/>
  <c r="O675" i="10"/>
  <c r="K675" i="10" s="1"/>
  <c r="N675" i="10"/>
  <c r="L675" i="10"/>
  <c r="J675" i="10"/>
  <c r="I675" i="10"/>
  <c r="H675" i="10"/>
  <c r="O674" i="10"/>
  <c r="P674" i="10" s="1"/>
  <c r="N674" i="10"/>
  <c r="L674" i="10"/>
  <c r="J674" i="10"/>
  <c r="I674" i="10"/>
  <c r="H674" i="10"/>
  <c r="O673" i="10"/>
  <c r="P673" i="10" s="1"/>
  <c r="N673" i="10"/>
  <c r="L673" i="10"/>
  <c r="J673" i="10"/>
  <c r="I673" i="10"/>
  <c r="H673" i="10"/>
  <c r="O672" i="10"/>
  <c r="N672" i="10"/>
  <c r="L672" i="10"/>
  <c r="J672" i="10"/>
  <c r="I672" i="10"/>
  <c r="H672" i="10"/>
  <c r="O671" i="10"/>
  <c r="K671" i="10" s="1"/>
  <c r="N671" i="10"/>
  <c r="L671" i="10"/>
  <c r="J671" i="10"/>
  <c r="I671" i="10"/>
  <c r="H671" i="10"/>
  <c r="O670" i="10"/>
  <c r="P670" i="10" s="1"/>
  <c r="N670" i="10"/>
  <c r="L670" i="10"/>
  <c r="J670" i="10"/>
  <c r="I670" i="10"/>
  <c r="H670" i="10"/>
  <c r="O669" i="10"/>
  <c r="N669" i="10"/>
  <c r="L669" i="10"/>
  <c r="J669" i="10"/>
  <c r="I669" i="10"/>
  <c r="H669" i="10"/>
  <c r="O668" i="10"/>
  <c r="K668" i="10" s="1"/>
  <c r="N668" i="10"/>
  <c r="L668" i="10"/>
  <c r="J668" i="10"/>
  <c r="I668" i="10"/>
  <c r="H668" i="10"/>
  <c r="O667" i="10"/>
  <c r="P667" i="10" s="1"/>
  <c r="N667" i="10"/>
  <c r="L667" i="10"/>
  <c r="J667" i="10"/>
  <c r="I667" i="10"/>
  <c r="H667" i="10"/>
  <c r="O666" i="10"/>
  <c r="P666" i="10" s="1"/>
  <c r="N666" i="10"/>
  <c r="L666" i="10"/>
  <c r="J666" i="10"/>
  <c r="I666" i="10"/>
  <c r="H666" i="10"/>
  <c r="O665" i="10"/>
  <c r="P665" i="10" s="1"/>
  <c r="N665" i="10"/>
  <c r="L665" i="10"/>
  <c r="J665" i="10"/>
  <c r="I665" i="10"/>
  <c r="H665" i="10"/>
  <c r="O664" i="10"/>
  <c r="N664" i="10"/>
  <c r="L664" i="10"/>
  <c r="J664" i="10"/>
  <c r="I664" i="10"/>
  <c r="H664" i="10"/>
  <c r="O663" i="10"/>
  <c r="P663" i="10" s="1"/>
  <c r="N663" i="10"/>
  <c r="L663" i="10"/>
  <c r="J663" i="10"/>
  <c r="I663" i="10"/>
  <c r="H663" i="10"/>
  <c r="O662" i="10"/>
  <c r="K662" i="10" s="1"/>
  <c r="N662" i="10"/>
  <c r="L662" i="10"/>
  <c r="J662" i="10"/>
  <c r="I662" i="10"/>
  <c r="H662" i="10"/>
  <c r="O661" i="10"/>
  <c r="P661" i="10" s="1"/>
  <c r="N661" i="10"/>
  <c r="L661" i="10"/>
  <c r="J661" i="10"/>
  <c r="I661" i="10"/>
  <c r="H661" i="10"/>
  <c r="O660" i="10"/>
  <c r="P660" i="10" s="1"/>
  <c r="N660" i="10"/>
  <c r="L660" i="10"/>
  <c r="J660" i="10"/>
  <c r="I660" i="10"/>
  <c r="H660" i="10"/>
  <c r="O659" i="10"/>
  <c r="P659" i="10" s="1"/>
  <c r="N659" i="10"/>
  <c r="L659" i="10"/>
  <c r="J659" i="10"/>
  <c r="I659" i="10"/>
  <c r="H659" i="10"/>
  <c r="O658" i="10"/>
  <c r="P658" i="10" s="1"/>
  <c r="N658" i="10"/>
  <c r="L658" i="10"/>
  <c r="J658" i="10"/>
  <c r="I658" i="10"/>
  <c r="H658" i="10"/>
  <c r="O657" i="10"/>
  <c r="P657" i="10" s="1"/>
  <c r="N657" i="10"/>
  <c r="L657" i="10"/>
  <c r="J657" i="10"/>
  <c r="I657" i="10"/>
  <c r="H657" i="10"/>
  <c r="O656" i="10"/>
  <c r="P656" i="10" s="1"/>
  <c r="N656" i="10"/>
  <c r="L656" i="10"/>
  <c r="J656" i="10"/>
  <c r="I656" i="10"/>
  <c r="H656" i="10"/>
  <c r="O655" i="10"/>
  <c r="P655" i="10" s="1"/>
  <c r="N655" i="10"/>
  <c r="L655" i="10"/>
  <c r="J655" i="10"/>
  <c r="I655" i="10"/>
  <c r="H655" i="10"/>
  <c r="O654" i="10"/>
  <c r="P654" i="10" s="1"/>
  <c r="N654" i="10"/>
  <c r="L654" i="10"/>
  <c r="J654" i="10"/>
  <c r="I654" i="10"/>
  <c r="H654" i="10"/>
  <c r="O653" i="10"/>
  <c r="K653" i="10" s="1"/>
  <c r="N653" i="10"/>
  <c r="L653" i="10"/>
  <c r="J653" i="10"/>
  <c r="I653" i="10"/>
  <c r="H653" i="10"/>
  <c r="O652" i="10"/>
  <c r="P652" i="10" s="1"/>
  <c r="N652" i="10"/>
  <c r="L652" i="10"/>
  <c r="J652" i="10"/>
  <c r="I652" i="10"/>
  <c r="H652" i="10"/>
  <c r="O651" i="10"/>
  <c r="P651" i="10" s="1"/>
  <c r="N651" i="10"/>
  <c r="L651" i="10"/>
  <c r="J651" i="10"/>
  <c r="I651" i="10"/>
  <c r="H651" i="10"/>
  <c r="O650" i="10"/>
  <c r="P650" i="10" s="1"/>
  <c r="N650" i="10"/>
  <c r="L650" i="10"/>
  <c r="J650" i="10"/>
  <c r="I650" i="10"/>
  <c r="H650" i="10"/>
  <c r="O649" i="10"/>
  <c r="P649" i="10" s="1"/>
  <c r="N649" i="10"/>
  <c r="L649" i="10"/>
  <c r="J649" i="10"/>
  <c r="I649" i="10"/>
  <c r="H649" i="10"/>
  <c r="O648" i="10"/>
  <c r="P648" i="10" s="1"/>
  <c r="N648" i="10"/>
  <c r="L648" i="10"/>
  <c r="J648" i="10"/>
  <c r="I648" i="10"/>
  <c r="H648" i="10"/>
  <c r="O647" i="10"/>
  <c r="N647" i="10"/>
  <c r="L647" i="10"/>
  <c r="J647" i="10"/>
  <c r="I647" i="10"/>
  <c r="H647" i="10"/>
  <c r="O646" i="10"/>
  <c r="K646" i="10" s="1"/>
  <c r="N646" i="10"/>
  <c r="L646" i="10"/>
  <c r="J646" i="10"/>
  <c r="I646" i="10"/>
  <c r="H646" i="10"/>
  <c r="O645" i="10"/>
  <c r="K645" i="10" s="1"/>
  <c r="N645" i="10"/>
  <c r="L645" i="10"/>
  <c r="J645" i="10"/>
  <c r="I645" i="10"/>
  <c r="H645" i="10"/>
  <c r="O644" i="10"/>
  <c r="P644" i="10" s="1"/>
  <c r="N644" i="10"/>
  <c r="L644" i="10"/>
  <c r="J644" i="10"/>
  <c r="I644" i="10"/>
  <c r="H644" i="10"/>
  <c r="O643" i="10"/>
  <c r="P643" i="10" s="1"/>
  <c r="N643" i="10"/>
  <c r="L643" i="10"/>
  <c r="J643" i="10"/>
  <c r="I643" i="10"/>
  <c r="H643" i="10"/>
  <c r="O642" i="10"/>
  <c r="P642" i="10" s="1"/>
  <c r="N642" i="10"/>
  <c r="L642" i="10"/>
  <c r="J642" i="10"/>
  <c r="I642" i="10"/>
  <c r="H642" i="10"/>
  <c r="O641" i="10"/>
  <c r="P641" i="10" s="1"/>
  <c r="N641" i="10"/>
  <c r="L641" i="10"/>
  <c r="J641" i="10"/>
  <c r="I641" i="10"/>
  <c r="H641" i="10"/>
  <c r="O640" i="10"/>
  <c r="K640" i="10" s="1"/>
  <c r="N640" i="10"/>
  <c r="L640" i="10"/>
  <c r="J640" i="10"/>
  <c r="I640" i="10"/>
  <c r="H640" i="10"/>
  <c r="O639" i="10"/>
  <c r="P639" i="10" s="1"/>
  <c r="N639" i="10"/>
  <c r="L639" i="10"/>
  <c r="J639" i="10"/>
  <c r="I639" i="10"/>
  <c r="H639" i="10"/>
  <c r="O638" i="10"/>
  <c r="P638" i="10" s="1"/>
  <c r="N638" i="10"/>
  <c r="L638" i="10"/>
  <c r="J638" i="10"/>
  <c r="I638" i="10"/>
  <c r="H638" i="10"/>
  <c r="O637" i="10"/>
  <c r="P637" i="10" s="1"/>
  <c r="N637" i="10"/>
  <c r="L637" i="10"/>
  <c r="J637" i="10"/>
  <c r="I637" i="10"/>
  <c r="H637" i="10"/>
  <c r="O636" i="10"/>
  <c r="P636" i="10" s="1"/>
  <c r="N636" i="10"/>
  <c r="L636" i="10"/>
  <c r="J636" i="10"/>
  <c r="I636" i="10"/>
  <c r="H636" i="10"/>
  <c r="O635" i="10"/>
  <c r="P635" i="10" s="1"/>
  <c r="N635" i="10"/>
  <c r="L635" i="10"/>
  <c r="J635" i="10"/>
  <c r="I635" i="10"/>
  <c r="H635" i="10"/>
  <c r="O634" i="10"/>
  <c r="P634" i="10" s="1"/>
  <c r="N634" i="10"/>
  <c r="L634" i="10"/>
  <c r="J634" i="10"/>
  <c r="I634" i="10"/>
  <c r="H634" i="10"/>
  <c r="O633" i="10"/>
  <c r="P633" i="10" s="1"/>
  <c r="N633" i="10"/>
  <c r="L633" i="10"/>
  <c r="J633" i="10"/>
  <c r="I633" i="10"/>
  <c r="H633" i="10"/>
  <c r="O632" i="10"/>
  <c r="K632" i="10" s="1"/>
  <c r="N632" i="10"/>
  <c r="L632" i="10"/>
  <c r="J632" i="10"/>
  <c r="I632" i="10"/>
  <c r="H632" i="10"/>
  <c r="O631" i="10"/>
  <c r="N631" i="10"/>
  <c r="L631" i="10"/>
  <c r="J631" i="10"/>
  <c r="I631" i="10"/>
  <c r="H631" i="10"/>
  <c r="O630" i="10"/>
  <c r="K630" i="10" s="1"/>
  <c r="N630" i="10"/>
  <c r="L630" i="10"/>
  <c r="J630" i="10"/>
  <c r="I630" i="10"/>
  <c r="H630" i="10"/>
  <c r="O629" i="10"/>
  <c r="K629" i="10" s="1"/>
  <c r="N629" i="10"/>
  <c r="L629" i="10"/>
  <c r="J629" i="10"/>
  <c r="I629" i="10"/>
  <c r="H629" i="10"/>
  <c r="O628" i="10"/>
  <c r="P628" i="10" s="1"/>
  <c r="N628" i="10"/>
  <c r="L628" i="10"/>
  <c r="J628" i="10"/>
  <c r="I628" i="10"/>
  <c r="H628" i="10"/>
  <c r="O627" i="10"/>
  <c r="K627" i="10" s="1"/>
  <c r="N627" i="10"/>
  <c r="L627" i="10"/>
  <c r="J627" i="10"/>
  <c r="I627" i="10"/>
  <c r="H627" i="10"/>
  <c r="O626" i="10"/>
  <c r="K626" i="10" s="1"/>
  <c r="N626" i="10"/>
  <c r="L626" i="10"/>
  <c r="J626" i="10"/>
  <c r="I626" i="10"/>
  <c r="H626" i="10"/>
  <c r="O625" i="10"/>
  <c r="N625" i="10"/>
  <c r="L625" i="10"/>
  <c r="J625" i="10"/>
  <c r="I625" i="10"/>
  <c r="H625" i="10"/>
  <c r="O624" i="10"/>
  <c r="P624" i="10" s="1"/>
  <c r="N624" i="10"/>
  <c r="L624" i="10"/>
  <c r="J624" i="10"/>
  <c r="I624" i="10"/>
  <c r="H624" i="10"/>
  <c r="O623" i="10"/>
  <c r="P623" i="10" s="1"/>
  <c r="N623" i="10"/>
  <c r="L623" i="10"/>
  <c r="J623" i="10"/>
  <c r="I623" i="10"/>
  <c r="H623" i="10"/>
  <c r="O622" i="10"/>
  <c r="P622" i="10" s="1"/>
  <c r="N622" i="10"/>
  <c r="L622" i="10"/>
  <c r="J622" i="10"/>
  <c r="I622" i="10"/>
  <c r="H622" i="10"/>
  <c r="O621" i="10"/>
  <c r="P621" i="10" s="1"/>
  <c r="N621" i="10"/>
  <c r="L621" i="10"/>
  <c r="J621" i="10"/>
  <c r="I621" i="10"/>
  <c r="H621" i="10"/>
  <c r="O620" i="10"/>
  <c r="K620" i="10" s="1"/>
  <c r="N620" i="10"/>
  <c r="L620" i="10"/>
  <c r="J620" i="10"/>
  <c r="I620" i="10"/>
  <c r="H620" i="10"/>
  <c r="O619" i="10"/>
  <c r="P619" i="10" s="1"/>
  <c r="N619" i="10"/>
  <c r="L619" i="10"/>
  <c r="J619" i="10"/>
  <c r="I619" i="10"/>
  <c r="H619" i="10"/>
  <c r="O618" i="10"/>
  <c r="P618" i="10" s="1"/>
  <c r="N618" i="10"/>
  <c r="L618" i="10"/>
  <c r="J618" i="10"/>
  <c r="I618" i="10"/>
  <c r="H618" i="10"/>
  <c r="O617" i="10"/>
  <c r="P617" i="10" s="1"/>
  <c r="N617" i="10"/>
  <c r="L617" i="10"/>
  <c r="J617" i="10"/>
  <c r="I617" i="10"/>
  <c r="H617" i="10"/>
  <c r="O616" i="10"/>
  <c r="P616" i="10" s="1"/>
  <c r="N616" i="10"/>
  <c r="L616" i="10"/>
  <c r="J616" i="10"/>
  <c r="I616" i="10"/>
  <c r="H616" i="10"/>
  <c r="O615" i="10"/>
  <c r="P615" i="10" s="1"/>
  <c r="N615" i="10"/>
  <c r="L615" i="10"/>
  <c r="J615" i="10"/>
  <c r="I615" i="10"/>
  <c r="H615" i="10"/>
  <c r="O614" i="10"/>
  <c r="K614" i="10" s="1"/>
  <c r="N614" i="10"/>
  <c r="L614" i="10"/>
  <c r="J614" i="10"/>
  <c r="I614" i="10"/>
  <c r="H614" i="10"/>
  <c r="O613" i="10"/>
  <c r="K613" i="10" s="1"/>
  <c r="N613" i="10"/>
  <c r="L613" i="10"/>
  <c r="J613" i="10"/>
  <c r="I613" i="10"/>
  <c r="H613" i="10"/>
  <c r="O612" i="10"/>
  <c r="P612" i="10" s="1"/>
  <c r="N612" i="10"/>
  <c r="L612" i="10"/>
  <c r="J612" i="10"/>
  <c r="I612" i="10"/>
  <c r="H612" i="10"/>
  <c r="O611" i="10"/>
  <c r="P611" i="10" s="1"/>
  <c r="N611" i="10"/>
  <c r="L611" i="10"/>
  <c r="J611" i="10"/>
  <c r="I611" i="10"/>
  <c r="H611" i="10"/>
  <c r="O610" i="10"/>
  <c r="K610" i="10" s="1"/>
  <c r="N610" i="10"/>
  <c r="L610" i="10"/>
  <c r="J610" i="10"/>
  <c r="I610" i="10"/>
  <c r="H610" i="10"/>
  <c r="O609" i="10"/>
  <c r="P609" i="10" s="1"/>
  <c r="N609" i="10"/>
  <c r="L609" i="10"/>
  <c r="J609" i="10"/>
  <c r="I609" i="10"/>
  <c r="H609" i="10"/>
  <c r="O608" i="10"/>
  <c r="P608" i="10" s="1"/>
  <c r="N608" i="10"/>
  <c r="L608" i="10"/>
  <c r="J608" i="10"/>
  <c r="I608" i="10"/>
  <c r="H608" i="10"/>
  <c r="O607" i="10"/>
  <c r="P607" i="10" s="1"/>
  <c r="N607" i="10"/>
  <c r="L607" i="10"/>
  <c r="J607" i="10"/>
  <c r="I607" i="10"/>
  <c r="H607" i="10"/>
  <c r="O606" i="10"/>
  <c r="P606" i="10" s="1"/>
  <c r="N606" i="10"/>
  <c r="L606" i="10"/>
  <c r="J606" i="10"/>
  <c r="I606" i="10"/>
  <c r="H606" i="10"/>
  <c r="O605" i="10"/>
  <c r="P605" i="10" s="1"/>
  <c r="N605" i="10"/>
  <c r="L605" i="10"/>
  <c r="J605" i="10"/>
  <c r="I605" i="10"/>
  <c r="H605" i="10"/>
  <c r="O604" i="10"/>
  <c r="P604" i="10" s="1"/>
  <c r="N604" i="10"/>
  <c r="L604" i="10"/>
  <c r="J604" i="10"/>
  <c r="I604" i="10"/>
  <c r="H604" i="10"/>
  <c r="O603" i="10"/>
  <c r="P603" i="10" s="1"/>
  <c r="N603" i="10"/>
  <c r="L603" i="10"/>
  <c r="J603" i="10"/>
  <c r="I603" i="10"/>
  <c r="H603" i="10"/>
  <c r="O602" i="10"/>
  <c r="P602" i="10" s="1"/>
  <c r="N602" i="10"/>
  <c r="L602" i="10"/>
  <c r="J602" i="10"/>
  <c r="I602" i="10"/>
  <c r="H602" i="10"/>
  <c r="O601" i="10"/>
  <c r="P601" i="10" s="1"/>
  <c r="N601" i="10"/>
  <c r="L601" i="10"/>
  <c r="J601" i="10"/>
  <c r="I601" i="10"/>
  <c r="H601" i="10"/>
  <c r="O600" i="10"/>
  <c r="K600" i="10" s="1"/>
  <c r="N600" i="10"/>
  <c r="L600" i="10"/>
  <c r="J600" i="10"/>
  <c r="I600" i="10"/>
  <c r="H600" i="10"/>
  <c r="O599" i="10"/>
  <c r="P599" i="10" s="1"/>
  <c r="N599" i="10"/>
  <c r="L599" i="10"/>
  <c r="J599" i="10"/>
  <c r="I599" i="10"/>
  <c r="H599" i="10"/>
  <c r="O598" i="10"/>
  <c r="K598" i="10" s="1"/>
  <c r="N598" i="10"/>
  <c r="L598" i="10"/>
  <c r="J598" i="10"/>
  <c r="I598" i="10"/>
  <c r="H598" i="10"/>
  <c r="O597" i="10"/>
  <c r="P597" i="10" s="1"/>
  <c r="N597" i="10"/>
  <c r="L597" i="10"/>
  <c r="J597" i="10"/>
  <c r="I597" i="10"/>
  <c r="H597" i="10"/>
  <c r="O596" i="10"/>
  <c r="P596" i="10" s="1"/>
  <c r="N596" i="10"/>
  <c r="L596" i="10"/>
  <c r="J596" i="10"/>
  <c r="I596" i="10"/>
  <c r="H596" i="10"/>
  <c r="O595" i="10"/>
  <c r="K595" i="10" s="1"/>
  <c r="N595" i="10"/>
  <c r="L595" i="10"/>
  <c r="J595" i="10"/>
  <c r="I595" i="10"/>
  <c r="H595" i="10"/>
  <c r="O594" i="10"/>
  <c r="K594" i="10" s="1"/>
  <c r="N594" i="10"/>
  <c r="L594" i="10"/>
  <c r="J594" i="10"/>
  <c r="I594" i="10"/>
  <c r="H594" i="10"/>
  <c r="O593" i="10"/>
  <c r="P593" i="10" s="1"/>
  <c r="N593" i="10"/>
  <c r="L593" i="10"/>
  <c r="J593" i="10"/>
  <c r="I593" i="10"/>
  <c r="H593" i="10"/>
  <c r="O592" i="10"/>
  <c r="K592" i="10" s="1"/>
  <c r="N592" i="10"/>
  <c r="L592" i="10"/>
  <c r="J592" i="10"/>
  <c r="I592" i="10"/>
  <c r="H592" i="10"/>
  <c r="O591" i="10"/>
  <c r="P591" i="10" s="1"/>
  <c r="N591" i="10"/>
  <c r="L591" i="10"/>
  <c r="J591" i="10"/>
  <c r="I591" i="10"/>
  <c r="H591" i="10"/>
  <c r="O590" i="10"/>
  <c r="P590" i="10" s="1"/>
  <c r="N590" i="10"/>
  <c r="L590" i="10"/>
  <c r="J590" i="10"/>
  <c r="I590" i="10"/>
  <c r="H590" i="10"/>
  <c r="O589" i="10"/>
  <c r="P589" i="10" s="1"/>
  <c r="N589" i="10"/>
  <c r="L589" i="10"/>
  <c r="J589" i="10"/>
  <c r="I589" i="10"/>
  <c r="H589" i="10"/>
  <c r="O588" i="10"/>
  <c r="N588" i="10"/>
  <c r="L588" i="10"/>
  <c r="J588" i="10"/>
  <c r="I588" i="10"/>
  <c r="H588" i="10"/>
  <c r="O587" i="10"/>
  <c r="K587" i="10" s="1"/>
  <c r="N587" i="10"/>
  <c r="L587" i="10"/>
  <c r="J587" i="10"/>
  <c r="I587" i="10"/>
  <c r="H587" i="10"/>
  <c r="O586" i="10"/>
  <c r="P586" i="10" s="1"/>
  <c r="N586" i="10"/>
  <c r="L586" i="10"/>
  <c r="J586" i="10"/>
  <c r="I586" i="10"/>
  <c r="H586" i="10"/>
  <c r="O585" i="10"/>
  <c r="P585" i="10" s="1"/>
  <c r="N585" i="10"/>
  <c r="L585" i="10"/>
  <c r="J585" i="10"/>
  <c r="I585" i="10"/>
  <c r="H585" i="10"/>
  <c r="O584" i="10"/>
  <c r="P584" i="10" s="1"/>
  <c r="N584" i="10"/>
  <c r="L584" i="10"/>
  <c r="J584" i="10"/>
  <c r="I584" i="10"/>
  <c r="H584" i="10"/>
  <c r="O583" i="10"/>
  <c r="K583" i="10" s="1"/>
  <c r="N583" i="10"/>
  <c r="L583" i="10"/>
  <c r="J583" i="10"/>
  <c r="I583" i="10"/>
  <c r="H583" i="10"/>
  <c r="O582" i="10"/>
  <c r="K582" i="10" s="1"/>
  <c r="N582" i="10"/>
  <c r="L582" i="10"/>
  <c r="J582" i="10"/>
  <c r="I582" i="10"/>
  <c r="H582" i="10"/>
  <c r="O581" i="10"/>
  <c r="K581" i="10" s="1"/>
  <c r="N581" i="10"/>
  <c r="L581" i="10"/>
  <c r="J581" i="10"/>
  <c r="I581" i="10"/>
  <c r="H581" i="10"/>
  <c r="O580" i="10"/>
  <c r="P580" i="10" s="1"/>
  <c r="N580" i="10"/>
  <c r="L580" i="10"/>
  <c r="J580" i="10"/>
  <c r="I580" i="10"/>
  <c r="H580" i="10"/>
  <c r="O579" i="10"/>
  <c r="K579" i="10" s="1"/>
  <c r="N579" i="10"/>
  <c r="L579" i="10"/>
  <c r="J579" i="10"/>
  <c r="I579" i="10"/>
  <c r="H579" i="10"/>
  <c r="O578" i="10"/>
  <c r="P578" i="10" s="1"/>
  <c r="N578" i="10"/>
  <c r="L578" i="10"/>
  <c r="J578" i="10"/>
  <c r="I578" i="10"/>
  <c r="H578" i="10"/>
  <c r="O577" i="10"/>
  <c r="K577" i="10" s="1"/>
  <c r="N577" i="10"/>
  <c r="L577" i="10"/>
  <c r="J577" i="10"/>
  <c r="I577" i="10"/>
  <c r="H577" i="10"/>
  <c r="O576" i="10"/>
  <c r="K576" i="10" s="1"/>
  <c r="N576" i="10"/>
  <c r="L576" i="10"/>
  <c r="J576" i="10"/>
  <c r="I576" i="10"/>
  <c r="H576" i="10"/>
  <c r="O575" i="10"/>
  <c r="K575" i="10" s="1"/>
  <c r="N575" i="10"/>
  <c r="L575" i="10"/>
  <c r="J575" i="10"/>
  <c r="I575" i="10"/>
  <c r="H575" i="10"/>
  <c r="O574" i="10"/>
  <c r="K574" i="10" s="1"/>
  <c r="N574" i="10"/>
  <c r="L574" i="10"/>
  <c r="J574" i="10"/>
  <c r="I574" i="10"/>
  <c r="H574" i="10"/>
  <c r="O573" i="10"/>
  <c r="P573" i="10" s="1"/>
  <c r="N573" i="10"/>
  <c r="L573" i="10"/>
  <c r="J573" i="10"/>
  <c r="I573" i="10"/>
  <c r="H573" i="10"/>
  <c r="O572" i="10"/>
  <c r="P572" i="10" s="1"/>
  <c r="N572" i="10"/>
  <c r="L572" i="10"/>
  <c r="J572" i="10"/>
  <c r="I572" i="10"/>
  <c r="H572" i="10"/>
  <c r="O571" i="10"/>
  <c r="P571" i="10" s="1"/>
  <c r="N571" i="10"/>
  <c r="L571" i="10"/>
  <c r="J571" i="10"/>
  <c r="I571" i="10"/>
  <c r="H571" i="10"/>
  <c r="O570" i="10"/>
  <c r="P570" i="10" s="1"/>
  <c r="N570" i="10"/>
  <c r="L570" i="10"/>
  <c r="J570" i="10"/>
  <c r="I570" i="10"/>
  <c r="H570" i="10"/>
  <c r="O569" i="10"/>
  <c r="P569" i="10" s="1"/>
  <c r="N569" i="10"/>
  <c r="L569" i="10"/>
  <c r="J569" i="10"/>
  <c r="I569" i="10"/>
  <c r="H569" i="10"/>
  <c r="O568" i="10"/>
  <c r="K568" i="10" s="1"/>
  <c r="N568" i="10"/>
  <c r="L568" i="10"/>
  <c r="J568" i="10"/>
  <c r="I568" i="10"/>
  <c r="H568" i="10"/>
  <c r="O567" i="10"/>
  <c r="P567" i="10" s="1"/>
  <c r="N567" i="10"/>
  <c r="L567" i="10"/>
  <c r="J567" i="10"/>
  <c r="I567" i="10"/>
  <c r="H567" i="10"/>
  <c r="O566" i="10"/>
  <c r="K566" i="10" s="1"/>
  <c r="N566" i="10"/>
  <c r="L566" i="10"/>
  <c r="J566" i="10"/>
  <c r="I566" i="10"/>
  <c r="H566" i="10"/>
  <c r="O565" i="10"/>
  <c r="K565" i="10" s="1"/>
  <c r="N565" i="10"/>
  <c r="L565" i="10"/>
  <c r="J565" i="10"/>
  <c r="I565" i="10"/>
  <c r="H565" i="10"/>
  <c r="O564" i="10"/>
  <c r="K564" i="10" s="1"/>
  <c r="N564" i="10"/>
  <c r="L564" i="10"/>
  <c r="J564" i="10"/>
  <c r="I564" i="10"/>
  <c r="H564" i="10"/>
  <c r="O563" i="10"/>
  <c r="P563" i="10" s="1"/>
  <c r="N563" i="10"/>
  <c r="L563" i="10"/>
  <c r="J563" i="10"/>
  <c r="I563" i="10"/>
  <c r="H563" i="10"/>
  <c r="O562" i="10"/>
  <c r="K562" i="10" s="1"/>
  <c r="N562" i="10"/>
  <c r="L562" i="10"/>
  <c r="J562" i="10"/>
  <c r="I562" i="10"/>
  <c r="H562" i="10"/>
  <c r="O561" i="10"/>
  <c r="P561" i="10" s="1"/>
  <c r="N561" i="10"/>
  <c r="L561" i="10"/>
  <c r="J561" i="10"/>
  <c r="I561" i="10"/>
  <c r="H561" i="10"/>
  <c r="O560" i="10"/>
  <c r="P560" i="10" s="1"/>
  <c r="N560" i="10"/>
  <c r="L560" i="10"/>
  <c r="J560" i="10"/>
  <c r="I560" i="10"/>
  <c r="H560" i="10"/>
  <c r="O559" i="10"/>
  <c r="P559" i="10" s="1"/>
  <c r="N559" i="10"/>
  <c r="L559" i="10"/>
  <c r="J559" i="10"/>
  <c r="I559" i="10"/>
  <c r="H559" i="10"/>
  <c r="O558" i="10"/>
  <c r="N558" i="10"/>
  <c r="L558" i="10"/>
  <c r="J558" i="10"/>
  <c r="I558" i="10"/>
  <c r="H558" i="10"/>
  <c r="O557" i="10"/>
  <c r="P557" i="10" s="1"/>
  <c r="N557" i="10"/>
  <c r="L557" i="10"/>
  <c r="J557" i="10"/>
  <c r="I557" i="10"/>
  <c r="H557" i="10"/>
  <c r="O556" i="10"/>
  <c r="K556" i="10" s="1"/>
  <c r="N556" i="10"/>
  <c r="L556" i="10"/>
  <c r="J556" i="10"/>
  <c r="I556" i="10"/>
  <c r="H556" i="10"/>
  <c r="O555" i="10"/>
  <c r="P555" i="10" s="1"/>
  <c r="N555" i="10"/>
  <c r="L555" i="10"/>
  <c r="J555" i="10"/>
  <c r="I555" i="10"/>
  <c r="H555" i="10"/>
  <c r="O554" i="10"/>
  <c r="P554" i="10" s="1"/>
  <c r="N554" i="10"/>
  <c r="L554" i="10"/>
  <c r="J554" i="10"/>
  <c r="I554" i="10"/>
  <c r="H554" i="10"/>
  <c r="O553" i="10"/>
  <c r="P553" i="10" s="1"/>
  <c r="N553" i="10"/>
  <c r="L553" i="10"/>
  <c r="J553" i="10"/>
  <c r="I553" i="10"/>
  <c r="H553" i="10"/>
  <c r="O552" i="10"/>
  <c r="P552" i="10" s="1"/>
  <c r="N552" i="10"/>
  <c r="L552" i="10"/>
  <c r="J552" i="10"/>
  <c r="I552" i="10"/>
  <c r="H552" i="10"/>
  <c r="O551" i="10"/>
  <c r="P551" i="10" s="1"/>
  <c r="N551" i="10"/>
  <c r="L551" i="10"/>
  <c r="J551" i="10"/>
  <c r="I551" i="10"/>
  <c r="H551" i="10"/>
  <c r="O550" i="10"/>
  <c r="K550" i="10" s="1"/>
  <c r="N550" i="10"/>
  <c r="L550" i="10"/>
  <c r="J550" i="10"/>
  <c r="I550" i="10"/>
  <c r="H550" i="10"/>
  <c r="O549" i="10"/>
  <c r="K549" i="10" s="1"/>
  <c r="N549" i="10"/>
  <c r="L549" i="10"/>
  <c r="J549" i="10"/>
  <c r="I549" i="10"/>
  <c r="H549" i="10"/>
  <c r="O548" i="10"/>
  <c r="K548" i="10" s="1"/>
  <c r="N548" i="10"/>
  <c r="L548" i="10"/>
  <c r="J548" i="10"/>
  <c r="I548" i="10"/>
  <c r="H548" i="10"/>
  <c r="O547" i="10"/>
  <c r="P547" i="10" s="1"/>
  <c r="N547" i="10"/>
  <c r="L547" i="10"/>
  <c r="J547" i="10"/>
  <c r="I547" i="10"/>
  <c r="H547" i="10"/>
  <c r="O546" i="10"/>
  <c r="P546" i="10" s="1"/>
  <c r="N546" i="10"/>
  <c r="L546" i="10"/>
  <c r="J546" i="10"/>
  <c r="I546" i="10"/>
  <c r="H546" i="10"/>
  <c r="O545" i="10"/>
  <c r="K545" i="10" s="1"/>
  <c r="N545" i="10"/>
  <c r="L545" i="10"/>
  <c r="J545" i="10"/>
  <c r="I545" i="10"/>
  <c r="H545" i="10"/>
  <c r="O544" i="10"/>
  <c r="N544" i="10"/>
  <c r="L544" i="10"/>
  <c r="J544" i="10"/>
  <c r="I544" i="10"/>
  <c r="H544" i="10"/>
  <c r="O543" i="10"/>
  <c r="K543" i="10" s="1"/>
  <c r="N543" i="10"/>
  <c r="L543" i="10"/>
  <c r="J543" i="10"/>
  <c r="I543" i="10"/>
  <c r="H543" i="10"/>
  <c r="O542" i="10"/>
  <c r="P542" i="10" s="1"/>
  <c r="N542" i="10"/>
  <c r="L542" i="10"/>
  <c r="J542" i="10"/>
  <c r="I542" i="10"/>
  <c r="H542" i="10"/>
  <c r="O541" i="10"/>
  <c r="N541" i="10"/>
  <c r="L541" i="10"/>
  <c r="J541" i="10"/>
  <c r="I541" i="10"/>
  <c r="H541" i="10"/>
  <c r="O540" i="10"/>
  <c r="P540" i="10" s="1"/>
  <c r="N540" i="10"/>
  <c r="L540" i="10"/>
  <c r="J540" i="10"/>
  <c r="I540" i="10"/>
  <c r="H540" i="10"/>
  <c r="O539" i="10"/>
  <c r="P539" i="10" s="1"/>
  <c r="N539" i="10"/>
  <c r="L539" i="10"/>
  <c r="J539" i="10"/>
  <c r="I539" i="10"/>
  <c r="H539" i="10"/>
  <c r="O538" i="10"/>
  <c r="P538" i="10" s="1"/>
  <c r="N538" i="10"/>
  <c r="L538" i="10"/>
  <c r="J538" i="10"/>
  <c r="I538" i="10"/>
  <c r="H538" i="10"/>
  <c r="O537" i="10"/>
  <c r="P537" i="10" s="1"/>
  <c r="N537" i="10"/>
  <c r="L537" i="10"/>
  <c r="J537" i="10"/>
  <c r="I537" i="10"/>
  <c r="H537" i="10"/>
  <c r="O536" i="10"/>
  <c r="N536" i="10"/>
  <c r="L536" i="10"/>
  <c r="J536" i="10"/>
  <c r="I536" i="10"/>
  <c r="H536" i="10"/>
  <c r="O535" i="10"/>
  <c r="P535" i="10" s="1"/>
  <c r="N535" i="10"/>
  <c r="L535" i="10"/>
  <c r="J535" i="10"/>
  <c r="I535" i="10"/>
  <c r="H535" i="10"/>
  <c r="O534" i="10"/>
  <c r="K534" i="10" s="1"/>
  <c r="N534" i="10"/>
  <c r="L534" i="10"/>
  <c r="J534" i="10"/>
  <c r="I534" i="10"/>
  <c r="H534" i="10"/>
  <c r="O533" i="10"/>
  <c r="P533" i="10" s="1"/>
  <c r="N533" i="10"/>
  <c r="L533" i="10"/>
  <c r="J533" i="10"/>
  <c r="I533" i="10"/>
  <c r="H533" i="10"/>
  <c r="O532" i="10"/>
  <c r="P532" i="10" s="1"/>
  <c r="N532" i="10"/>
  <c r="L532" i="10"/>
  <c r="J532" i="10"/>
  <c r="I532" i="10"/>
  <c r="H532" i="10"/>
  <c r="O531" i="10"/>
  <c r="P531" i="10" s="1"/>
  <c r="N531" i="10"/>
  <c r="L531" i="10"/>
  <c r="J531" i="10"/>
  <c r="I531" i="10"/>
  <c r="H531" i="10"/>
  <c r="O530" i="10"/>
  <c r="N530" i="10"/>
  <c r="L530" i="10"/>
  <c r="J530" i="10"/>
  <c r="I530" i="10"/>
  <c r="H530" i="10"/>
  <c r="O529" i="10"/>
  <c r="K529" i="10" s="1"/>
  <c r="N529" i="10"/>
  <c r="L529" i="10"/>
  <c r="J529" i="10"/>
  <c r="I529" i="10"/>
  <c r="H529" i="10"/>
  <c r="O528" i="10"/>
  <c r="P528" i="10" s="1"/>
  <c r="N528" i="10"/>
  <c r="L528" i="10"/>
  <c r="J528" i="10"/>
  <c r="I528" i="10"/>
  <c r="H528" i="10"/>
  <c r="O527" i="10"/>
  <c r="P527" i="10" s="1"/>
  <c r="N527" i="10"/>
  <c r="L527" i="10"/>
  <c r="J527" i="10"/>
  <c r="I527" i="10"/>
  <c r="H527" i="10"/>
  <c r="O526" i="10"/>
  <c r="K526" i="10" s="1"/>
  <c r="N526" i="10"/>
  <c r="L526" i="10"/>
  <c r="J526" i="10"/>
  <c r="I526" i="10"/>
  <c r="H526" i="10"/>
  <c r="O525" i="10"/>
  <c r="K525" i="10" s="1"/>
  <c r="N525" i="10"/>
  <c r="L525" i="10"/>
  <c r="J525" i="10"/>
  <c r="I525" i="10"/>
  <c r="H525" i="10"/>
  <c r="O524" i="10"/>
  <c r="P524" i="10" s="1"/>
  <c r="N524" i="10"/>
  <c r="L524" i="10"/>
  <c r="J524" i="10"/>
  <c r="I524" i="10"/>
  <c r="H524" i="10"/>
  <c r="O523" i="10"/>
  <c r="P523" i="10" s="1"/>
  <c r="N523" i="10"/>
  <c r="L523" i="10"/>
  <c r="J523" i="10"/>
  <c r="I523" i="10"/>
  <c r="H523" i="10"/>
  <c r="O522" i="10"/>
  <c r="P522" i="10" s="1"/>
  <c r="N522" i="10"/>
  <c r="L522" i="10"/>
  <c r="J522" i="10"/>
  <c r="I522" i="10"/>
  <c r="H522" i="10"/>
  <c r="O521" i="10"/>
  <c r="P521" i="10" s="1"/>
  <c r="N521" i="10"/>
  <c r="L521" i="10"/>
  <c r="J521" i="10"/>
  <c r="I521" i="10"/>
  <c r="H521" i="10"/>
  <c r="O520" i="10"/>
  <c r="P520" i="10" s="1"/>
  <c r="N520" i="10"/>
  <c r="L520" i="10"/>
  <c r="J520" i="10"/>
  <c r="I520" i="10"/>
  <c r="H520" i="10"/>
  <c r="O519" i="10"/>
  <c r="N519" i="10"/>
  <c r="L519" i="10"/>
  <c r="J519" i="10"/>
  <c r="I519" i="10"/>
  <c r="H519" i="10"/>
  <c r="O518" i="10"/>
  <c r="K518" i="10" s="1"/>
  <c r="N518" i="10"/>
  <c r="L518" i="10"/>
  <c r="J518" i="10"/>
  <c r="I518" i="10"/>
  <c r="H518" i="10"/>
  <c r="O517" i="10"/>
  <c r="K517" i="10" s="1"/>
  <c r="N517" i="10"/>
  <c r="L517" i="10"/>
  <c r="J517" i="10"/>
  <c r="I517" i="10"/>
  <c r="H517" i="10"/>
  <c r="O516" i="10"/>
  <c r="P516" i="10" s="1"/>
  <c r="N516" i="10"/>
  <c r="L516" i="10"/>
  <c r="J516" i="10"/>
  <c r="I516" i="10"/>
  <c r="H516" i="10"/>
  <c r="O515" i="10"/>
  <c r="P515" i="10" s="1"/>
  <c r="N515" i="10"/>
  <c r="L515" i="10"/>
  <c r="J515" i="10"/>
  <c r="I515" i="10"/>
  <c r="H515" i="10"/>
  <c r="O514" i="10"/>
  <c r="P514" i="10" s="1"/>
  <c r="N514" i="10"/>
  <c r="L514" i="10"/>
  <c r="J514" i="10"/>
  <c r="I514" i="10"/>
  <c r="H514" i="10"/>
  <c r="O513" i="10"/>
  <c r="P513" i="10" s="1"/>
  <c r="N513" i="10"/>
  <c r="L513" i="10"/>
  <c r="J513" i="10"/>
  <c r="I513" i="10"/>
  <c r="H513" i="10"/>
  <c r="O512" i="10"/>
  <c r="K512" i="10" s="1"/>
  <c r="N512" i="10"/>
  <c r="L512" i="10"/>
  <c r="J512" i="10"/>
  <c r="I512" i="10"/>
  <c r="H512" i="10"/>
  <c r="O511" i="10"/>
  <c r="P511" i="10" s="1"/>
  <c r="N511" i="10"/>
  <c r="L511" i="10"/>
  <c r="J511" i="10"/>
  <c r="I511" i="10"/>
  <c r="H511" i="10"/>
  <c r="O510" i="10"/>
  <c r="K510" i="10" s="1"/>
  <c r="N510" i="10"/>
  <c r="L510" i="10"/>
  <c r="J510" i="10"/>
  <c r="I510" i="10"/>
  <c r="H510" i="10"/>
  <c r="O509" i="10"/>
  <c r="P509" i="10" s="1"/>
  <c r="N509" i="10"/>
  <c r="L509" i="10"/>
  <c r="J509" i="10"/>
  <c r="I509" i="10"/>
  <c r="H509" i="10"/>
  <c r="O508" i="10"/>
  <c r="P508" i="10" s="1"/>
  <c r="N508" i="10"/>
  <c r="L508" i="10"/>
  <c r="J508" i="10"/>
  <c r="I508" i="10"/>
  <c r="H508" i="10"/>
  <c r="O507" i="10"/>
  <c r="P507" i="10" s="1"/>
  <c r="N507" i="10"/>
  <c r="L507" i="10"/>
  <c r="J507" i="10"/>
  <c r="I507" i="10"/>
  <c r="H507" i="10"/>
  <c r="O506" i="10"/>
  <c r="P506" i="10" s="1"/>
  <c r="N506" i="10"/>
  <c r="L506" i="10"/>
  <c r="J506" i="10"/>
  <c r="I506" i="10"/>
  <c r="H506" i="10"/>
  <c r="O505" i="10"/>
  <c r="P505" i="10" s="1"/>
  <c r="N505" i="10"/>
  <c r="L505" i="10"/>
  <c r="J505" i="10"/>
  <c r="I505" i="10"/>
  <c r="H505" i="10"/>
  <c r="O504" i="10"/>
  <c r="K504" i="10" s="1"/>
  <c r="N504" i="10"/>
  <c r="L504" i="10"/>
  <c r="J504" i="10"/>
  <c r="I504" i="10"/>
  <c r="H504" i="10"/>
  <c r="O503" i="10"/>
  <c r="N503" i="10"/>
  <c r="L503" i="10"/>
  <c r="J503" i="10"/>
  <c r="I503" i="10"/>
  <c r="H503" i="10"/>
  <c r="O502" i="10"/>
  <c r="K502" i="10" s="1"/>
  <c r="N502" i="10"/>
  <c r="L502" i="10"/>
  <c r="J502" i="10"/>
  <c r="I502" i="10"/>
  <c r="H502" i="10"/>
  <c r="O501" i="10"/>
  <c r="P501" i="10" s="1"/>
  <c r="N501" i="10"/>
  <c r="L501" i="10"/>
  <c r="J501" i="10"/>
  <c r="I501" i="10"/>
  <c r="H501" i="10"/>
  <c r="O500" i="10"/>
  <c r="P500" i="10" s="1"/>
  <c r="N500" i="10"/>
  <c r="L500" i="10"/>
  <c r="J500" i="10"/>
  <c r="I500" i="10"/>
  <c r="H500" i="10"/>
  <c r="O499" i="10"/>
  <c r="K499" i="10" s="1"/>
  <c r="N499" i="10"/>
  <c r="L499" i="10"/>
  <c r="J499" i="10"/>
  <c r="I499" i="10"/>
  <c r="H499" i="10"/>
  <c r="O498" i="10"/>
  <c r="P498" i="10" s="1"/>
  <c r="N498" i="10"/>
  <c r="L498" i="10"/>
  <c r="J498" i="10"/>
  <c r="I498" i="10"/>
  <c r="H498" i="10"/>
  <c r="O497" i="10"/>
  <c r="N497" i="10"/>
  <c r="L497" i="10"/>
  <c r="J497" i="10"/>
  <c r="I497" i="10"/>
  <c r="H497" i="10"/>
  <c r="O496" i="10"/>
  <c r="P496" i="10" s="1"/>
  <c r="N496" i="10"/>
  <c r="L496" i="10"/>
  <c r="J496" i="10"/>
  <c r="I496" i="10"/>
  <c r="H496" i="10"/>
  <c r="O495" i="10"/>
  <c r="P495" i="10" s="1"/>
  <c r="N495" i="10"/>
  <c r="L495" i="10"/>
  <c r="J495" i="10"/>
  <c r="I495" i="10"/>
  <c r="H495" i="10"/>
  <c r="O494" i="10"/>
  <c r="P494" i="10" s="1"/>
  <c r="N494" i="10"/>
  <c r="L494" i="10"/>
  <c r="J494" i="10"/>
  <c r="I494" i="10"/>
  <c r="H494" i="10"/>
  <c r="O493" i="10"/>
  <c r="P493" i="10" s="1"/>
  <c r="N493" i="10"/>
  <c r="L493" i="10"/>
  <c r="J493" i="10"/>
  <c r="I493" i="10"/>
  <c r="H493" i="10"/>
  <c r="O492" i="10"/>
  <c r="K492" i="10" s="1"/>
  <c r="N492" i="10"/>
  <c r="L492" i="10"/>
  <c r="J492" i="10"/>
  <c r="I492" i="10"/>
  <c r="H492" i="10"/>
  <c r="O491" i="10"/>
  <c r="P491" i="10" s="1"/>
  <c r="N491" i="10"/>
  <c r="L491" i="10"/>
  <c r="J491" i="10"/>
  <c r="I491" i="10"/>
  <c r="H491" i="10"/>
  <c r="O490" i="10"/>
  <c r="P490" i="10" s="1"/>
  <c r="N490" i="10"/>
  <c r="L490" i="10"/>
  <c r="J490" i="10"/>
  <c r="I490" i="10"/>
  <c r="H490" i="10"/>
  <c r="O489" i="10"/>
  <c r="P489" i="10" s="1"/>
  <c r="N489" i="10"/>
  <c r="L489" i="10"/>
  <c r="J489" i="10"/>
  <c r="I489" i="10"/>
  <c r="H489" i="10"/>
  <c r="O488" i="10"/>
  <c r="P488" i="10" s="1"/>
  <c r="N488" i="10"/>
  <c r="L488" i="10"/>
  <c r="J488" i="10"/>
  <c r="I488" i="10"/>
  <c r="H488" i="10"/>
  <c r="O487" i="10"/>
  <c r="P487" i="10" s="1"/>
  <c r="N487" i="10"/>
  <c r="L487" i="10"/>
  <c r="J487" i="10"/>
  <c r="I487" i="10"/>
  <c r="H487" i="10"/>
  <c r="O486" i="10"/>
  <c r="K486" i="10" s="1"/>
  <c r="N486" i="10"/>
  <c r="L486" i="10"/>
  <c r="J486" i="10"/>
  <c r="I486" i="10"/>
  <c r="H486" i="10"/>
  <c r="O485" i="10"/>
  <c r="K485" i="10" s="1"/>
  <c r="N485" i="10"/>
  <c r="L485" i="10"/>
  <c r="J485" i="10"/>
  <c r="I485" i="10"/>
  <c r="H485" i="10"/>
  <c r="O484" i="10"/>
  <c r="P484" i="10" s="1"/>
  <c r="N484" i="10"/>
  <c r="L484" i="10"/>
  <c r="J484" i="10"/>
  <c r="I484" i="10"/>
  <c r="H484" i="10"/>
  <c r="O483" i="10"/>
  <c r="P483" i="10" s="1"/>
  <c r="N483" i="10"/>
  <c r="L483" i="10"/>
  <c r="J483" i="10"/>
  <c r="I483" i="10"/>
  <c r="H483" i="10"/>
  <c r="O482" i="10"/>
  <c r="K482" i="10" s="1"/>
  <c r="N482" i="10"/>
  <c r="L482" i="10"/>
  <c r="J482" i="10"/>
  <c r="I482" i="10"/>
  <c r="H482" i="10"/>
  <c r="O481" i="10"/>
  <c r="P481" i="10" s="1"/>
  <c r="N481" i="10"/>
  <c r="L481" i="10"/>
  <c r="J481" i="10"/>
  <c r="I481" i="10"/>
  <c r="H481" i="10"/>
  <c r="O480" i="10"/>
  <c r="P480" i="10" s="1"/>
  <c r="N480" i="10"/>
  <c r="L480" i="10"/>
  <c r="J480" i="10"/>
  <c r="I480" i="10"/>
  <c r="H480" i="10"/>
  <c r="O479" i="10"/>
  <c r="P479" i="10" s="1"/>
  <c r="N479" i="10"/>
  <c r="L479" i="10"/>
  <c r="J479" i="10"/>
  <c r="I479" i="10"/>
  <c r="H479" i="10"/>
  <c r="O478" i="10"/>
  <c r="P478" i="10" s="1"/>
  <c r="N478" i="10"/>
  <c r="L478" i="10"/>
  <c r="J478" i="10"/>
  <c r="I478" i="10"/>
  <c r="H478" i="10"/>
  <c r="O477" i="10"/>
  <c r="P477" i="10" s="1"/>
  <c r="N477" i="10"/>
  <c r="L477" i="10"/>
  <c r="J477" i="10"/>
  <c r="I477" i="10"/>
  <c r="H477" i="10"/>
  <c r="O476" i="10"/>
  <c r="P476" i="10" s="1"/>
  <c r="N476" i="10"/>
  <c r="L476" i="10"/>
  <c r="J476" i="10"/>
  <c r="I476" i="10"/>
  <c r="H476" i="10"/>
  <c r="O475" i="10"/>
  <c r="P475" i="10" s="1"/>
  <c r="N475" i="10"/>
  <c r="L475" i="10"/>
  <c r="J475" i="10"/>
  <c r="I475" i="10"/>
  <c r="H475" i="10"/>
  <c r="O474" i="10"/>
  <c r="P474" i="10" s="1"/>
  <c r="N474" i="10"/>
  <c r="L474" i="10"/>
  <c r="J474" i="10"/>
  <c r="I474" i="10"/>
  <c r="H474" i="10"/>
  <c r="O473" i="10"/>
  <c r="P473" i="10" s="1"/>
  <c r="N473" i="10"/>
  <c r="L473" i="10"/>
  <c r="J473" i="10"/>
  <c r="I473" i="10"/>
  <c r="H473" i="10"/>
  <c r="O472" i="10"/>
  <c r="K472" i="10" s="1"/>
  <c r="N472" i="10"/>
  <c r="L472" i="10"/>
  <c r="J472" i="10"/>
  <c r="I472" i="10"/>
  <c r="H472" i="10"/>
  <c r="O471" i="10"/>
  <c r="P471" i="10" s="1"/>
  <c r="N471" i="10"/>
  <c r="L471" i="10"/>
  <c r="J471" i="10"/>
  <c r="I471" i="10"/>
  <c r="H471" i="10"/>
  <c r="O470" i="10"/>
  <c r="K470" i="10" s="1"/>
  <c r="N470" i="10"/>
  <c r="L470" i="10"/>
  <c r="J470" i="10"/>
  <c r="I470" i="10"/>
  <c r="H470" i="10"/>
  <c r="O469" i="10"/>
  <c r="P469" i="10" s="1"/>
  <c r="N469" i="10"/>
  <c r="L469" i="10"/>
  <c r="J469" i="10"/>
  <c r="I469" i="10"/>
  <c r="H469" i="10"/>
  <c r="O468" i="10"/>
  <c r="K468" i="10" s="1"/>
  <c r="N468" i="10"/>
  <c r="L468" i="10"/>
  <c r="J468" i="10"/>
  <c r="I468" i="10"/>
  <c r="H468" i="10"/>
  <c r="O467" i="10"/>
  <c r="P467" i="10" s="1"/>
  <c r="N467" i="10"/>
  <c r="L467" i="10"/>
  <c r="J467" i="10"/>
  <c r="I467" i="10"/>
  <c r="H467" i="10"/>
  <c r="O466" i="10"/>
  <c r="K466" i="10" s="1"/>
  <c r="N466" i="10"/>
  <c r="L466" i="10"/>
  <c r="J466" i="10"/>
  <c r="I466" i="10"/>
  <c r="H466" i="10"/>
  <c r="O465" i="10"/>
  <c r="P465" i="10" s="1"/>
  <c r="N465" i="10"/>
  <c r="L465" i="10"/>
  <c r="J465" i="10"/>
  <c r="I465" i="10"/>
  <c r="H465" i="10"/>
  <c r="O464" i="10"/>
  <c r="P464" i="10" s="1"/>
  <c r="N464" i="10"/>
  <c r="L464" i="10"/>
  <c r="J464" i="10"/>
  <c r="I464" i="10"/>
  <c r="H464" i="10"/>
  <c r="O463" i="10"/>
  <c r="P463" i="10" s="1"/>
  <c r="N463" i="10"/>
  <c r="L463" i="10"/>
  <c r="J463" i="10"/>
  <c r="I463" i="10"/>
  <c r="H463" i="10"/>
  <c r="O462" i="10"/>
  <c r="P462" i="10" s="1"/>
  <c r="N462" i="10"/>
  <c r="L462" i="10"/>
  <c r="J462" i="10"/>
  <c r="I462" i="10"/>
  <c r="H462" i="10"/>
  <c r="O461" i="10"/>
  <c r="K461" i="10" s="1"/>
  <c r="N461" i="10"/>
  <c r="L461" i="10"/>
  <c r="J461" i="10"/>
  <c r="I461" i="10"/>
  <c r="H461" i="10"/>
  <c r="O460" i="10"/>
  <c r="N460" i="10"/>
  <c r="L460" i="10"/>
  <c r="J460" i="10"/>
  <c r="I460" i="10"/>
  <c r="H460" i="10"/>
  <c r="O459" i="10"/>
  <c r="K459" i="10" s="1"/>
  <c r="N459" i="10"/>
  <c r="L459" i="10"/>
  <c r="J459" i="10"/>
  <c r="I459" i="10"/>
  <c r="H459" i="10"/>
  <c r="O458" i="10"/>
  <c r="P458" i="10" s="1"/>
  <c r="N458" i="10"/>
  <c r="L458" i="10"/>
  <c r="J458" i="10"/>
  <c r="I458" i="10"/>
  <c r="H458" i="10"/>
  <c r="O457" i="10"/>
  <c r="P457" i="10" s="1"/>
  <c r="N457" i="10"/>
  <c r="L457" i="10"/>
  <c r="J457" i="10"/>
  <c r="I457" i="10"/>
  <c r="H457" i="10"/>
  <c r="O456" i="10"/>
  <c r="P456" i="10" s="1"/>
  <c r="N456" i="10"/>
  <c r="L456" i="10"/>
  <c r="J456" i="10"/>
  <c r="I456" i="10"/>
  <c r="H456" i="10"/>
  <c r="O455" i="10"/>
  <c r="P455" i="10" s="1"/>
  <c r="N455" i="10"/>
  <c r="L455" i="10"/>
  <c r="J455" i="10"/>
  <c r="I455" i="10"/>
  <c r="H455" i="10"/>
  <c r="O454" i="10"/>
  <c r="K454" i="10" s="1"/>
  <c r="N454" i="10"/>
  <c r="L454" i="10"/>
  <c r="J454" i="10"/>
  <c r="I454" i="10"/>
  <c r="H454" i="10"/>
  <c r="O453" i="10"/>
  <c r="K453" i="10" s="1"/>
  <c r="N453" i="10"/>
  <c r="L453" i="10"/>
  <c r="J453" i="10"/>
  <c r="I453" i="10"/>
  <c r="H453" i="10"/>
  <c r="O452" i="10"/>
  <c r="P452" i="10" s="1"/>
  <c r="N452" i="10"/>
  <c r="L452" i="10"/>
  <c r="J452" i="10"/>
  <c r="I452" i="10"/>
  <c r="H452" i="10"/>
  <c r="O451" i="10"/>
  <c r="P451" i="10" s="1"/>
  <c r="N451" i="10"/>
  <c r="L451" i="10"/>
  <c r="J451" i="10"/>
  <c r="I451" i="10"/>
  <c r="H451" i="10"/>
  <c r="O450" i="10"/>
  <c r="P450" i="10" s="1"/>
  <c r="N450" i="10"/>
  <c r="L450" i="10"/>
  <c r="J450" i="10"/>
  <c r="I450" i="10"/>
  <c r="H450" i="10"/>
  <c r="O449" i="10"/>
  <c r="K449" i="10" s="1"/>
  <c r="N449" i="10"/>
  <c r="L449" i="10"/>
  <c r="J449" i="10"/>
  <c r="I449" i="10"/>
  <c r="H449" i="10"/>
  <c r="O448" i="10"/>
  <c r="K448" i="10" s="1"/>
  <c r="N448" i="10"/>
  <c r="L448" i="10"/>
  <c r="J448" i="10"/>
  <c r="I448" i="10"/>
  <c r="H448" i="10"/>
  <c r="O447" i="10"/>
  <c r="P447" i="10" s="1"/>
  <c r="N447" i="10"/>
  <c r="L447" i="10"/>
  <c r="J447" i="10"/>
  <c r="I447" i="10"/>
  <c r="H447" i="10"/>
  <c r="O446" i="10"/>
  <c r="P446" i="10" s="1"/>
  <c r="N446" i="10"/>
  <c r="L446" i="10"/>
  <c r="J446" i="10"/>
  <c r="I446" i="10"/>
  <c r="H446" i="10"/>
  <c r="O445" i="10"/>
  <c r="P445" i="10" s="1"/>
  <c r="N445" i="10"/>
  <c r="L445" i="10"/>
  <c r="J445" i="10"/>
  <c r="I445" i="10"/>
  <c r="H445" i="10"/>
  <c r="O444" i="10"/>
  <c r="P444" i="10" s="1"/>
  <c r="N444" i="10"/>
  <c r="L444" i="10"/>
  <c r="J444" i="10"/>
  <c r="I444" i="10"/>
  <c r="H444" i="10"/>
  <c r="O443" i="10"/>
  <c r="P443" i="10" s="1"/>
  <c r="N443" i="10"/>
  <c r="L443" i="10"/>
  <c r="J443" i="10"/>
  <c r="I443" i="10"/>
  <c r="H443" i="10"/>
  <c r="O442" i="10"/>
  <c r="P442" i="10" s="1"/>
  <c r="N442" i="10"/>
  <c r="L442" i="10"/>
  <c r="J442" i="10"/>
  <c r="I442" i="10"/>
  <c r="H442" i="10"/>
  <c r="O441" i="10"/>
  <c r="P441" i="10" s="1"/>
  <c r="N441" i="10"/>
  <c r="L441" i="10"/>
  <c r="J441" i="10"/>
  <c r="I441" i="10"/>
  <c r="H441" i="10"/>
  <c r="O440" i="10"/>
  <c r="K440" i="10" s="1"/>
  <c r="N440" i="10"/>
  <c r="L440" i="10"/>
  <c r="J440" i="10"/>
  <c r="I440" i="10"/>
  <c r="H440" i="10"/>
  <c r="O439" i="10"/>
  <c r="P439" i="10" s="1"/>
  <c r="N439" i="10"/>
  <c r="L439" i="10"/>
  <c r="J439" i="10"/>
  <c r="I439" i="10"/>
  <c r="H439" i="10"/>
  <c r="O438" i="10"/>
  <c r="K438" i="10" s="1"/>
  <c r="N438" i="10"/>
  <c r="L438" i="10"/>
  <c r="J438" i="10"/>
  <c r="I438" i="10"/>
  <c r="H438" i="10"/>
  <c r="O437" i="10"/>
  <c r="K437" i="10" s="1"/>
  <c r="N437" i="10"/>
  <c r="L437" i="10"/>
  <c r="J437" i="10"/>
  <c r="I437" i="10"/>
  <c r="H437" i="10"/>
  <c r="O436" i="10"/>
  <c r="K436" i="10" s="1"/>
  <c r="N436" i="10"/>
  <c r="L436" i="10"/>
  <c r="J436" i="10"/>
  <c r="I436" i="10"/>
  <c r="H436" i="10"/>
  <c r="O435" i="10"/>
  <c r="P435" i="10" s="1"/>
  <c r="N435" i="10"/>
  <c r="L435" i="10"/>
  <c r="J435" i="10"/>
  <c r="I435" i="10"/>
  <c r="H435" i="10"/>
  <c r="O434" i="10"/>
  <c r="P434" i="10" s="1"/>
  <c r="N434" i="10"/>
  <c r="L434" i="10"/>
  <c r="J434" i="10"/>
  <c r="I434" i="10"/>
  <c r="H434" i="10"/>
  <c r="O433" i="10"/>
  <c r="P433" i="10" s="1"/>
  <c r="N433" i="10"/>
  <c r="L433" i="10"/>
  <c r="J433" i="10"/>
  <c r="I433" i="10"/>
  <c r="H433" i="10"/>
  <c r="O432" i="10"/>
  <c r="P432" i="10" s="1"/>
  <c r="N432" i="10"/>
  <c r="L432" i="10"/>
  <c r="J432" i="10"/>
  <c r="I432" i="10"/>
  <c r="H432" i="10"/>
  <c r="O431" i="10"/>
  <c r="K431" i="10" s="1"/>
  <c r="N431" i="10"/>
  <c r="L431" i="10"/>
  <c r="J431" i="10"/>
  <c r="I431" i="10"/>
  <c r="H431" i="10"/>
  <c r="O430" i="10"/>
  <c r="N430" i="10"/>
  <c r="L430" i="10"/>
  <c r="J430" i="10"/>
  <c r="I430" i="10"/>
  <c r="H430" i="10"/>
  <c r="O429" i="10"/>
  <c r="P429" i="10" s="1"/>
  <c r="N429" i="10"/>
  <c r="L429" i="10"/>
  <c r="J429" i="10"/>
  <c r="I429" i="10"/>
  <c r="H429" i="10"/>
  <c r="O428" i="10"/>
  <c r="K428" i="10" s="1"/>
  <c r="N428" i="10"/>
  <c r="L428" i="10"/>
  <c r="J428" i="10"/>
  <c r="I428" i="10"/>
  <c r="H428" i="10"/>
  <c r="O427" i="10"/>
  <c r="K427" i="10" s="1"/>
  <c r="N427" i="10"/>
  <c r="L427" i="10"/>
  <c r="J427" i="10"/>
  <c r="I427" i="10"/>
  <c r="H427" i="10"/>
  <c r="O426" i="10"/>
  <c r="P426" i="10" s="1"/>
  <c r="N426" i="10"/>
  <c r="L426" i="10"/>
  <c r="J426" i="10"/>
  <c r="I426" i="10"/>
  <c r="H426" i="10"/>
  <c r="O425" i="10"/>
  <c r="P425" i="10" s="1"/>
  <c r="N425" i="10"/>
  <c r="L425" i="10"/>
  <c r="J425" i="10"/>
  <c r="I425" i="10"/>
  <c r="H425" i="10"/>
  <c r="O424" i="10"/>
  <c r="P424" i="10" s="1"/>
  <c r="N424" i="10"/>
  <c r="L424" i="10"/>
  <c r="J424" i="10"/>
  <c r="I424" i="10"/>
  <c r="H424" i="10"/>
  <c r="O423" i="10"/>
  <c r="K423" i="10" s="1"/>
  <c r="N423" i="10"/>
  <c r="L423" i="10"/>
  <c r="J423" i="10"/>
  <c r="I423" i="10"/>
  <c r="H423" i="10"/>
  <c r="O422" i="10"/>
  <c r="K422" i="10" s="1"/>
  <c r="N422" i="10"/>
  <c r="L422" i="10"/>
  <c r="J422" i="10"/>
  <c r="I422" i="10"/>
  <c r="H422" i="10"/>
  <c r="O421" i="10"/>
  <c r="K421" i="10" s="1"/>
  <c r="N421" i="10"/>
  <c r="L421" i="10"/>
  <c r="J421" i="10"/>
  <c r="I421" i="10"/>
  <c r="H421" i="10"/>
  <c r="O420" i="10"/>
  <c r="P420" i="10" s="1"/>
  <c r="N420" i="10"/>
  <c r="L420" i="10"/>
  <c r="J420" i="10"/>
  <c r="I420" i="10"/>
  <c r="H420" i="10"/>
  <c r="O419" i="10"/>
  <c r="P419" i="10" s="1"/>
  <c r="N419" i="10"/>
  <c r="L419" i="10"/>
  <c r="J419" i="10"/>
  <c r="I419" i="10"/>
  <c r="H419" i="10"/>
  <c r="O418" i="10"/>
  <c r="P418" i="10" s="1"/>
  <c r="N418" i="10"/>
  <c r="L418" i="10"/>
  <c r="J418" i="10"/>
  <c r="I418" i="10"/>
  <c r="H418" i="10"/>
  <c r="O417" i="10"/>
  <c r="P417" i="10" s="1"/>
  <c r="N417" i="10"/>
  <c r="L417" i="10"/>
  <c r="J417" i="10"/>
  <c r="I417" i="10"/>
  <c r="H417" i="10"/>
  <c r="O416" i="10"/>
  <c r="N416" i="10"/>
  <c r="L416" i="10"/>
  <c r="J416" i="10"/>
  <c r="I416" i="10"/>
  <c r="H416" i="10"/>
  <c r="O415" i="10"/>
  <c r="K415" i="10" s="1"/>
  <c r="N415" i="10"/>
  <c r="L415" i="10"/>
  <c r="J415" i="10"/>
  <c r="I415" i="10"/>
  <c r="H415" i="10"/>
  <c r="O414" i="10"/>
  <c r="P414" i="10" s="1"/>
  <c r="N414" i="10"/>
  <c r="L414" i="10"/>
  <c r="J414" i="10"/>
  <c r="I414" i="10"/>
  <c r="H414" i="10"/>
  <c r="O413" i="10"/>
  <c r="N413" i="10"/>
  <c r="L413" i="10"/>
  <c r="J413" i="10"/>
  <c r="I413" i="10"/>
  <c r="H413" i="10"/>
  <c r="O412" i="10"/>
  <c r="P412" i="10" s="1"/>
  <c r="N412" i="10"/>
  <c r="L412" i="10"/>
  <c r="J412" i="10"/>
  <c r="I412" i="10"/>
  <c r="H412" i="10"/>
  <c r="O411" i="10"/>
  <c r="P411" i="10" s="1"/>
  <c r="N411" i="10"/>
  <c r="L411" i="10"/>
  <c r="J411" i="10"/>
  <c r="I411" i="10"/>
  <c r="H411" i="10"/>
  <c r="O410" i="10"/>
  <c r="P410" i="10" s="1"/>
  <c r="N410" i="10"/>
  <c r="L410" i="10"/>
  <c r="J410" i="10"/>
  <c r="I410" i="10"/>
  <c r="H410" i="10"/>
  <c r="O409" i="10"/>
  <c r="P409" i="10" s="1"/>
  <c r="N409" i="10"/>
  <c r="L409" i="10"/>
  <c r="J409" i="10"/>
  <c r="I409" i="10"/>
  <c r="H409" i="10"/>
  <c r="O408" i="10"/>
  <c r="N408" i="10"/>
  <c r="L408" i="10"/>
  <c r="J408" i="10"/>
  <c r="I408" i="10"/>
  <c r="H408" i="10"/>
  <c r="O407" i="10"/>
  <c r="P407" i="10" s="1"/>
  <c r="N407" i="10"/>
  <c r="L407" i="10"/>
  <c r="J407" i="10"/>
  <c r="I407" i="10"/>
  <c r="H407" i="10"/>
  <c r="O406" i="10"/>
  <c r="K406" i="10" s="1"/>
  <c r="N406" i="10"/>
  <c r="L406" i="10"/>
  <c r="J406" i="10"/>
  <c r="I406" i="10"/>
  <c r="H406" i="10"/>
  <c r="O405" i="10"/>
  <c r="P405" i="10" s="1"/>
  <c r="N405" i="10"/>
  <c r="L405" i="10"/>
  <c r="J405" i="10"/>
  <c r="I405" i="10"/>
  <c r="H405" i="10"/>
  <c r="O404" i="10"/>
  <c r="P404" i="10" s="1"/>
  <c r="N404" i="10"/>
  <c r="L404" i="10"/>
  <c r="J404" i="10"/>
  <c r="I404" i="10"/>
  <c r="H404" i="10"/>
  <c r="O403" i="10"/>
  <c r="P403" i="10" s="1"/>
  <c r="N403" i="10"/>
  <c r="L403" i="10"/>
  <c r="J403" i="10"/>
  <c r="I403" i="10"/>
  <c r="H403" i="10"/>
  <c r="O402" i="10"/>
  <c r="P402" i="10" s="1"/>
  <c r="N402" i="10"/>
  <c r="L402" i="10"/>
  <c r="J402" i="10"/>
  <c r="I402" i="10"/>
  <c r="H402" i="10"/>
  <c r="O401" i="10"/>
  <c r="K401" i="10" s="1"/>
  <c r="N401" i="10"/>
  <c r="L401" i="10"/>
  <c r="J401" i="10"/>
  <c r="I401" i="10"/>
  <c r="H401" i="10"/>
  <c r="O400" i="10"/>
  <c r="P400" i="10" s="1"/>
  <c r="N400" i="10"/>
  <c r="L400" i="10"/>
  <c r="J400" i="10"/>
  <c r="I400" i="10"/>
  <c r="H400" i="10"/>
  <c r="O399" i="10"/>
  <c r="P399" i="10" s="1"/>
  <c r="N399" i="10"/>
  <c r="L399" i="10"/>
  <c r="J399" i="10"/>
  <c r="I399" i="10"/>
  <c r="H399" i="10"/>
  <c r="O398" i="10"/>
  <c r="P398" i="10" s="1"/>
  <c r="N398" i="10"/>
  <c r="L398" i="10"/>
  <c r="J398" i="10"/>
  <c r="I398" i="10"/>
  <c r="H398" i="10"/>
  <c r="O397" i="10"/>
  <c r="K397" i="10" s="1"/>
  <c r="N397" i="10"/>
  <c r="L397" i="10"/>
  <c r="J397" i="10"/>
  <c r="I397" i="10"/>
  <c r="H397" i="10"/>
  <c r="O396" i="10"/>
  <c r="P396" i="10" s="1"/>
  <c r="N396" i="10"/>
  <c r="L396" i="10"/>
  <c r="J396" i="10"/>
  <c r="I396" i="10"/>
  <c r="H396" i="10"/>
  <c r="O395" i="10"/>
  <c r="P395" i="10" s="1"/>
  <c r="N395" i="10"/>
  <c r="L395" i="10"/>
  <c r="J395" i="10"/>
  <c r="I395" i="10"/>
  <c r="H395" i="10"/>
  <c r="O394" i="10"/>
  <c r="P394" i="10" s="1"/>
  <c r="N394" i="10"/>
  <c r="L394" i="10"/>
  <c r="J394" i="10"/>
  <c r="I394" i="10"/>
  <c r="H394" i="10"/>
  <c r="O393" i="10"/>
  <c r="P393" i="10" s="1"/>
  <c r="N393" i="10"/>
  <c r="L393" i="10"/>
  <c r="J393" i="10"/>
  <c r="I393" i="10"/>
  <c r="H393" i="10"/>
  <c r="O392" i="10"/>
  <c r="P392" i="10" s="1"/>
  <c r="N392" i="10"/>
  <c r="L392" i="10"/>
  <c r="J392" i="10"/>
  <c r="I392" i="10"/>
  <c r="H392" i="10"/>
  <c r="O391" i="10"/>
  <c r="N391" i="10"/>
  <c r="L391" i="10"/>
  <c r="J391" i="10"/>
  <c r="I391" i="10"/>
  <c r="H391" i="10"/>
  <c r="O390" i="10"/>
  <c r="K390" i="10" s="1"/>
  <c r="N390" i="10"/>
  <c r="L390" i="10"/>
  <c r="J390" i="10"/>
  <c r="I390" i="10"/>
  <c r="H390" i="10"/>
  <c r="O389" i="10"/>
  <c r="K389" i="10" s="1"/>
  <c r="N389" i="10"/>
  <c r="L389" i="10"/>
  <c r="J389" i="10"/>
  <c r="I389" i="10"/>
  <c r="H389" i="10"/>
  <c r="O388" i="10"/>
  <c r="P388" i="10" s="1"/>
  <c r="N388" i="10"/>
  <c r="L388" i="10"/>
  <c r="J388" i="10"/>
  <c r="I388" i="10"/>
  <c r="H388" i="10"/>
  <c r="O387" i="10"/>
  <c r="K387" i="10" s="1"/>
  <c r="N387" i="10"/>
  <c r="L387" i="10"/>
  <c r="J387" i="10"/>
  <c r="I387" i="10"/>
  <c r="H387" i="10"/>
  <c r="O386" i="10"/>
  <c r="P386" i="10" s="1"/>
  <c r="N386" i="10"/>
  <c r="L386" i="10"/>
  <c r="J386" i="10"/>
  <c r="I386" i="10"/>
  <c r="H386" i="10"/>
  <c r="O385" i="10"/>
  <c r="P385" i="10" s="1"/>
  <c r="N385" i="10"/>
  <c r="L385" i="10"/>
  <c r="J385" i="10"/>
  <c r="I385" i="10"/>
  <c r="H385" i="10"/>
  <c r="O384" i="10"/>
  <c r="K384" i="10" s="1"/>
  <c r="N384" i="10"/>
  <c r="L384" i="10"/>
  <c r="J384" i="10"/>
  <c r="I384" i="10"/>
  <c r="H384" i="10"/>
  <c r="O383" i="10"/>
  <c r="P383" i="10" s="1"/>
  <c r="N383" i="10"/>
  <c r="L383" i="10"/>
  <c r="J383" i="10"/>
  <c r="I383" i="10"/>
  <c r="H383" i="10"/>
  <c r="O382" i="10"/>
  <c r="K382" i="10" s="1"/>
  <c r="N382" i="10"/>
  <c r="L382" i="10"/>
  <c r="J382" i="10"/>
  <c r="I382" i="10"/>
  <c r="H382" i="10"/>
  <c r="O381" i="10"/>
  <c r="P381" i="10" s="1"/>
  <c r="N381" i="10"/>
  <c r="L381" i="10"/>
  <c r="J381" i="10"/>
  <c r="I381" i="10"/>
  <c r="H381" i="10"/>
  <c r="O380" i="10"/>
  <c r="P380" i="10" s="1"/>
  <c r="N380" i="10"/>
  <c r="L380" i="10"/>
  <c r="J380" i="10"/>
  <c r="I380" i="10"/>
  <c r="H380" i="10"/>
  <c r="O379" i="10"/>
  <c r="P379" i="10" s="1"/>
  <c r="N379" i="10"/>
  <c r="L379" i="10"/>
  <c r="J379" i="10"/>
  <c r="I379" i="10"/>
  <c r="H379" i="10"/>
  <c r="O378" i="10"/>
  <c r="P378" i="10" s="1"/>
  <c r="N378" i="10"/>
  <c r="L378" i="10"/>
  <c r="J378" i="10"/>
  <c r="I378" i="10"/>
  <c r="H378" i="10"/>
  <c r="O377" i="10"/>
  <c r="P377" i="10" s="1"/>
  <c r="N377" i="10"/>
  <c r="L377" i="10"/>
  <c r="J377" i="10"/>
  <c r="I377" i="10"/>
  <c r="H377" i="10"/>
  <c r="O376" i="10"/>
  <c r="K376" i="10" s="1"/>
  <c r="N376" i="10"/>
  <c r="L376" i="10"/>
  <c r="J376" i="10"/>
  <c r="I376" i="10"/>
  <c r="H376" i="10"/>
  <c r="O375" i="10"/>
  <c r="N375" i="10"/>
  <c r="L375" i="10"/>
  <c r="J375" i="10"/>
  <c r="I375" i="10"/>
  <c r="H375" i="10"/>
  <c r="O374" i="10"/>
  <c r="K374" i="10" s="1"/>
  <c r="N374" i="10"/>
  <c r="L374" i="10"/>
  <c r="J374" i="10"/>
  <c r="I374" i="10"/>
  <c r="H374" i="10"/>
  <c r="O373" i="10"/>
  <c r="K373" i="10" s="1"/>
  <c r="N373" i="10"/>
  <c r="L373" i="10"/>
  <c r="J373" i="10"/>
  <c r="I373" i="10"/>
  <c r="H373" i="10"/>
  <c r="O372" i="10"/>
  <c r="K372" i="10" s="1"/>
  <c r="N372" i="10"/>
  <c r="L372" i="10"/>
  <c r="J372" i="10"/>
  <c r="I372" i="10"/>
  <c r="H372" i="10"/>
  <c r="O371" i="10"/>
  <c r="K371" i="10" s="1"/>
  <c r="N371" i="10"/>
  <c r="L371" i="10"/>
  <c r="J371" i="10"/>
  <c r="I371" i="10"/>
  <c r="H371" i="10"/>
  <c r="O370" i="10"/>
  <c r="K370" i="10" s="1"/>
  <c r="N370" i="10"/>
  <c r="L370" i="10"/>
  <c r="J370" i="10"/>
  <c r="I370" i="10"/>
  <c r="H370" i="10"/>
  <c r="O369" i="10"/>
  <c r="N369" i="10"/>
  <c r="L369" i="10"/>
  <c r="J369" i="10"/>
  <c r="I369" i="10"/>
  <c r="H369" i="10"/>
  <c r="O368" i="10"/>
  <c r="P368" i="10" s="1"/>
  <c r="N368" i="10"/>
  <c r="L368" i="10"/>
  <c r="J368" i="10"/>
  <c r="I368" i="10"/>
  <c r="H368" i="10"/>
  <c r="O367" i="10"/>
  <c r="P367" i="10" s="1"/>
  <c r="N367" i="10"/>
  <c r="L367" i="10"/>
  <c r="K367" i="10"/>
  <c r="J367" i="10"/>
  <c r="I367" i="10"/>
  <c r="H367" i="10"/>
  <c r="O366" i="10"/>
  <c r="P366" i="10" s="1"/>
  <c r="N366" i="10"/>
  <c r="L366" i="10"/>
  <c r="J366" i="10"/>
  <c r="I366" i="10"/>
  <c r="H366" i="10"/>
  <c r="O365" i="10"/>
  <c r="P365" i="10" s="1"/>
  <c r="N365" i="10"/>
  <c r="L365" i="10"/>
  <c r="J365" i="10"/>
  <c r="I365" i="10"/>
  <c r="H365" i="10"/>
  <c r="O364" i="10"/>
  <c r="K364" i="10" s="1"/>
  <c r="N364" i="10"/>
  <c r="L364" i="10"/>
  <c r="J364" i="10"/>
  <c r="I364" i="10"/>
  <c r="H364" i="10"/>
  <c r="O363" i="10"/>
  <c r="P363" i="10" s="1"/>
  <c r="N363" i="10"/>
  <c r="L363" i="10"/>
  <c r="J363" i="10"/>
  <c r="I363" i="10"/>
  <c r="H363" i="10"/>
  <c r="O362" i="10"/>
  <c r="P362" i="10" s="1"/>
  <c r="N362" i="10"/>
  <c r="L362" i="10"/>
  <c r="J362" i="10"/>
  <c r="I362" i="10"/>
  <c r="H362" i="10"/>
  <c r="O361" i="10"/>
  <c r="P361" i="10" s="1"/>
  <c r="N361" i="10"/>
  <c r="L361" i="10"/>
  <c r="J361" i="10"/>
  <c r="I361" i="10"/>
  <c r="H361" i="10"/>
  <c r="O360" i="10"/>
  <c r="P360" i="10" s="1"/>
  <c r="N360" i="10"/>
  <c r="L360" i="10"/>
  <c r="J360" i="10"/>
  <c r="I360" i="10"/>
  <c r="H360" i="10"/>
  <c r="O359" i="10"/>
  <c r="P359" i="10" s="1"/>
  <c r="N359" i="10"/>
  <c r="L359" i="10"/>
  <c r="J359" i="10"/>
  <c r="I359" i="10"/>
  <c r="H359" i="10"/>
  <c r="O358" i="10"/>
  <c r="K358" i="10" s="1"/>
  <c r="N358" i="10"/>
  <c r="L358" i="10"/>
  <c r="J358" i="10"/>
  <c r="I358" i="10"/>
  <c r="H358" i="10"/>
  <c r="O357" i="10"/>
  <c r="K357" i="10" s="1"/>
  <c r="N357" i="10"/>
  <c r="L357" i="10"/>
  <c r="J357" i="10"/>
  <c r="I357" i="10"/>
  <c r="H357" i="10"/>
  <c r="O356" i="10"/>
  <c r="P356" i="10" s="1"/>
  <c r="N356" i="10"/>
  <c r="L356" i="10"/>
  <c r="J356" i="10"/>
  <c r="I356" i="10"/>
  <c r="H356" i="10"/>
  <c r="O355" i="10"/>
  <c r="P355" i="10" s="1"/>
  <c r="N355" i="10"/>
  <c r="L355" i="10"/>
  <c r="J355" i="10"/>
  <c r="I355" i="10"/>
  <c r="H355" i="10"/>
  <c r="O354" i="10"/>
  <c r="K354" i="10" s="1"/>
  <c r="N354" i="10"/>
  <c r="L354" i="10"/>
  <c r="J354" i="10"/>
  <c r="I354" i="10"/>
  <c r="H354" i="10"/>
  <c r="O353" i="10"/>
  <c r="P353" i="10" s="1"/>
  <c r="N353" i="10"/>
  <c r="L353" i="10"/>
  <c r="J353" i="10"/>
  <c r="I353" i="10"/>
  <c r="H353" i="10"/>
  <c r="O352" i="10"/>
  <c r="P352" i="10" s="1"/>
  <c r="N352" i="10"/>
  <c r="L352" i="10"/>
  <c r="J352" i="10"/>
  <c r="I352" i="10"/>
  <c r="H352" i="10"/>
  <c r="O351" i="10"/>
  <c r="P351" i="10" s="1"/>
  <c r="N351" i="10"/>
  <c r="L351" i="10"/>
  <c r="J351" i="10"/>
  <c r="I351" i="10"/>
  <c r="H351" i="10"/>
  <c r="O350" i="10"/>
  <c r="P350" i="10" s="1"/>
  <c r="N350" i="10"/>
  <c r="L350" i="10"/>
  <c r="J350" i="10"/>
  <c r="I350" i="10"/>
  <c r="H350" i="10"/>
  <c r="O349" i="10"/>
  <c r="P349" i="10" s="1"/>
  <c r="N349" i="10"/>
  <c r="L349" i="10"/>
  <c r="J349" i="10"/>
  <c r="I349" i="10"/>
  <c r="H349" i="10"/>
  <c r="O348" i="10"/>
  <c r="P348" i="10" s="1"/>
  <c r="N348" i="10"/>
  <c r="L348" i="10"/>
  <c r="J348" i="10"/>
  <c r="I348" i="10"/>
  <c r="H348" i="10"/>
  <c r="O347" i="10"/>
  <c r="P347" i="10" s="1"/>
  <c r="N347" i="10"/>
  <c r="L347" i="10"/>
  <c r="J347" i="10"/>
  <c r="I347" i="10"/>
  <c r="H347" i="10"/>
  <c r="O346" i="10"/>
  <c r="P346" i="10" s="1"/>
  <c r="N346" i="10"/>
  <c r="L346" i="10"/>
  <c r="J346" i="10"/>
  <c r="I346" i="10"/>
  <c r="H346" i="10"/>
  <c r="O345" i="10"/>
  <c r="P345" i="10" s="1"/>
  <c r="N345" i="10"/>
  <c r="L345" i="10"/>
  <c r="J345" i="10"/>
  <c r="I345" i="10"/>
  <c r="H345" i="10"/>
  <c r="O344" i="10"/>
  <c r="K344" i="10" s="1"/>
  <c r="N344" i="10"/>
  <c r="L344" i="10"/>
  <c r="J344" i="10"/>
  <c r="I344" i="10"/>
  <c r="H344" i="10"/>
  <c r="O343" i="10"/>
  <c r="P343" i="10" s="1"/>
  <c r="N343" i="10"/>
  <c r="L343" i="10"/>
  <c r="J343" i="10"/>
  <c r="I343" i="10"/>
  <c r="H343" i="10"/>
  <c r="O342" i="10"/>
  <c r="K342" i="10" s="1"/>
  <c r="N342" i="10"/>
  <c r="L342" i="10"/>
  <c r="J342" i="10"/>
  <c r="I342" i="10"/>
  <c r="H342" i="10"/>
  <c r="O341" i="10"/>
  <c r="P341" i="10" s="1"/>
  <c r="N341" i="10"/>
  <c r="L341" i="10"/>
  <c r="J341" i="10"/>
  <c r="I341" i="10"/>
  <c r="H341" i="10"/>
  <c r="O340" i="10"/>
  <c r="K340" i="10" s="1"/>
  <c r="N340" i="10"/>
  <c r="L340" i="10"/>
  <c r="J340" i="10"/>
  <c r="I340" i="10"/>
  <c r="H340" i="10"/>
  <c r="O339" i="10"/>
  <c r="P339" i="10" s="1"/>
  <c r="N339" i="10"/>
  <c r="L339" i="10"/>
  <c r="J339" i="10"/>
  <c r="I339" i="10"/>
  <c r="H339" i="10"/>
  <c r="O338" i="10"/>
  <c r="P338" i="10" s="1"/>
  <c r="N338" i="10"/>
  <c r="L338" i="10"/>
  <c r="J338" i="10"/>
  <c r="I338" i="10"/>
  <c r="H338" i="10"/>
  <c r="O337" i="10"/>
  <c r="K337" i="10" s="1"/>
  <c r="N337" i="10"/>
  <c r="L337" i="10"/>
  <c r="J337" i="10"/>
  <c r="I337" i="10"/>
  <c r="H337" i="10"/>
  <c r="O336" i="10"/>
  <c r="P336" i="10" s="1"/>
  <c r="N336" i="10"/>
  <c r="L336" i="10"/>
  <c r="J336" i="10"/>
  <c r="I336" i="10"/>
  <c r="H336" i="10"/>
  <c r="O335" i="10"/>
  <c r="P335" i="10" s="1"/>
  <c r="N335" i="10"/>
  <c r="L335" i="10"/>
  <c r="J335" i="10"/>
  <c r="I335" i="10"/>
  <c r="H335" i="10"/>
  <c r="O334" i="10"/>
  <c r="P334" i="10" s="1"/>
  <c r="N334" i="10"/>
  <c r="L334" i="10"/>
  <c r="J334" i="10"/>
  <c r="I334" i="10"/>
  <c r="H334" i="10"/>
  <c r="O333" i="10"/>
  <c r="P333" i="10" s="1"/>
  <c r="N333" i="10"/>
  <c r="L333" i="10"/>
  <c r="J333" i="10"/>
  <c r="I333" i="10"/>
  <c r="H333" i="10"/>
  <c r="O332" i="10"/>
  <c r="N332" i="10"/>
  <c r="L332" i="10"/>
  <c r="J332" i="10"/>
  <c r="I332" i="10"/>
  <c r="H332" i="10"/>
  <c r="O331" i="10"/>
  <c r="K331" i="10" s="1"/>
  <c r="N331" i="10"/>
  <c r="L331" i="10"/>
  <c r="J331" i="10"/>
  <c r="I331" i="10"/>
  <c r="H331" i="10"/>
  <c r="O330" i="10"/>
  <c r="P330" i="10" s="1"/>
  <c r="N330" i="10"/>
  <c r="L330" i="10"/>
  <c r="J330" i="10"/>
  <c r="I330" i="10"/>
  <c r="H330" i="10"/>
  <c r="O329" i="10"/>
  <c r="P329" i="10" s="1"/>
  <c r="N329" i="10"/>
  <c r="L329" i="10"/>
  <c r="J329" i="10"/>
  <c r="I329" i="10"/>
  <c r="H329" i="10"/>
  <c r="O328" i="10"/>
  <c r="P328" i="10" s="1"/>
  <c r="N328" i="10"/>
  <c r="L328" i="10"/>
  <c r="J328" i="10"/>
  <c r="I328" i="10"/>
  <c r="H328" i="10"/>
  <c r="O327" i="10"/>
  <c r="K327" i="10" s="1"/>
  <c r="N327" i="10"/>
  <c r="L327" i="10"/>
  <c r="J327" i="10"/>
  <c r="I327" i="10"/>
  <c r="H327" i="10"/>
  <c r="O326" i="10"/>
  <c r="K326" i="10" s="1"/>
  <c r="N326" i="10"/>
  <c r="L326" i="10"/>
  <c r="J326" i="10"/>
  <c r="I326" i="10"/>
  <c r="H326" i="10"/>
  <c r="O325" i="10"/>
  <c r="K325" i="10" s="1"/>
  <c r="N325" i="10"/>
  <c r="L325" i="10"/>
  <c r="J325" i="10"/>
  <c r="I325" i="10"/>
  <c r="H325" i="10"/>
  <c r="O324" i="10"/>
  <c r="P324" i="10" s="1"/>
  <c r="N324" i="10"/>
  <c r="L324" i="10"/>
  <c r="J324" i="10"/>
  <c r="I324" i="10"/>
  <c r="H324" i="10"/>
  <c r="O323" i="10"/>
  <c r="P323" i="10" s="1"/>
  <c r="N323" i="10"/>
  <c r="L323" i="10"/>
  <c r="J323" i="10"/>
  <c r="I323" i="10"/>
  <c r="H323" i="10"/>
  <c r="O322" i="10"/>
  <c r="K322" i="10" s="1"/>
  <c r="N322" i="10"/>
  <c r="L322" i="10"/>
  <c r="J322" i="10"/>
  <c r="I322" i="10"/>
  <c r="H322" i="10"/>
  <c r="O321" i="10"/>
  <c r="K321" i="10" s="1"/>
  <c r="N321" i="10"/>
  <c r="L321" i="10"/>
  <c r="J321" i="10"/>
  <c r="I321" i="10"/>
  <c r="H321" i="10"/>
  <c r="O320" i="10"/>
  <c r="K320" i="10" s="1"/>
  <c r="N320" i="10"/>
  <c r="L320" i="10"/>
  <c r="J320" i="10"/>
  <c r="I320" i="10"/>
  <c r="H320" i="10"/>
  <c r="O319" i="10"/>
  <c r="P319" i="10" s="1"/>
  <c r="N319" i="10"/>
  <c r="L319" i="10"/>
  <c r="J319" i="10"/>
  <c r="I319" i="10"/>
  <c r="H319" i="10"/>
  <c r="O318" i="10"/>
  <c r="P318" i="10" s="1"/>
  <c r="N318" i="10"/>
  <c r="L318" i="10"/>
  <c r="J318" i="10"/>
  <c r="I318" i="10"/>
  <c r="H318" i="10"/>
  <c r="O317" i="10"/>
  <c r="P317" i="10" s="1"/>
  <c r="N317" i="10"/>
  <c r="L317" i="10"/>
  <c r="J317" i="10"/>
  <c r="I317" i="10"/>
  <c r="H317" i="10"/>
  <c r="O316" i="10"/>
  <c r="P316" i="10" s="1"/>
  <c r="N316" i="10"/>
  <c r="L316" i="10"/>
  <c r="J316" i="10"/>
  <c r="I316" i="10"/>
  <c r="H316" i="10"/>
  <c r="O315" i="10"/>
  <c r="P315" i="10" s="1"/>
  <c r="N315" i="10"/>
  <c r="L315" i="10"/>
  <c r="J315" i="10"/>
  <c r="I315" i="10"/>
  <c r="H315" i="10"/>
  <c r="O314" i="10"/>
  <c r="P314" i="10" s="1"/>
  <c r="N314" i="10"/>
  <c r="L314" i="10"/>
  <c r="J314" i="10"/>
  <c r="I314" i="10"/>
  <c r="H314" i="10"/>
  <c r="O313" i="10"/>
  <c r="P313" i="10" s="1"/>
  <c r="N313" i="10"/>
  <c r="L313" i="10"/>
  <c r="J313" i="10"/>
  <c r="I313" i="10"/>
  <c r="H313" i="10"/>
  <c r="O312" i="10"/>
  <c r="K312" i="10" s="1"/>
  <c r="N312" i="10"/>
  <c r="L312" i="10"/>
  <c r="J312" i="10"/>
  <c r="I312" i="10"/>
  <c r="H312" i="10"/>
  <c r="O311" i="10"/>
  <c r="P311" i="10" s="1"/>
  <c r="N311" i="10"/>
  <c r="L311" i="10"/>
  <c r="J311" i="10"/>
  <c r="I311" i="10"/>
  <c r="H311" i="10"/>
  <c r="O310" i="10"/>
  <c r="K310" i="10" s="1"/>
  <c r="N310" i="10"/>
  <c r="L310" i="10"/>
  <c r="J310" i="10"/>
  <c r="I310" i="10"/>
  <c r="H310" i="10"/>
  <c r="O309" i="10"/>
  <c r="K309" i="10" s="1"/>
  <c r="N309" i="10"/>
  <c r="L309" i="10"/>
  <c r="J309" i="10"/>
  <c r="I309" i="10"/>
  <c r="H309" i="10"/>
  <c r="O308" i="10"/>
  <c r="K308" i="10" s="1"/>
  <c r="N308" i="10"/>
  <c r="L308" i="10"/>
  <c r="J308" i="10"/>
  <c r="I308" i="10"/>
  <c r="H308" i="10"/>
  <c r="O307" i="10"/>
  <c r="P307" i="10" s="1"/>
  <c r="N307" i="10"/>
  <c r="L307" i="10"/>
  <c r="J307" i="10"/>
  <c r="I307" i="10"/>
  <c r="H307" i="10"/>
  <c r="O306" i="10"/>
  <c r="P306" i="10" s="1"/>
  <c r="N306" i="10"/>
  <c r="L306" i="10"/>
  <c r="J306" i="10"/>
  <c r="I306" i="10"/>
  <c r="H306" i="10"/>
  <c r="O305" i="10"/>
  <c r="P305" i="10" s="1"/>
  <c r="N305" i="10"/>
  <c r="L305" i="10"/>
  <c r="J305" i="10"/>
  <c r="I305" i="10"/>
  <c r="H305" i="10"/>
  <c r="O304" i="10"/>
  <c r="P304" i="10" s="1"/>
  <c r="N304" i="10"/>
  <c r="L304" i="10"/>
  <c r="J304" i="10"/>
  <c r="I304" i="10"/>
  <c r="H304" i="10"/>
  <c r="O303" i="10"/>
  <c r="P303" i="10" s="1"/>
  <c r="N303" i="10"/>
  <c r="L303" i="10"/>
  <c r="J303" i="10"/>
  <c r="I303" i="10"/>
  <c r="H303" i="10"/>
  <c r="O302" i="10"/>
  <c r="N302" i="10"/>
  <c r="L302" i="10"/>
  <c r="J302" i="10"/>
  <c r="I302" i="10"/>
  <c r="H302" i="10"/>
  <c r="O301" i="10"/>
  <c r="P301" i="10" s="1"/>
  <c r="N301" i="10"/>
  <c r="L301" i="10"/>
  <c r="J301" i="10"/>
  <c r="I301" i="10"/>
  <c r="H301" i="10"/>
  <c r="O300" i="10"/>
  <c r="K300" i="10" s="1"/>
  <c r="N300" i="10"/>
  <c r="L300" i="10"/>
  <c r="J300" i="10"/>
  <c r="I300" i="10"/>
  <c r="H300" i="10"/>
  <c r="O299" i="10"/>
  <c r="P299" i="10" s="1"/>
  <c r="N299" i="10"/>
  <c r="L299" i="10"/>
  <c r="J299" i="10"/>
  <c r="I299" i="10"/>
  <c r="H299" i="10"/>
  <c r="O298" i="10"/>
  <c r="P298" i="10" s="1"/>
  <c r="N298" i="10"/>
  <c r="L298" i="10"/>
  <c r="J298" i="10"/>
  <c r="I298" i="10"/>
  <c r="H298" i="10"/>
  <c r="O297" i="10"/>
  <c r="P297" i="10" s="1"/>
  <c r="N297" i="10"/>
  <c r="L297" i="10"/>
  <c r="J297" i="10"/>
  <c r="I297" i="10"/>
  <c r="H297" i="10"/>
  <c r="O296" i="10"/>
  <c r="N296" i="10"/>
  <c r="L296" i="10"/>
  <c r="J296" i="10"/>
  <c r="I296" i="10"/>
  <c r="H296" i="10"/>
  <c r="O295" i="10"/>
  <c r="P295" i="10" s="1"/>
  <c r="N295" i="10"/>
  <c r="L295" i="10"/>
  <c r="J295" i="10"/>
  <c r="I295" i="10"/>
  <c r="H295" i="10"/>
  <c r="O294" i="10"/>
  <c r="K294" i="10" s="1"/>
  <c r="N294" i="10"/>
  <c r="L294" i="10"/>
  <c r="J294" i="10"/>
  <c r="I294" i="10"/>
  <c r="H294" i="10"/>
  <c r="O293" i="10"/>
  <c r="P293" i="10" s="1"/>
  <c r="N293" i="10"/>
  <c r="L293" i="10"/>
  <c r="J293" i="10"/>
  <c r="I293" i="10"/>
  <c r="H293" i="10"/>
  <c r="O292" i="10"/>
  <c r="P292" i="10" s="1"/>
  <c r="N292" i="10"/>
  <c r="L292" i="10"/>
  <c r="J292" i="10"/>
  <c r="I292" i="10"/>
  <c r="H292" i="10"/>
  <c r="O291" i="10"/>
  <c r="K291" i="10" s="1"/>
  <c r="N291" i="10"/>
  <c r="L291" i="10"/>
  <c r="J291" i="10"/>
  <c r="I291" i="10"/>
  <c r="H291" i="10"/>
  <c r="O290" i="10"/>
  <c r="P290" i="10" s="1"/>
  <c r="N290" i="10"/>
  <c r="L290" i="10"/>
  <c r="J290" i="10"/>
  <c r="I290" i="10"/>
  <c r="H290" i="10"/>
  <c r="O289" i="10"/>
  <c r="P289" i="10" s="1"/>
  <c r="N289" i="10"/>
  <c r="L289" i="10"/>
  <c r="J289" i="10"/>
  <c r="I289" i="10"/>
  <c r="H289" i="10"/>
  <c r="O288" i="10"/>
  <c r="P288" i="10" s="1"/>
  <c r="N288" i="10"/>
  <c r="L288" i="10"/>
  <c r="J288" i="10"/>
  <c r="I288" i="10"/>
  <c r="H288" i="10"/>
  <c r="O287" i="10"/>
  <c r="K287" i="10" s="1"/>
  <c r="N287" i="10"/>
  <c r="L287" i="10"/>
  <c r="J287" i="10"/>
  <c r="I287" i="10"/>
  <c r="H287" i="10"/>
  <c r="O286" i="10"/>
  <c r="P286" i="10" s="1"/>
  <c r="N286" i="10"/>
  <c r="L286" i="10"/>
  <c r="J286" i="10"/>
  <c r="I286" i="10"/>
  <c r="H286" i="10"/>
  <c r="O285" i="10"/>
  <c r="P285" i="10" s="1"/>
  <c r="N285" i="10"/>
  <c r="L285" i="10"/>
  <c r="J285" i="10"/>
  <c r="I285" i="10"/>
  <c r="H285" i="10"/>
  <c r="O284" i="10"/>
  <c r="N284" i="10"/>
  <c r="L284" i="10"/>
  <c r="J284" i="10"/>
  <c r="I284" i="10"/>
  <c r="H284" i="10"/>
  <c r="O283" i="10"/>
  <c r="P283" i="10" s="1"/>
  <c r="N283" i="10"/>
  <c r="L283" i="10"/>
  <c r="J283" i="10"/>
  <c r="I283" i="10"/>
  <c r="H283" i="10"/>
  <c r="O282" i="10"/>
  <c r="P282" i="10" s="1"/>
  <c r="N282" i="10"/>
  <c r="L282" i="10"/>
  <c r="J282" i="10"/>
  <c r="I282" i="10"/>
  <c r="H282" i="10"/>
  <c r="O281" i="10"/>
  <c r="P281" i="10" s="1"/>
  <c r="N281" i="10"/>
  <c r="L281" i="10"/>
  <c r="J281" i="10"/>
  <c r="I281" i="10"/>
  <c r="H281" i="10"/>
  <c r="O280" i="10"/>
  <c r="K280" i="10" s="1"/>
  <c r="N280" i="10"/>
  <c r="L280" i="10"/>
  <c r="J280" i="10"/>
  <c r="I280" i="10"/>
  <c r="H280" i="10"/>
  <c r="O279" i="10"/>
  <c r="P279" i="10" s="1"/>
  <c r="N279" i="10"/>
  <c r="L279" i="10"/>
  <c r="J279" i="10"/>
  <c r="I279" i="10"/>
  <c r="H279" i="10"/>
  <c r="O278" i="10"/>
  <c r="K278" i="10" s="1"/>
  <c r="N278" i="10"/>
  <c r="L278" i="10"/>
  <c r="J278" i="10"/>
  <c r="I278" i="10"/>
  <c r="H278" i="10"/>
  <c r="O277" i="10"/>
  <c r="P277" i="10" s="1"/>
  <c r="N277" i="10"/>
  <c r="L277" i="10"/>
  <c r="J277" i="10"/>
  <c r="I277" i="10"/>
  <c r="H277" i="10"/>
  <c r="O276" i="10"/>
  <c r="P276" i="10" s="1"/>
  <c r="N276" i="10"/>
  <c r="L276" i="10"/>
  <c r="J276" i="10"/>
  <c r="I276" i="10"/>
  <c r="H276" i="10"/>
  <c r="O275" i="10"/>
  <c r="K275" i="10" s="1"/>
  <c r="N275" i="10"/>
  <c r="L275" i="10"/>
  <c r="J275" i="10"/>
  <c r="I275" i="10"/>
  <c r="H275" i="10"/>
  <c r="O274" i="10"/>
  <c r="P274" i="10" s="1"/>
  <c r="N274" i="10"/>
  <c r="L274" i="10"/>
  <c r="J274" i="10"/>
  <c r="I274" i="10"/>
  <c r="H274" i="10"/>
  <c r="O273" i="10"/>
  <c r="P273" i="10" s="1"/>
  <c r="N273" i="10"/>
  <c r="L273" i="10"/>
  <c r="J273" i="10"/>
  <c r="I273" i="10"/>
  <c r="H273" i="10"/>
  <c r="O272" i="10"/>
  <c r="P272" i="10" s="1"/>
  <c r="N272" i="10"/>
  <c r="L272" i="10"/>
  <c r="J272" i="10"/>
  <c r="I272" i="10"/>
  <c r="H272" i="10"/>
  <c r="O271" i="10"/>
  <c r="K271" i="10" s="1"/>
  <c r="N271" i="10"/>
  <c r="L271" i="10"/>
  <c r="J271" i="10"/>
  <c r="I271" i="10"/>
  <c r="H271" i="10"/>
  <c r="O270" i="10"/>
  <c r="N270" i="10"/>
  <c r="L270" i="10"/>
  <c r="J270" i="10"/>
  <c r="I270" i="10"/>
  <c r="H270" i="10"/>
  <c r="O269" i="10"/>
  <c r="K269" i="10" s="1"/>
  <c r="N269" i="10"/>
  <c r="L269" i="10"/>
  <c r="J269" i="10"/>
  <c r="I269" i="10"/>
  <c r="H269" i="10"/>
  <c r="O268" i="10"/>
  <c r="P268" i="10" s="1"/>
  <c r="N268" i="10"/>
  <c r="L268" i="10"/>
  <c r="J268" i="10"/>
  <c r="I268" i="10"/>
  <c r="H268" i="10"/>
  <c r="O267" i="10"/>
  <c r="N267" i="10"/>
  <c r="L267" i="10"/>
  <c r="J267" i="10"/>
  <c r="I267" i="10"/>
  <c r="H267" i="10"/>
  <c r="O266" i="10"/>
  <c r="K266" i="10" s="1"/>
  <c r="N266" i="10"/>
  <c r="L266" i="10"/>
  <c r="J266" i="10"/>
  <c r="I266" i="10"/>
  <c r="H266" i="10"/>
  <c r="O265" i="10"/>
  <c r="P265" i="10" s="1"/>
  <c r="N265" i="10"/>
  <c r="L265" i="10"/>
  <c r="J265" i="10"/>
  <c r="I265" i="10"/>
  <c r="H265" i="10"/>
  <c r="O264" i="10"/>
  <c r="P264" i="10" s="1"/>
  <c r="N264" i="10"/>
  <c r="L264" i="10"/>
  <c r="J264" i="10"/>
  <c r="I264" i="10"/>
  <c r="H264" i="10"/>
  <c r="O263" i="10"/>
  <c r="P263" i="10" s="1"/>
  <c r="N263" i="10"/>
  <c r="L263" i="10"/>
  <c r="J263" i="10"/>
  <c r="I263" i="10"/>
  <c r="H263" i="10"/>
  <c r="O262" i="10"/>
  <c r="K262" i="10" s="1"/>
  <c r="N262" i="10"/>
  <c r="L262" i="10"/>
  <c r="J262" i="10"/>
  <c r="I262" i="10"/>
  <c r="H262" i="10"/>
  <c r="O261" i="10"/>
  <c r="P261" i="10" s="1"/>
  <c r="N261" i="10"/>
  <c r="L261" i="10"/>
  <c r="J261" i="10"/>
  <c r="I261" i="10"/>
  <c r="H261" i="10"/>
  <c r="O260" i="10"/>
  <c r="P260" i="10" s="1"/>
  <c r="N260" i="10"/>
  <c r="L260" i="10"/>
  <c r="J260" i="10"/>
  <c r="I260" i="10"/>
  <c r="H260" i="10"/>
  <c r="O259" i="10"/>
  <c r="P259" i="10" s="1"/>
  <c r="N259" i="10"/>
  <c r="L259" i="10"/>
  <c r="J259" i="10"/>
  <c r="I259" i="10"/>
  <c r="H259" i="10"/>
  <c r="O258" i="10"/>
  <c r="P258" i="10" s="1"/>
  <c r="N258" i="10"/>
  <c r="L258" i="10"/>
  <c r="J258" i="10"/>
  <c r="I258" i="10"/>
  <c r="H258" i="10"/>
  <c r="O257" i="10"/>
  <c r="P257" i="10" s="1"/>
  <c r="N257" i="10"/>
  <c r="L257" i="10"/>
  <c r="J257" i="10"/>
  <c r="I257" i="10"/>
  <c r="H257" i="10"/>
  <c r="O256" i="10"/>
  <c r="P256" i="10" s="1"/>
  <c r="N256" i="10"/>
  <c r="L256" i="10"/>
  <c r="J256" i="10"/>
  <c r="I256" i="10"/>
  <c r="H256" i="10"/>
  <c r="O255" i="10"/>
  <c r="P255" i="10" s="1"/>
  <c r="N255" i="10"/>
  <c r="L255" i="10"/>
  <c r="J255" i="10"/>
  <c r="I255" i="10"/>
  <c r="H255" i="10"/>
  <c r="O254" i="10"/>
  <c r="P254" i="10" s="1"/>
  <c r="N254" i="10"/>
  <c r="L254" i="10"/>
  <c r="J254" i="10"/>
  <c r="I254" i="10"/>
  <c r="H254" i="10"/>
  <c r="O253" i="10"/>
  <c r="P253" i="10" s="1"/>
  <c r="N253" i="10"/>
  <c r="L253" i="10"/>
  <c r="J253" i="10"/>
  <c r="I253" i="10"/>
  <c r="H253" i="10"/>
  <c r="O252" i="10"/>
  <c r="N252" i="10"/>
  <c r="L252" i="10"/>
  <c r="J252" i="10"/>
  <c r="I252" i="10"/>
  <c r="H252" i="10"/>
  <c r="O251" i="10"/>
  <c r="N251" i="10"/>
  <c r="L251" i="10"/>
  <c r="J251" i="10"/>
  <c r="I251" i="10"/>
  <c r="H251" i="10"/>
  <c r="O250" i="10"/>
  <c r="P250" i="10" s="1"/>
  <c r="N250" i="10"/>
  <c r="L250" i="10"/>
  <c r="J250" i="10"/>
  <c r="I250" i="10"/>
  <c r="H250" i="10"/>
  <c r="O249" i="10"/>
  <c r="P249" i="10" s="1"/>
  <c r="N249" i="10"/>
  <c r="L249" i="10"/>
  <c r="J249" i="10"/>
  <c r="I249" i="10"/>
  <c r="H249" i="10"/>
  <c r="O248" i="10"/>
  <c r="N248" i="10"/>
  <c r="L248" i="10"/>
  <c r="J248" i="10"/>
  <c r="I248" i="10"/>
  <c r="H248" i="10"/>
  <c r="O247" i="10"/>
  <c r="P247" i="10" s="1"/>
  <c r="N247" i="10"/>
  <c r="L247" i="10"/>
  <c r="J247" i="10"/>
  <c r="I247" i="10"/>
  <c r="H247" i="10"/>
  <c r="O246" i="10"/>
  <c r="K246" i="10" s="1"/>
  <c r="N246" i="10"/>
  <c r="L246" i="10"/>
  <c r="J246" i="10"/>
  <c r="I246" i="10"/>
  <c r="H246" i="10"/>
  <c r="O245" i="10"/>
  <c r="N245" i="10"/>
  <c r="L245" i="10"/>
  <c r="J245" i="10"/>
  <c r="I245" i="10"/>
  <c r="H245" i="10"/>
  <c r="O244" i="10"/>
  <c r="K244" i="10" s="1"/>
  <c r="N244" i="10"/>
  <c r="L244" i="10"/>
  <c r="J244" i="10"/>
  <c r="I244" i="10"/>
  <c r="H244" i="10"/>
  <c r="O243" i="10"/>
  <c r="P243" i="10" s="1"/>
  <c r="N243" i="10"/>
  <c r="L243" i="10"/>
  <c r="J243" i="10"/>
  <c r="I243" i="10"/>
  <c r="H243" i="10"/>
  <c r="O242" i="10"/>
  <c r="P242" i="10" s="1"/>
  <c r="N242" i="10"/>
  <c r="L242" i="10"/>
  <c r="J242" i="10"/>
  <c r="I242" i="10"/>
  <c r="H242" i="10"/>
  <c r="O241" i="10"/>
  <c r="P241" i="10" s="1"/>
  <c r="N241" i="10"/>
  <c r="L241" i="10"/>
  <c r="J241" i="10"/>
  <c r="I241" i="10"/>
  <c r="H241" i="10"/>
  <c r="O240" i="10"/>
  <c r="K240" i="10" s="1"/>
  <c r="N240" i="10"/>
  <c r="L240" i="10"/>
  <c r="J240" i="10"/>
  <c r="I240" i="10"/>
  <c r="H240" i="10"/>
  <c r="O239" i="10"/>
  <c r="P239" i="10" s="1"/>
  <c r="N239" i="10"/>
  <c r="L239" i="10"/>
  <c r="J239" i="10"/>
  <c r="I239" i="10"/>
  <c r="H239" i="10"/>
  <c r="O238" i="10"/>
  <c r="P238" i="10" s="1"/>
  <c r="N238" i="10"/>
  <c r="L238" i="10"/>
  <c r="J238" i="10"/>
  <c r="I238" i="10"/>
  <c r="H238" i="10"/>
  <c r="O237" i="10"/>
  <c r="P237" i="10" s="1"/>
  <c r="N237" i="10"/>
  <c r="L237" i="10"/>
  <c r="J237" i="10"/>
  <c r="I237" i="10"/>
  <c r="H237" i="10"/>
  <c r="O236" i="10"/>
  <c r="P236" i="10" s="1"/>
  <c r="N236" i="10"/>
  <c r="L236" i="10"/>
  <c r="J236" i="10"/>
  <c r="I236" i="10"/>
  <c r="H236" i="10"/>
  <c r="O235" i="10"/>
  <c r="P235" i="10" s="1"/>
  <c r="N235" i="10"/>
  <c r="L235" i="10"/>
  <c r="J235" i="10"/>
  <c r="I235" i="10"/>
  <c r="H235" i="10"/>
  <c r="O234" i="10"/>
  <c r="P234" i="10" s="1"/>
  <c r="N234" i="10"/>
  <c r="L234" i="10"/>
  <c r="J234" i="10"/>
  <c r="I234" i="10"/>
  <c r="H234" i="10"/>
  <c r="O233" i="10"/>
  <c r="N233" i="10"/>
  <c r="L233" i="10"/>
  <c r="J233" i="10"/>
  <c r="I233" i="10"/>
  <c r="H233" i="10"/>
  <c r="O232" i="10"/>
  <c r="P232" i="10" s="1"/>
  <c r="N232" i="10"/>
  <c r="L232" i="10"/>
  <c r="J232" i="10"/>
  <c r="I232" i="10"/>
  <c r="H232" i="10"/>
  <c r="O231" i="10"/>
  <c r="P231" i="10" s="1"/>
  <c r="N231" i="10"/>
  <c r="L231" i="10"/>
  <c r="J231" i="10"/>
  <c r="I231" i="10"/>
  <c r="H231" i="10"/>
  <c r="O230" i="10"/>
  <c r="K230" i="10" s="1"/>
  <c r="N230" i="10"/>
  <c r="L230" i="10"/>
  <c r="J230" i="10"/>
  <c r="I230" i="10"/>
  <c r="H230" i="10"/>
  <c r="O229" i="10"/>
  <c r="K229" i="10" s="1"/>
  <c r="N229" i="10"/>
  <c r="L229" i="10"/>
  <c r="J229" i="10"/>
  <c r="I229" i="10"/>
  <c r="H229" i="10"/>
  <c r="O228" i="10"/>
  <c r="P228" i="10" s="1"/>
  <c r="N228" i="10"/>
  <c r="L228" i="10"/>
  <c r="J228" i="10"/>
  <c r="I228" i="10"/>
  <c r="H228" i="10"/>
  <c r="O227" i="10"/>
  <c r="N227" i="10"/>
  <c r="L227" i="10"/>
  <c r="J227" i="10"/>
  <c r="I227" i="10"/>
  <c r="H227" i="10"/>
  <c r="O226" i="10"/>
  <c r="P226" i="10" s="1"/>
  <c r="N226" i="10"/>
  <c r="L226" i="10"/>
  <c r="J226" i="10"/>
  <c r="I226" i="10"/>
  <c r="H226" i="10"/>
  <c r="O225" i="10"/>
  <c r="P225" i="10" s="1"/>
  <c r="N225" i="10"/>
  <c r="L225" i="10"/>
  <c r="J225" i="10"/>
  <c r="I225" i="10"/>
  <c r="H225" i="10"/>
  <c r="O224" i="10"/>
  <c r="N224" i="10"/>
  <c r="L224" i="10"/>
  <c r="J224" i="10"/>
  <c r="I224" i="10"/>
  <c r="H224" i="10"/>
  <c r="O223" i="10"/>
  <c r="P223" i="10" s="1"/>
  <c r="N223" i="10"/>
  <c r="L223" i="10"/>
  <c r="J223" i="10"/>
  <c r="I223" i="10"/>
  <c r="H223" i="10"/>
  <c r="O222" i="10"/>
  <c r="K222" i="10" s="1"/>
  <c r="N222" i="10"/>
  <c r="L222" i="10"/>
  <c r="J222" i="10"/>
  <c r="I222" i="10"/>
  <c r="H222" i="10"/>
  <c r="O221" i="10"/>
  <c r="P221" i="10" s="1"/>
  <c r="N221" i="10"/>
  <c r="L221" i="10"/>
  <c r="J221" i="10"/>
  <c r="I221" i="10"/>
  <c r="H221" i="10"/>
  <c r="O220" i="10"/>
  <c r="P220" i="10" s="1"/>
  <c r="N220" i="10"/>
  <c r="L220" i="10"/>
  <c r="J220" i="10"/>
  <c r="I220" i="10"/>
  <c r="H220" i="10"/>
  <c r="O219" i="10"/>
  <c r="P219" i="10" s="1"/>
  <c r="N219" i="10"/>
  <c r="L219" i="10"/>
  <c r="J219" i="10"/>
  <c r="I219" i="10"/>
  <c r="H219" i="10"/>
  <c r="O218" i="10"/>
  <c r="P218" i="10" s="1"/>
  <c r="N218" i="10"/>
  <c r="L218" i="10"/>
  <c r="J218" i="10"/>
  <c r="I218" i="10"/>
  <c r="H218" i="10"/>
  <c r="O217" i="10"/>
  <c r="P217" i="10" s="1"/>
  <c r="N217" i="10"/>
  <c r="L217" i="10"/>
  <c r="J217" i="10"/>
  <c r="I217" i="10"/>
  <c r="H217" i="10"/>
  <c r="O216" i="10"/>
  <c r="K216" i="10" s="1"/>
  <c r="N216" i="10"/>
  <c r="L216" i="10"/>
  <c r="J216" i="10"/>
  <c r="I216" i="10"/>
  <c r="H216" i="10"/>
  <c r="O215" i="10"/>
  <c r="P215" i="10" s="1"/>
  <c r="N215" i="10"/>
  <c r="L215" i="10"/>
  <c r="J215" i="10"/>
  <c r="I215" i="10"/>
  <c r="H215" i="10"/>
  <c r="O214" i="10"/>
  <c r="K214" i="10" s="1"/>
  <c r="N214" i="10"/>
  <c r="L214" i="10"/>
  <c r="J214" i="10"/>
  <c r="I214" i="10"/>
  <c r="H214" i="10"/>
  <c r="O213" i="10"/>
  <c r="P213" i="10" s="1"/>
  <c r="N213" i="10"/>
  <c r="L213" i="10"/>
  <c r="J213" i="10"/>
  <c r="I213" i="10"/>
  <c r="H213" i="10"/>
  <c r="O212" i="10"/>
  <c r="K212" i="10" s="1"/>
  <c r="N212" i="10"/>
  <c r="L212" i="10"/>
  <c r="J212" i="10"/>
  <c r="I212" i="10"/>
  <c r="H212" i="10"/>
  <c r="O211" i="10"/>
  <c r="K211" i="10" s="1"/>
  <c r="N211" i="10"/>
  <c r="L211" i="10"/>
  <c r="J211" i="10"/>
  <c r="I211" i="10"/>
  <c r="H211" i="10"/>
  <c r="O210" i="10"/>
  <c r="K210" i="10" s="1"/>
  <c r="N210" i="10"/>
  <c r="L210" i="10"/>
  <c r="J210" i="10"/>
  <c r="I210" i="10"/>
  <c r="H210" i="10"/>
  <c r="O209" i="10"/>
  <c r="P209" i="10" s="1"/>
  <c r="N209" i="10"/>
  <c r="L209" i="10"/>
  <c r="J209" i="10"/>
  <c r="I209" i="10"/>
  <c r="H209" i="10"/>
  <c r="O208" i="10"/>
  <c r="P208" i="10" s="1"/>
  <c r="N208" i="10"/>
  <c r="L208" i="10"/>
  <c r="J208" i="10"/>
  <c r="I208" i="10"/>
  <c r="H208" i="10"/>
  <c r="O207" i="10"/>
  <c r="P207" i="10" s="1"/>
  <c r="N207" i="10"/>
  <c r="L207" i="10"/>
  <c r="J207" i="10"/>
  <c r="I207" i="10"/>
  <c r="H207" i="10"/>
  <c r="O206" i="10"/>
  <c r="P206" i="10" s="1"/>
  <c r="N206" i="10"/>
  <c r="L206" i="10"/>
  <c r="J206" i="10"/>
  <c r="I206" i="10"/>
  <c r="H206" i="10"/>
  <c r="O205" i="10"/>
  <c r="P205" i="10" s="1"/>
  <c r="N205" i="10"/>
  <c r="L205" i="10"/>
  <c r="J205" i="10"/>
  <c r="I205" i="10"/>
  <c r="H205" i="10"/>
  <c r="O204" i="10"/>
  <c r="N204" i="10"/>
  <c r="L204" i="10"/>
  <c r="J204" i="10"/>
  <c r="I204" i="10"/>
  <c r="H204" i="10"/>
  <c r="O203" i="10"/>
  <c r="P203" i="10" s="1"/>
  <c r="N203" i="10"/>
  <c r="L203" i="10"/>
  <c r="J203" i="10"/>
  <c r="I203" i="10"/>
  <c r="H203" i="10"/>
  <c r="O202" i="10"/>
  <c r="P202" i="10" s="1"/>
  <c r="N202" i="10"/>
  <c r="L202" i="10"/>
  <c r="J202" i="10"/>
  <c r="I202" i="10"/>
  <c r="H202" i="10"/>
  <c r="O201" i="10"/>
  <c r="N201" i="10"/>
  <c r="L201" i="10"/>
  <c r="J201" i="10"/>
  <c r="I201" i="10"/>
  <c r="H201" i="10"/>
  <c r="O200" i="10"/>
  <c r="K200" i="10" s="1"/>
  <c r="N200" i="10"/>
  <c r="L200" i="10"/>
  <c r="J200" i="10"/>
  <c r="I200" i="10"/>
  <c r="H200" i="10"/>
  <c r="O199" i="10"/>
  <c r="P199" i="10" s="1"/>
  <c r="N199" i="10"/>
  <c r="L199" i="10"/>
  <c r="J199" i="10"/>
  <c r="I199" i="10"/>
  <c r="H199" i="10"/>
  <c r="O198" i="10"/>
  <c r="N198" i="10"/>
  <c r="L198" i="10"/>
  <c r="J198" i="10"/>
  <c r="I198" i="10"/>
  <c r="H198" i="10"/>
  <c r="O197" i="10"/>
  <c r="K197" i="10" s="1"/>
  <c r="N197" i="10"/>
  <c r="L197" i="10"/>
  <c r="J197" i="10"/>
  <c r="I197" i="10"/>
  <c r="H197" i="10"/>
  <c r="O196" i="10"/>
  <c r="P196" i="10" s="1"/>
  <c r="N196" i="10"/>
  <c r="L196" i="10"/>
  <c r="J196" i="10"/>
  <c r="I196" i="10"/>
  <c r="H196" i="10"/>
  <c r="O195" i="10"/>
  <c r="P195" i="10" s="1"/>
  <c r="N195" i="10"/>
  <c r="L195" i="10"/>
  <c r="J195" i="10"/>
  <c r="I195" i="10"/>
  <c r="H195" i="10"/>
  <c r="O194" i="10"/>
  <c r="P194" i="10" s="1"/>
  <c r="N194" i="10"/>
  <c r="L194" i="10"/>
  <c r="J194" i="10"/>
  <c r="I194" i="10"/>
  <c r="H194" i="10"/>
  <c r="O193" i="10"/>
  <c r="K193" i="10" s="1"/>
  <c r="N193" i="10"/>
  <c r="L193" i="10"/>
  <c r="J193" i="10"/>
  <c r="I193" i="10"/>
  <c r="H193" i="10"/>
  <c r="O192" i="10"/>
  <c r="P192" i="10" s="1"/>
  <c r="N192" i="10"/>
  <c r="L192" i="10"/>
  <c r="J192" i="10"/>
  <c r="I192" i="10"/>
  <c r="H192" i="10"/>
  <c r="O191" i="10"/>
  <c r="P191" i="10" s="1"/>
  <c r="N191" i="10"/>
  <c r="L191" i="10"/>
  <c r="J191" i="10"/>
  <c r="I191" i="10"/>
  <c r="H191" i="10"/>
  <c r="O190" i="10"/>
  <c r="P190" i="10" s="1"/>
  <c r="N190" i="10"/>
  <c r="L190" i="10"/>
  <c r="J190" i="10"/>
  <c r="I190" i="10"/>
  <c r="H190" i="10"/>
  <c r="O189" i="10"/>
  <c r="P189" i="10" s="1"/>
  <c r="N189" i="10"/>
  <c r="L189" i="10"/>
  <c r="J189" i="10"/>
  <c r="I189" i="10"/>
  <c r="H189" i="10"/>
  <c r="O188" i="10"/>
  <c r="P188" i="10" s="1"/>
  <c r="N188" i="10"/>
  <c r="L188" i="10"/>
  <c r="J188" i="10"/>
  <c r="I188" i="10"/>
  <c r="H188" i="10"/>
  <c r="O187" i="10"/>
  <c r="P187" i="10" s="1"/>
  <c r="N187" i="10"/>
  <c r="L187" i="10"/>
  <c r="J187" i="10"/>
  <c r="I187" i="10"/>
  <c r="H187" i="10"/>
  <c r="O186" i="10"/>
  <c r="P186" i="10" s="1"/>
  <c r="N186" i="10"/>
  <c r="L186" i="10"/>
  <c r="J186" i="10"/>
  <c r="I186" i="10"/>
  <c r="H186" i="10"/>
  <c r="O185" i="10"/>
  <c r="P185" i="10" s="1"/>
  <c r="N185" i="10"/>
  <c r="L185" i="10"/>
  <c r="J185" i="10"/>
  <c r="I185" i="10"/>
  <c r="H185" i="10"/>
  <c r="O184" i="10"/>
  <c r="N184" i="10"/>
  <c r="L184" i="10"/>
  <c r="J184" i="10"/>
  <c r="I184" i="10"/>
  <c r="H184" i="10"/>
  <c r="O183" i="10"/>
  <c r="P183" i="10" s="1"/>
  <c r="N183" i="10"/>
  <c r="L183" i="10"/>
  <c r="J183" i="10"/>
  <c r="I183" i="10"/>
  <c r="H183" i="10"/>
  <c r="O182" i="10"/>
  <c r="K182" i="10" s="1"/>
  <c r="N182" i="10"/>
  <c r="L182" i="10"/>
  <c r="J182" i="10"/>
  <c r="I182" i="10"/>
  <c r="H182" i="10"/>
  <c r="O181" i="10"/>
  <c r="P181" i="10" s="1"/>
  <c r="N181" i="10"/>
  <c r="L181" i="10"/>
  <c r="J181" i="10"/>
  <c r="I181" i="10"/>
  <c r="H181" i="10"/>
  <c r="O180" i="10"/>
  <c r="P180" i="10" s="1"/>
  <c r="N180" i="10"/>
  <c r="L180" i="10"/>
  <c r="J180" i="10"/>
  <c r="I180" i="10"/>
  <c r="H180" i="10"/>
  <c r="O179" i="10"/>
  <c r="P179" i="10" s="1"/>
  <c r="N179" i="10"/>
  <c r="L179" i="10"/>
  <c r="J179" i="10"/>
  <c r="I179" i="10"/>
  <c r="H179" i="10"/>
  <c r="O178" i="10"/>
  <c r="K178" i="10" s="1"/>
  <c r="N178" i="10"/>
  <c r="L178" i="10"/>
  <c r="J178" i="10"/>
  <c r="I178" i="10"/>
  <c r="H178" i="10"/>
  <c r="O177" i="10"/>
  <c r="P177" i="10" s="1"/>
  <c r="N177" i="10"/>
  <c r="L177" i="10"/>
  <c r="J177" i="10"/>
  <c r="I177" i="10"/>
  <c r="H177" i="10"/>
  <c r="O176" i="10"/>
  <c r="K176" i="10" s="1"/>
  <c r="N176" i="10"/>
  <c r="L176" i="10"/>
  <c r="J176" i="10"/>
  <c r="I176" i="10"/>
  <c r="H176" i="10"/>
  <c r="O175" i="10"/>
  <c r="P175" i="10" s="1"/>
  <c r="N175" i="10"/>
  <c r="L175" i="10"/>
  <c r="J175" i="10"/>
  <c r="I175" i="10"/>
  <c r="H175" i="10"/>
  <c r="O174" i="10"/>
  <c r="P174" i="10" s="1"/>
  <c r="N174" i="10"/>
  <c r="L174" i="10"/>
  <c r="J174" i="10"/>
  <c r="I174" i="10"/>
  <c r="H174" i="10"/>
  <c r="O173" i="10"/>
  <c r="K173" i="10" s="1"/>
  <c r="N173" i="10"/>
  <c r="L173" i="10"/>
  <c r="J173" i="10"/>
  <c r="I173" i="10"/>
  <c r="H173" i="10"/>
  <c r="O172" i="10"/>
  <c r="N172" i="10"/>
  <c r="L172" i="10"/>
  <c r="J172" i="10"/>
  <c r="I172" i="10"/>
  <c r="H172" i="10"/>
  <c r="O171" i="10"/>
  <c r="K171" i="10" s="1"/>
  <c r="N171" i="10"/>
  <c r="L171" i="10"/>
  <c r="J171" i="10"/>
  <c r="I171" i="10"/>
  <c r="H171" i="10"/>
  <c r="O170" i="10"/>
  <c r="P170" i="10" s="1"/>
  <c r="N170" i="10"/>
  <c r="L170" i="10"/>
  <c r="J170" i="10"/>
  <c r="I170" i="10"/>
  <c r="H170" i="10"/>
  <c r="O169" i="10"/>
  <c r="P169" i="10" s="1"/>
  <c r="N169" i="10"/>
  <c r="L169" i="10"/>
  <c r="J169" i="10"/>
  <c r="I169" i="10"/>
  <c r="H169" i="10"/>
  <c r="O168" i="10"/>
  <c r="P168" i="10" s="1"/>
  <c r="N168" i="10"/>
  <c r="L168" i="10"/>
  <c r="J168" i="10"/>
  <c r="I168" i="10"/>
  <c r="H168" i="10"/>
  <c r="O167" i="10"/>
  <c r="P167" i="10" s="1"/>
  <c r="N167" i="10"/>
  <c r="L167" i="10"/>
  <c r="J167" i="10"/>
  <c r="I167" i="10"/>
  <c r="H167" i="10"/>
  <c r="O166" i="10"/>
  <c r="K166" i="10" s="1"/>
  <c r="N166" i="10"/>
  <c r="L166" i="10"/>
  <c r="J166" i="10"/>
  <c r="I166" i="10"/>
  <c r="H166" i="10"/>
  <c r="O165" i="10"/>
  <c r="K165" i="10" s="1"/>
  <c r="N165" i="10"/>
  <c r="L165" i="10"/>
  <c r="J165" i="10"/>
  <c r="I165" i="10"/>
  <c r="H165" i="10"/>
  <c r="O164" i="10"/>
  <c r="N164" i="10"/>
  <c r="L164" i="10"/>
  <c r="J164" i="10"/>
  <c r="I164" i="10"/>
  <c r="H164" i="10"/>
  <c r="O163" i="10"/>
  <c r="P163" i="10" s="1"/>
  <c r="N163" i="10"/>
  <c r="L163" i="10"/>
  <c r="J163" i="10"/>
  <c r="I163" i="10"/>
  <c r="H163" i="10"/>
  <c r="O162" i="10"/>
  <c r="K162" i="10" s="1"/>
  <c r="N162" i="10"/>
  <c r="L162" i="10"/>
  <c r="J162" i="10"/>
  <c r="I162" i="10"/>
  <c r="H162" i="10"/>
  <c r="O161" i="10"/>
  <c r="P161" i="10" s="1"/>
  <c r="N161" i="10"/>
  <c r="L161" i="10"/>
  <c r="J161" i="10"/>
  <c r="I161" i="10"/>
  <c r="H161" i="10"/>
  <c r="O160" i="10"/>
  <c r="P160" i="10" s="1"/>
  <c r="N160" i="10"/>
  <c r="L160" i="10"/>
  <c r="J160" i="10"/>
  <c r="I160" i="10"/>
  <c r="H160" i="10"/>
  <c r="O159" i="10"/>
  <c r="P159" i="10" s="1"/>
  <c r="N159" i="10"/>
  <c r="L159" i="10"/>
  <c r="J159" i="10"/>
  <c r="I159" i="10"/>
  <c r="H159" i="10"/>
  <c r="O158" i="10"/>
  <c r="K158" i="10" s="1"/>
  <c r="N158" i="10"/>
  <c r="L158" i="10"/>
  <c r="J158" i="10"/>
  <c r="I158" i="10"/>
  <c r="H158" i="10"/>
  <c r="O157" i="10"/>
  <c r="P157" i="10" s="1"/>
  <c r="N157" i="10"/>
  <c r="L157" i="10"/>
  <c r="J157" i="10"/>
  <c r="I157" i="10"/>
  <c r="H157" i="10"/>
  <c r="O156" i="10"/>
  <c r="P156" i="10" s="1"/>
  <c r="N156" i="10"/>
  <c r="L156" i="10"/>
  <c r="J156" i="10"/>
  <c r="I156" i="10"/>
  <c r="H156" i="10"/>
  <c r="O155" i="10"/>
  <c r="N155" i="10"/>
  <c r="L155" i="10"/>
  <c r="J155" i="10"/>
  <c r="I155" i="10"/>
  <c r="H155" i="10"/>
  <c r="O154" i="10"/>
  <c r="P154" i="10" s="1"/>
  <c r="N154" i="10"/>
  <c r="L154" i="10"/>
  <c r="J154" i="10"/>
  <c r="I154" i="10"/>
  <c r="H154" i="10"/>
  <c r="O153" i="10"/>
  <c r="N153" i="10"/>
  <c r="L153" i="10"/>
  <c r="J153" i="10"/>
  <c r="I153" i="10"/>
  <c r="H153" i="10"/>
  <c r="O152" i="10"/>
  <c r="K152" i="10" s="1"/>
  <c r="N152" i="10"/>
  <c r="L152" i="10"/>
  <c r="J152" i="10"/>
  <c r="I152" i="10"/>
  <c r="H152" i="10"/>
  <c r="O151" i="10"/>
  <c r="P151" i="10" s="1"/>
  <c r="N151" i="10"/>
  <c r="L151" i="10"/>
  <c r="J151" i="10"/>
  <c r="I151" i="10"/>
  <c r="H151" i="10"/>
  <c r="O150" i="10"/>
  <c r="K150" i="10" s="1"/>
  <c r="N150" i="10"/>
  <c r="L150" i="10"/>
  <c r="J150" i="10"/>
  <c r="I150" i="10"/>
  <c r="H150" i="10"/>
  <c r="O149" i="10"/>
  <c r="K149" i="10" s="1"/>
  <c r="N149" i="10"/>
  <c r="L149" i="10"/>
  <c r="J149" i="10"/>
  <c r="I149" i="10"/>
  <c r="H149" i="10"/>
  <c r="O148" i="10"/>
  <c r="K148" i="10" s="1"/>
  <c r="N148" i="10"/>
  <c r="L148" i="10"/>
  <c r="J148" i="10"/>
  <c r="I148" i="10"/>
  <c r="H148" i="10"/>
  <c r="O147" i="10"/>
  <c r="N147" i="10"/>
  <c r="L147" i="10"/>
  <c r="J147" i="10"/>
  <c r="I147" i="10"/>
  <c r="H147" i="10"/>
  <c r="O146" i="10"/>
  <c r="P146" i="10" s="1"/>
  <c r="N146" i="10"/>
  <c r="L146" i="10"/>
  <c r="J146" i="10"/>
  <c r="I146" i="10"/>
  <c r="H146" i="10"/>
  <c r="O145" i="10"/>
  <c r="K145" i="10" s="1"/>
  <c r="N145" i="10"/>
  <c r="L145" i="10"/>
  <c r="J145" i="10"/>
  <c r="I145" i="10"/>
  <c r="H145" i="10"/>
  <c r="O144" i="10"/>
  <c r="N144" i="10"/>
  <c r="L144" i="10"/>
  <c r="J144" i="10"/>
  <c r="I144" i="10"/>
  <c r="H144" i="10"/>
  <c r="O143" i="10"/>
  <c r="P143" i="10" s="1"/>
  <c r="N143" i="10"/>
  <c r="L143" i="10"/>
  <c r="J143" i="10"/>
  <c r="I143" i="10"/>
  <c r="H143" i="10"/>
  <c r="O142" i="10"/>
  <c r="K142" i="10" s="1"/>
  <c r="N142" i="10"/>
  <c r="L142" i="10"/>
  <c r="J142" i="10"/>
  <c r="I142" i="10"/>
  <c r="H142" i="10"/>
  <c r="O141" i="10"/>
  <c r="P141" i="10" s="1"/>
  <c r="N141" i="10"/>
  <c r="L141" i="10"/>
  <c r="J141" i="10"/>
  <c r="I141" i="10"/>
  <c r="H141" i="10"/>
  <c r="O140" i="10"/>
  <c r="P140" i="10" s="1"/>
  <c r="N140" i="10"/>
  <c r="L140" i="10"/>
  <c r="J140" i="10"/>
  <c r="I140" i="10"/>
  <c r="H140" i="10"/>
  <c r="O139" i="10"/>
  <c r="P139" i="10" s="1"/>
  <c r="N139" i="10"/>
  <c r="L139" i="10"/>
  <c r="J139" i="10"/>
  <c r="I139" i="10"/>
  <c r="H139" i="10"/>
  <c r="O138" i="10"/>
  <c r="P138" i="10" s="1"/>
  <c r="N138" i="10"/>
  <c r="L138" i="10"/>
  <c r="J138" i="10"/>
  <c r="I138" i="10"/>
  <c r="H138" i="10"/>
  <c r="O137" i="10"/>
  <c r="P137" i="10" s="1"/>
  <c r="N137" i="10"/>
  <c r="L137" i="10"/>
  <c r="J137" i="10"/>
  <c r="I137" i="10"/>
  <c r="H137" i="10"/>
  <c r="O136" i="10"/>
  <c r="P136" i="10" s="1"/>
  <c r="N136" i="10"/>
  <c r="L136" i="10"/>
  <c r="J136" i="10"/>
  <c r="I136" i="10"/>
  <c r="H136" i="10"/>
  <c r="O135" i="10"/>
  <c r="N135" i="10"/>
  <c r="L135" i="10"/>
  <c r="J135" i="10"/>
  <c r="I135" i="10"/>
  <c r="H135" i="10"/>
  <c r="O134" i="10"/>
  <c r="K134" i="10" s="1"/>
  <c r="N134" i="10"/>
  <c r="L134" i="10"/>
  <c r="J134" i="10"/>
  <c r="I134" i="10"/>
  <c r="H134" i="10"/>
  <c r="O133" i="10"/>
  <c r="P133" i="10" s="1"/>
  <c r="N133" i="10"/>
  <c r="L133" i="10"/>
  <c r="J133" i="10"/>
  <c r="I133" i="10"/>
  <c r="H133" i="10"/>
  <c r="O132" i="10"/>
  <c r="N132" i="10"/>
  <c r="L132" i="10"/>
  <c r="J132" i="10"/>
  <c r="I132" i="10"/>
  <c r="H132" i="10"/>
  <c r="O131" i="10"/>
  <c r="K131" i="10" s="1"/>
  <c r="N131" i="10"/>
  <c r="L131" i="10"/>
  <c r="J131" i="10"/>
  <c r="I131" i="10"/>
  <c r="H131" i="10"/>
  <c r="O130" i="10"/>
  <c r="K130" i="10" s="1"/>
  <c r="N130" i="10"/>
  <c r="L130" i="10"/>
  <c r="J130" i="10"/>
  <c r="I130" i="10"/>
  <c r="H130" i="10"/>
  <c r="O129" i="10"/>
  <c r="N129" i="10"/>
  <c r="L129" i="10"/>
  <c r="J129" i="10"/>
  <c r="I129" i="10"/>
  <c r="H129" i="10"/>
  <c r="O128" i="10"/>
  <c r="P128" i="10" s="1"/>
  <c r="N128" i="10"/>
  <c r="L128" i="10"/>
  <c r="J128" i="10"/>
  <c r="I128" i="10"/>
  <c r="H128" i="10"/>
  <c r="O127" i="10"/>
  <c r="K127" i="10" s="1"/>
  <c r="N127" i="10"/>
  <c r="L127" i="10"/>
  <c r="J127" i="10"/>
  <c r="I127" i="10"/>
  <c r="H127" i="10"/>
  <c r="O126" i="10"/>
  <c r="N126" i="10"/>
  <c r="L126" i="10"/>
  <c r="J126" i="10"/>
  <c r="I126" i="10"/>
  <c r="H126" i="10"/>
  <c r="O125" i="10"/>
  <c r="P125" i="10" s="1"/>
  <c r="N125" i="10"/>
  <c r="L125" i="10"/>
  <c r="J125" i="10"/>
  <c r="I125" i="10"/>
  <c r="H125" i="10"/>
  <c r="O124" i="10"/>
  <c r="K124" i="10" s="1"/>
  <c r="N124" i="10"/>
  <c r="L124" i="10"/>
  <c r="J124" i="10"/>
  <c r="I124" i="10"/>
  <c r="H124" i="10"/>
  <c r="O123" i="10"/>
  <c r="P123" i="10" s="1"/>
  <c r="N123" i="10"/>
  <c r="L123" i="10"/>
  <c r="J123" i="10"/>
  <c r="I123" i="10"/>
  <c r="H123" i="10"/>
  <c r="O122" i="10"/>
  <c r="P122" i="10" s="1"/>
  <c r="N122" i="10"/>
  <c r="L122" i="10"/>
  <c r="J122" i="10"/>
  <c r="I122" i="10"/>
  <c r="H122" i="10"/>
  <c r="O121" i="10"/>
  <c r="P121" i="10" s="1"/>
  <c r="N121" i="10"/>
  <c r="L121" i="10"/>
  <c r="J121" i="10"/>
  <c r="I121" i="10"/>
  <c r="H121" i="10"/>
  <c r="O120" i="10"/>
  <c r="K120" i="10" s="1"/>
  <c r="N120" i="10"/>
  <c r="L120" i="10"/>
  <c r="J120" i="10"/>
  <c r="I120" i="10"/>
  <c r="H120" i="10"/>
  <c r="O119" i="10"/>
  <c r="P119" i="10" s="1"/>
  <c r="N119" i="10"/>
  <c r="L119" i="10"/>
  <c r="J119" i="10"/>
  <c r="I119" i="10"/>
  <c r="H119" i="10"/>
  <c r="O118" i="10"/>
  <c r="N118" i="10"/>
  <c r="L118" i="10"/>
  <c r="J118" i="10"/>
  <c r="I118" i="10"/>
  <c r="H118" i="10"/>
  <c r="O117" i="10"/>
  <c r="P117" i="10" s="1"/>
  <c r="N117" i="10"/>
  <c r="L117" i="10"/>
  <c r="J117" i="10"/>
  <c r="I117" i="10"/>
  <c r="H117" i="10"/>
  <c r="O116" i="10"/>
  <c r="P116" i="10" s="1"/>
  <c r="N116" i="10"/>
  <c r="L116" i="10"/>
  <c r="J116" i="10"/>
  <c r="I116" i="10"/>
  <c r="H116" i="10"/>
  <c r="O115" i="10"/>
  <c r="P115" i="10" s="1"/>
  <c r="N115" i="10"/>
  <c r="L115" i="10"/>
  <c r="J115" i="10"/>
  <c r="I115" i="10"/>
  <c r="H115" i="10"/>
  <c r="O114" i="10"/>
  <c r="K114" i="10" s="1"/>
  <c r="N114" i="10"/>
  <c r="L114" i="10"/>
  <c r="J114" i="10"/>
  <c r="I114" i="10"/>
  <c r="H114" i="10"/>
  <c r="O113" i="10"/>
  <c r="K113" i="10" s="1"/>
  <c r="N113" i="10"/>
  <c r="L113" i="10"/>
  <c r="J113" i="10"/>
  <c r="I113" i="10"/>
  <c r="H113" i="10"/>
  <c r="O112" i="10"/>
  <c r="P112" i="10" s="1"/>
  <c r="N112" i="10"/>
  <c r="L112" i="10"/>
  <c r="J112" i="10"/>
  <c r="I112" i="10"/>
  <c r="H112" i="10"/>
  <c r="O111" i="10"/>
  <c r="P111" i="10" s="1"/>
  <c r="N111" i="10"/>
  <c r="L111" i="10"/>
  <c r="J111" i="10"/>
  <c r="I111" i="10"/>
  <c r="H111" i="10"/>
  <c r="O110" i="10"/>
  <c r="P110" i="10" s="1"/>
  <c r="N110" i="10"/>
  <c r="L110" i="10"/>
  <c r="J110" i="10"/>
  <c r="I110" i="10"/>
  <c r="H110" i="10"/>
  <c r="O109" i="10"/>
  <c r="K109" i="10" s="1"/>
  <c r="N109" i="10"/>
  <c r="L109" i="10"/>
  <c r="J109" i="10"/>
  <c r="I109" i="10"/>
  <c r="H109" i="10"/>
  <c r="O108" i="10"/>
  <c r="P108" i="10" s="1"/>
  <c r="N108" i="10"/>
  <c r="L108" i="10"/>
  <c r="J108" i="10"/>
  <c r="I108" i="10"/>
  <c r="H108" i="10"/>
  <c r="O107" i="10"/>
  <c r="K107" i="10" s="1"/>
  <c r="N107" i="10"/>
  <c r="L107" i="10"/>
  <c r="J107" i="10"/>
  <c r="I107" i="10"/>
  <c r="H107" i="10"/>
  <c r="O106" i="10"/>
  <c r="N106" i="10"/>
  <c r="L106" i="10"/>
  <c r="J106" i="10"/>
  <c r="I106" i="10"/>
  <c r="H106" i="10"/>
  <c r="O105" i="10"/>
  <c r="P105" i="10" s="1"/>
  <c r="N105" i="10"/>
  <c r="L105" i="10"/>
  <c r="J105" i="10"/>
  <c r="I105" i="10"/>
  <c r="H105" i="10"/>
  <c r="O104" i="10"/>
  <c r="P104" i="10" s="1"/>
  <c r="N104" i="10"/>
  <c r="L104" i="10"/>
  <c r="J104" i="10"/>
  <c r="I104" i="10"/>
  <c r="H104" i="10"/>
  <c r="O103" i="10"/>
  <c r="N103" i="10"/>
  <c r="L103" i="10"/>
  <c r="J103" i="10"/>
  <c r="I103" i="10"/>
  <c r="H103" i="10"/>
  <c r="O102" i="10"/>
  <c r="K102" i="10" s="1"/>
  <c r="N102" i="10"/>
  <c r="L102" i="10"/>
  <c r="J102" i="10"/>
  <c r="I102" i="10"/>
  <c r="H102" i="10"/>
  <c r="O101" i="10"/>
  <c r="P101" i="10" s="1"/>
  <c r="N101" i="10"/>
  <c r="L101" i="10"/>
  <c r="J101" i="10"/>
  <c r="I101" i="10"/>
  <c r="H101" i="10"/>
  <c r="O100" i="10"/>
  <c r="P100" i="10" s="1"/>
  <c r="N100" i="10"/>
  <c r="L100" i="10"/>
  <c r="J100" i="10"/>
  <c r="I100" i="10"/>
  <c r="H100" i="10"/>
  <c r="O99" i="10"/>
  <c r="P99" i="10" s="1"/>
  <c r="N99" i="10"/>
  <c r="L99" i="10"/>
  <c r="J99" i="10"/>
  <c r="I99" i="10"/>
  <c r="H99" i="10"/>
  <c r="O98" i="10"/>
  <c r="P98" i="10" s="1"/>
  <c r="N98" i="10"/>
  <c r="L98" i="10"/>
  <c r="J98" i="10"/>
  <c r="I98" i="10"/>
  <c r="H98" i="10"/>
  <c r="O97" i="10"/>
  <c r="P97" i="10" s="1"/>
  <c r="N97" i="10"/>
  <c r="L97" i="10"/>
  <c r="J97" i="10"/>
  <c r="I97" i="10"/>
  <c r="H97" i="10"/>
  <c r="O96" i="10"/>
  <c r="P96" i="10" s="1"/>
  <c r="N96" i="10"/>
  <c r="L96" i="10"/>
  <c r="J96" i="10"/>
  <c r="I96" i="10"/>
  <c r="H96" i="10"/>
  <c r="O95" i="10"/>
  <c r="K95" i="10" s="1"/>
  <c r="N95" i="10"/>
  <c r="L95" i="10"/>
  <c r="J95" i="10"/>
  <c r="I95" i="10"/>
  <c r="H95" i="10"/>
  <c r="O94" i="10"/>
  <c r="P94" i="10" s="1"/>
  <c r="N94" i="10"/>
  <c r="L94" i="10"/>
  <c r="J94" i="10"/>
  <c r="I94" i="10"/>
  <c r="H94" i="10"/>
  <c r="O93" i="10"/>
  <c r="P93" i="10" s="1"/>
  <c r="N93" i="10"/>
  <c r="L93" i="10"/>
  <c r="J93" i="10"/>
  <c r="I93" i="10"/>
  <c r="H93" i="10"/>
  <c r="O92" i="10"/>
  <c r="P92" i="10" s="1"/>
  <c r="N92" i="10"/>
  <c r="L92" i="10"/>
  <c r="J92" i="10"/>
  <c r="I92" i="10"/>
  <c r="H92" i="10"/>
  <c r="O91" i="10"/>
  <c r="P91" i="10" s="1"/>
  <c r="N91" i="10"/>
  <c r="L91" i="10"/>
  <c r="J91" i="10"/>
  <c r="I91" i="10"/>
  <c r="H91" i="10"/>
  <c r="O90" i="10"/>
  <c r="P90" i="10" s="1"/>
  <c r="N90" i="10"/>
  <c r="L90" i="10"/>
  <c r="J90" i="10"/>
  <c r="I90" i="10"/>
  <c r="H90" i="10"/>
  <c r="O89" i="10"/>
  <c r="N89" i="10"/>
  <c r="L89" i="10"/>
  <c r="J89" i="10"/>
  <c r="I89" i="10"/>
  <c r="H89" i="10"/>
  <c r="O88" i="10"/>
  <c r="K88" i="10" s="1"/>
  <c r="N88" i="10"/>
  <c r="L88" i="10"/>
  <c r="J88" i="10"/>
  <c r="I88" i="10"/>
  <c r="H88" i="10"/>
  <c r="O87" i="10"/>
  <c r="P87" i="10" s="1"/>
  <c r="N87" i="10"/>
  <c r="L87" i="10"/>
  <c r="J87" i="10"/>
  <c r="I87" i="10"/>
  <c r="H87" i="10"/>
  <c r="O86" i="10"/>
  <c r="K86" i="10" s="1"/>
  <c r="N86" i="10"/>
  <c r="L86" i="10"/>
  <c r="J86" i="10"/>
  <c r="I86" i="10"/>
  <c r="H86" i="10"/>
  <c r="O85" i="10"/>
  <c r="P85" i="10" s="1"/>
  <c r="N85" i="10"/>
  <c r="L85" i="10"/>
  <c r="J85" i="10"/>
  <c r="I85" i="10"/>
  <c r="H85" i="10"/>
  <c r="O84" i="10"/>
  <c r="P84" i="10" s="1"/>
  <c r="N84" i="10"/>
  <c r="L84" i="10"/>
  <c r="J84" i="10"/>
  <c r="I84" i="10"/>
  <c r="H84" i="10"/>
  <c r="O83" i="10"/>
  <c r="P83" i="10" s="1"/>
  <c r="N83" i="10"/>
  <c r="L83" i="10"/>
  <c r="J83" i="10"/>
  <c r="I83" i="10"/>
  <c r="H83" i="10"/>
  <c r="O82" i="10"/>
  <c r="K82" i="10" s="1"/>
  <c r="N82" i="10"/>
  <c r="L82" i="10"/>
  <c r="J82" i="10"/>
  <c r="I82" i="10"/>
  <c r="H82" i="10"/>
  <c r="O81" i="10"/>
  <c r="P81" i="10" s="1"/>
  <c r="N81" i="10"/>
  <c r="L81" i="10"/>
  <c r="J81" i="10"/>
  <c r="I81" i="10"/>
  <c r="H81" i="10"/>
  <c r="O80" i="10"/>
  <c r="K80" i="10" s="1"/>
  <c r="N80" i="10"/>
  <c r="L80" i="10"/>
  <c r="J80" i="10"/>
  <c r="I80" i="10"/>
  <c r="H80" i="10"/>
  <c r="O79" i="10"/>
  <c r="P79" i="10" s="1"/>
  <c r="N79" i="10"/>
  <c r="L79" i="10"/>
  <c r="J79" i="10"/>
  <c r="I79" i="10"/>
  <c r="H79" i="10"/>
  <c r="O78" i="10"/>
  <c r="P78" i="10" s="1"/>
  <c r="N78" i="10"/>
  <c r="L78" i="10"/>
  <c r="J78" i="10"/>
  <c r="I78" i="10"/>
  <c r="H78" i="10"/>
  <c r="O77" i="10"/>
  <c r="P77" i="10" s="1"/>
  <c r="N77" i="10"/>
  <c r="L77" i="10"/>
  <c r="J77" i="10"/>
  <c r="I77" i="10"/>
  <c r="H77" i="10"/>
  <c r="O76" i="10"/>
  <c r="P76" i="10" s="1"/>
  <c r="N76" i="10"/>
  <c r="L76" i="10"/>
  <c r="J76" i="10"/>
  <c r="I76" i="10"/>
  <c r="H76" i="10"/>
  <c r="O75" i="10"/>
  <c r="P75" i="10" s="1"/>
  <c r="N75" i="10"/>
  <c r="L75" i="10"/>
  <c r="J75" i="10"/>
  <c r="I75" i="10"/>
  <c r="H75" i="10"/>
  <c r="O74" i="10"/>
  <c r="N74" i="10"/>
  <c r="L74" i="10"/>
  <c r="J74" i="10"/>
  <c r="I74" i="10"/>
  <c r="H74" i="10"/>
  <c r="O73" i="10"/>
  <c r="N73" i="10"/>
  <c r="L73" i="10"/>
  <c r="J73" i="10"/>
  <c r="I73" i="10"/>
  <c r="H73" i="10"/>
  <c r="O72" i="10"/>
  <c r="P72" i="10" s="1"/>
  <c r="N72" i="10"/>
  <c r="L72" i="10"/>
  <c r="J72" i="10"/>
  <c r="I72" i="10"/>
  <c r="H72" i="10"/>
  <c r="O71" i="10"/>
  <c r="P71" i="10" s="1"/>
  <c r="N71" i="10"/>
  <c r="L71" i="10"/>
  <c r="J71" i="10"/>
  <c r="I71" i="10"/>
  <c r="H71" i="10"/>
  <c r="O70" i="10"/>
  <c r="K70" i="10" s="1"/>
  <c r="N70" i="10"/>
  <c r="L70" i="10"/>
  <c r="J70" i="10"/>
  <c r="I70" i="10"/>
  <c r="H70" i="10"/>
  <c r="O69" i="10"/>
  <c r="K69" i="10" s="1"/>
  <c r="N69" i="10"/>
  <c r="L69" i="10"/>
  <c r="J69" i="10"/>
  <c r="I69" i="10"/>
  <c r="H69" i="10"/>
  <c r="O68" i="10"/>
  <c r="P68" i="10" s="1"/>
  <c r="N68" i="10"/>
  <c r="L68" i="10"/>
  <c r="J68" i="10"/>
  <c r="I68" i="10"/>
  <c r="H68" i="10"/>
  <c r="O67" i="10"/>
  <c r="P67" i="10" s="1"/>
  <c r="N67" i="10"/>
  <c r="L67" i="10"/>
  <c r="J67" i="10"/>
  <c r="I67" i="10"/>
  <c r="H67" i="10"/>
  <c r="O66" i="10"/>
  <c r="P66" i="10" s="1"/>
  <c r="N66" i="10"/>
  <c r="L66" i="10"/>
  <c r="J66" i="10"/>
  <c r="I66" i="10"/>
  <c r="H66" i="10"/>
  <c r="O65" i="10"/>
  <c r="P65" i="10" s="1"/>
  <c r="N65" i="10"/>
  <c r="L65" i="10"/>
  <c r="J65" i="10"/>
  <c r="I65" i="10"/>
  <c r="H65" i="10"/>
  <c r="O64" i="10"/>
  <c r="P64" i="10" s="1"/>
  <c r="N64" i="10"/>
  <c r="L64" i="10"/>
  <c r="J64" i="10"/>
  <c r="I64" i="10"/>
  <c r="H64" i="10"/>
  <c r="O63" i="10"/>
  <c r="P63" i="10" s="1"/>
  <c r="N63" i="10"/>
  <c r="L63" i="10"/>
  <c r="J63" i="10"/>
  <c r="I63" i="10"/>
  <c r="H63" i="10"/>
  <c r="O62" i="10"/>
  <c r="K62" i="10" s="1"/>
  <c r="N62" i="10"/>
  <c r="L62" i="10"/>
  <c r="J62" i="10"/>
  <c r="I62" i="10"/>
  <c r="H62" i="10"/>
  <c r="O61" i="10"/>
  <c r="P61" i="10" s="1"/>
  <c r="N61" i="10"/>
  <c r="L61" i="10"/>
  <c r="J61" i="10"/>
  <c r="I61" i="10"/>
  <c r="H61" i="10"/>
  <c r="O60" i="10"/>
  <c r="P60" i="10" s="1"/>
  <c r="N60" i="10"/>
  <c r="L60" i="10"/>
  <c r="J60" i="10"/>
  <c r="I60" i="10"/>
  <c r="H60" i="10"/>
  <c r="O59" i="10"/>
  <c r="P59" i="10" s="1"/>
  <c r="N59" i="10"/>
  <c r="L59" i="10"/>
  <c r="J59" i="10"/>
  <c r="I59" i="10"/>
  <c r="H59" i="10"/>
  <c r="O58" i="10"/>
  <c r="P58" i="10" s="1"/>
  <c r="N58" i="10"/>
  <c r="L58" i="10"/>
  <c r="J58" i="10"/>
  <c r="I58" i="10"/>
  <c r="H58" i="10"/>
  <c r="O57" i="10"/>
  <c r="P57" i="10" s="1"/>
  <c r="N57" i="10"/>
  <c r="L57" i="10"/>
  <c r="J57" i="10"/>
  <c r="I57" i="10"/>
  <c r="H57" i="10"/>
  <c r="O56" i="10"/>
  <c r="K56" i="10" s="1"/>
  <c r="N56" i="10"/>
  <c r="L56" i="10"/>
  <c r="J56" i="10"/>
  <c r="I56" i="10"/>
  <c r="H56" i="10"/>
  <c r="O55" i="10"/>
  <c r="N55" i="10"/>
  <c r="L55" i="10"/>
  <c r="J55" i="10"/>
  <c r="I55" i="10"/>
  <c r="H55" i="10"/>
  <c r="O54" i="10"/>
  <c r="K54" i="10" s="1"/>
  <c r="N54" i="10"/>
  <c r="L54" i="10"/>
  <c r="J54" i="10"/>
  <c r="I54" i="10"/>
  <c r="H54" i="10"/>
  <c r="O53" i="10"/>
  <c r="P53" i="10" s="1"/>
  <c r="N53" i="10"/>
  <c r="L53" i="10"/>
  <c r="J53" i="10"/>
  <c r="I53" i="10"/>
  <c r="H53" i="10"/>
  <c r="O52" i="10"/>
  <c r="P52" i="10" s="1"/>
  <c r="N52" i="10"/>
  <c r="L52" i="10"/>
  <c r="J52" i="10"/>
  <c r="I52" i="10"/>
  <c r="H52" i="10"/>
  <c r="O51" i="10"/>
  <c r="K51" i="10" s="1"/>
  <c r="N51" i="10"/>
  <c r="L51" i="10"/>
  <c r="J51" i="10"/>
  <c r="I51" i="10"/>
  <c r="H51" i="10"/>
  <c r="O50" i="10"/>
  <c r="P50" i="10" s="1"/>
  <c r="N50" i="10"/>
  <c r="L50" i="10"/>
  <c r="J50" i="10"/>
  <c r="I50" i="10"/>
  <c r="H50" i="10"/>
  <c r="O49" i="10"/>
  <c r="N49" i="10"/>
  <c r="L49" i="10"/>
  <c r="J49" i="10"/>
  <c r="I49" i="10"/>
  <c r="H49" i="10"/>
  <c r="O48" i="10"/>
  <c r="P48" i="10" s="1"/>
  <c r="N48" i="10"/>
  <c r="L48" i="10"/>
  <c r="J48" i="10"/>
  <c r="I48" i="10"/>
  <c r="H48" i="10"/>
  <c r="O47" i="10"/>
  <c r="K47" i="10" s="1"/>
  <c r="N47" i="10"/>
  <c r="L47" i="10"/>
  <c r="J47" i="10"/>
  <c r="I47" i="10"/>
  <c r="H47" i="10"/>
  <c r="O46" i="10"/>
  <c r="N46" i="10"/>
  <c r="L46" i="10"/>
  <c r="J46" i="10"/>
  <c r="I46" i="10"/>
  <c r="H46" i="10"/>
  <c r="O45" i="10"/>
  <c r="P45" i="10" s="1"/>
  <c r="N45" i="10"/>
  <c r="L45" i="10"/>
  <c r="J45" i="10"/>
  <c r="I45" i="10"/>
  <c r="H45" i="10"/>
  <c r="O44" i="10"/>
  <c r="K44" i="10" s="1"/>
  <c r="N44" i="10"/>
  <c r="L44" i="10"/>
  <c r="J44" i="10"/>
  <c r="I44" i="10"/>
  <c r="H44" i="10"/>
  <c r="O43" i="10"/>
  <c r="P43" i="10" s="1"/>
  <c r="N43" i="10"/>
  <c r="L43" i="10"/>
  <c r="J43" i="10"/>
  <c r="I43" i="10"/>
  <c r="H43" i="10"/>
  <c r="O42" i="10"/>
  <c r="P42" i="10" s="1"/>
  <c r="N42" i="10"/>
  <c r="L42" i="10"/>
  <c r="J42" i="10"/>
  <c r="I42" i="10"/>
  <c r="H42" i="10"/>
  <c r="O41" i="10"/>
  <c r="P41" i="10" s="1"/>
  <c r="N41" i="10"/>
  <c r="L41" i="10"/>
  <c r="J41" i="10"/>
  <c r="I41" i="10"/>
  <c r="H41" i="10"/>
  <c r="O40" i="10"/>
  <c r="P40" i="10" s="1"/>
  <c r="N40" i="10"/>
  <c r="L40" i="10"/>
  <c r="J40" i="10"/>
  <c r="I40" i="10"/>
  <c r="H40" i="10"/>
  <c r="O39" i="10"/>
  <c r="P39" i="10" s="1"/>
  <c r="N39" i="10"/>
  <c r="L39" i="10"/>
  <c r="J39" i="10"/>
  <c r="I39" i="10"/>
  <c r="H39" i="10"/>
  <c r="O38" i="10"/>
  <c r="K38" i="10" s="1"/>
  <c r="N38" i="10"/>
  <c r="L38" i="10"/>
  <c r="J38" i="10"/>
  <c r="I38" i="10"/>
  <c r="H38" i="10"/>
  <c r="O37" i="10"/>
  <c r="P37" i="10" s="1"/>
  <c r="N37" i="10"/>
  <c r="L37" i="10"/>
  <c r="J37" i="10"/>
  <c r="I37" i="10"/>
  <c r="H37" i="10"/>
  <c r="O36" i="10"/>
  <c r="P36" i="10" s="1"/>
  <c r="N36" i="10"/>
  <c r="L36" i="10"/>
  <c r="J36" i="10"/>
  <c r="I36" i="10"/>
  <c r="H36" i="10"/>
  <c r="O35" i="10"/>
  <c r="P35" i="10" s="1"/>
  <c r="N35" i="10"/>
  <c r="L35" i="10"/>
  <c r="J35" i="10"/>
  <c r="I35" i="10"/>
  <c r="H35" i="10"/>
  <c r="O34" i="10"/>
  <c r="P34" i="10" s="1"/>
  <c r="N34" i="10"/>
  <c r="L34" i="10"/>
  <c r="J34" i="10"/>
  <c r="I34" i="10"/>
  <c r="H34" i="10"/>
  <c r="O33" i="10"/>
  <c r="K33" i="10" s="1"/>
  <c r="N33" i="10"/>
  <c r="L33" i="10"/>
  <c r="J33" i="10"/>
  <c r="I33" i="10"/>
  <c r="H33" i="10"/>
  <c r="O32" i="10"/>
  <c r="P32" i="10" s="1"/>
  <c r="N32" i="10"/>
  <c r="L32" i="10"/>
  <c r="J32" i="10"/>
  <c r="I32" i="10"/>
  <c r="H32" i="10"/>
  <c r="O31" i="10"/>
  <c r="N31" i="10"/>
  <c r="L31" i="10"/>
  <c r="J31" i="10"/>
  <c r="I31" i="10"/>
  <c r="H31" i="10"/>
  <c r="O30" i="10"/>
  <c r="P30" i="10" s="1"/>
  <c r="N30" i="10"/>
  <c r="L30" i="10"/>
  <c r="J30" i="10"/>
  <c r="I30" i="10"/>
  <c r="H30" i="10"/>
  <c r="O29" i="10"/>
  <c r="K29" i="10" s="1"/>
  <c r="N29" i="10"/>
  <c r="L29" i="10"/>
  <c r="J29" i="10"/>
  <c r="I29" i="10"/>
  <c r="H29" i="10"/>
  <c r="O28" i="10"/>
  <c r="N28" i="10"/>
  <c r="L28" i="10"/>
  <c r="J28" i="10"/>
  <c r="I28" i="10"/>
  <c r="H28" i="10"/>
  <c r="O27" i="10"/>
  <c r="P27" i="10" s="1"/>
  <c r="N27" i="10"/>
  <c r="L27" i="10"/>
  <c r="J27" i="10"/>
  <c r="I27" i="10"/>
  <c r="H27" i="10"/>
  <c r="O26" i="10"/>
  <c r="K26" i="10" s="1"/>
  <c r="N26" i="10"/>
  <c r="L26" i="10"/>
  <c r="J26" i="10"/>
  <c r="I26" i="10"/>
  <c r="H26" i="10"/>
  <c r="O25" i="10"/>
  <c r="P25" i="10" s="1"/>
  <c r="N25" i="10"/>
  <c r="L25" i="10"/>
  <c r="J25" i="10"/>
  <c r="I25" i="10"/>
  <c r="H25" i="10"/>
  <c r="O24" i="10"/>
  <c r="K24" i="10" s="1"/>
  <c r="N24" i="10"/>
  <c r="L24" i="10"/>
  <c r="J24" i="10"/>
  <c r="I24" i="10"/>
  <c r="H24" i="10"/>
  <c r="O23" i="10"/>
  <c r="N23" i="10"/>
  <c r="L23" i="10"/>
  <c r="J23" i="10"/>
  <c r="I23" i="10"/>
  <c r="H23" i="10"/>
  <c r="O22" i="10"/>
  <c r="K22" i="10" s="1"/>
  <c r="N22" i="10"/>
  <c r="L22" i="10"/>
  <c r="J22" i="10"/>
  <c r="I22" i="10"/>
  <c r="H22" i="10"/>
  <c r="O21" i="10"/>
  <c r="P21" i="10" s="1"/>
  <c r="N21" i="10"/>
  <c r="L21" i="10"/>
  <c r="J21" i="10"/>
  <c r="I21" i="10"/>
  <c r="H21" i="10"/>
  <c r="O20" i="10"/>
  <c r="P20" i="10" s="1"/>
  <c r="N20" i="10"/>
  <c r="L20" i="10"/>
  <c r="J20" i="10"/>
  <c r="I20" i="10"/>
  <c r="H20" i="10"/>
  <c r="O19" i="10"/>
  <c r="K19" i="10" s="1"/>
  <c r="N19" i="10"/>
  <c r="L19" i="10"/>
  <c r="J19" i="10"/>
  <c r="I19" i="10"/>
  <c r="H19" i="10"/>
  <c r="O18" i="10"/>
  <c r="P18" i="10" s="1"/>
  <c r="N18" i="10"/>
  <c r="L18" i="10"/>
  <c r="J18" i="10"/>
  <c r="I18" i="10"/>
  <c r="H18" i="10"/>
  <c r="O17" i="10"/>
  <c r="P17" i="10" s="1"/>
  <c r="N17" i="10"/>
  <c r="L17" i="10"/>
  <c r="J17" i="10"/>
  <c r="I17" i="10"/>
  <c r="H17" i="10"/>
  <c r="O16" i="10"/>
  <c r="K16" i="10" s="1"/>
  <c r="N16" i="10"/>
  <c r="L16" i="10"/>
  <c r="J16" i="10"/>
  <c r="I16" i="10"/>
  <c r="H16" i="10"/>
  <c r="O15" i="10"/>
  <c r="K15" i="10" s="1"/>
  <c r="N15" i="10"/>
  <c r="L15" i="10"/>
  <c r="J15" i="10"/>
  <c r="I15" i="10"/>
  <c r="H15" i="10"/>
  <c r="O14" i="10"/>
  <c r="P14" i="10" s="1"/>
  <c r="N14" i="10"/>
  <c r="L14" i="10"/>
  <c r="J14" i="10"/>
  <c r="I14" i="10"/>
  <c r="H14" i="10"/>
  <c r="O13" i="10"/>
  <c r="N13" i="10"/>
  <c r="L13" i="10"/>
  <c r="J13" i="10"/>
  <c r="I13" i="10"/>
  <c r="H13" i="10"/>
  <c r="O12" i="10"/>
  <c r="P12" i="10" s="1"/>
  <c r="N12" i="10"/>
  <c r="L12" i="10"/>
  <c r="J12" i="10"/>
  <c r="I12" i="10"/>
  <c r="H12" i="10"/>
  <c r="O11" i="10"/>
  <c r="P11" i="10" s="1"/>
  <c r="N11" i="10"/>
  <c r="L11" i="10"/>
  <c r="J11" i="10"/>
  <c r="I11" i="10"/>
  <c r="H11" i="10"/>
  <c r="O10" i="10"/>
  <c r="P10" i="10" s="1"/>
  <c r="N10" i="10"/>
  <c r="L10" i="10"/>
  <c r="J10" i="10"/>
  <c r="I10" i="10"/>
  <c r="H10" i="10"/>
  <c r="O9" i="10"/>
  <c r="P9" i="10" s="1"/>
  <c r="N9" i="10"/>
  <c r="L9" i="10"/>
  <c r="J9" i="10"/>
  <c r="I9" i="10"/>
  <c r="H9" i="10"/>
  <c r="O8" i="10"/>
  <c r="P8" i="10" s="1"/>
  <c r="N8" i="10"/>
  <c r="L8" i="10"/>
  <c r="J8" i="10"/>
  <c r="I8" i="10"/>
  <c r="H8" i="10"/>
  <c r="O7" i="10"/>
  <c r="P7" i="10" s="1"/>
  <c r="N7" i="10"/>
  <c r="L7" i="10"/>
  <c r="J7" i="10"/>
  <c r="I7" i="10"/>
  <c r="H7" i="10"/>
  <c r="O6" i="10"/>
  <c r="K6" i="10" s="1"/>
  <c r="N6" i="10"/>
  <c r="L6" i="10"/>
  <c r="J6" i="10"/>
  <c r="I6" i="10"/>
  <c r="H6" i="10"/>
  <c r="O5" i="10"/>
  <c r="P5" i="10" s="1"/>
  <c r="N5" i="10"/>
  <c r="L5" i="10"/>
  <c r="J5" i="10"/>
  <c r="I5" i="10"/>
  <c r="H5" i="10"/>
  <c r="O4" i="10"/>
  <c r="K4" i="10" s="1"/>
  <c r="N4" i="10"/>
  <c r="L4" i="10"/>
  <c r="J4" i="10"/>
  <c r="I4" i="10"/>
  <c r="H4" i="10"/>
  <c r="O3" i="10"/>
  <c r="P3" i="10" s="1"/>
  <c r="N3" i="10"/>
  <c r="L3" i="10"/>
  <c r="J3" i="10"/>
  <c r="I3" i="10"/>
  <c r="H3" i="10"/>
  <c r="O2" i="10"/>
  <c r="P2" i="10" s="1"/>
  <c r="N2" i="10"/>
  <c r="L2" i="10"/>
  <c r="J2" i="10"/>
  <c r="I2" i="10"/>
  <c r="H2" i="10"/>
  <c r="G10" i="4"/>
  <c r="G5" i="4"/>
  <c r="B41" i="4"/>
  <c r="B40" i="4"/>
  <c r="G38" i="4"/>
  <c r="G37" i="4"/>
  <c r="G36" i="4"/>
  <c r="G35" i="4"/>
  <c r="G34" i="4"/>
  <c r="G33" i="4"/>
  <c r="G32" i="4"/>
  <c r="D33" i="4"/>
  <c r="C33" i="4"/>
  <c r="D32" i="4"/>
  <c r="C32" i="4"/>
  <c r="B15" i="4" a="1"/>
  <c r="D5" i="4"/>
  <c r="E10" i="4" s="1"/>
  <c r="K260" i="10" l="1"/>
  <c r="K288" i="10"/>
  <c r="K673" i="10"/>
  <c r="K30" i="10"/>
  <c r="K123" i="10"/>
  <c r="K778" i="10"/>
  <c r="K834" i="10"/>
  <c r="K63" i="10"/>
  <c r="K226" i="10"/>
  <c r="K478" i="10"/>
  <c r="K606" i="10"/>
  <c r="K411" i="10"/>
  <c r="K572" i="10"/>
  <c r="K235" i="10"/>
  <c r="K507" i="10"/>
  <c r="K36" i="10"/>
  <c r="K324" i="10"/>
  <c r="K347" i="10"/>
  <c r="K498" i="10"/>
  <c r="K185" i="10"/>
  <c r="K649" i="10"/>
  <c r="K763" i="10"/>
  <c r="K921" i="10"/>
  <c r="K11" i="10"/>
  <c r="K554" i="10"/>
  <c r="K336" i="10"/>
  <c r="K333" i="10"/>
  <c r="K414" i="10"/>
  <c r="K700" i="10"/>
  <c r="K79" i="10"/>
  <c r="K14" i="10"/>
  <c r="K115" i="10"/>
  <c r="K242" i="10"/>
  <c r="K450" i="10"/>
  <c r="K718" i="10"/>
  <c r="K32" i="10"/>
  <c r="K151" i="10"/>
  <c r="K268" i="10"/>
  <c r="K359" i="10"/>
  <c r="K458" i="10"/>
  <c r="K605" i="10"/>
  <c r="K756" i="10"/>
  <c r="K915" i="10"/>
  <c r="K830" i="10"/>
  <c r="K1091" i="10"/>
  <c r="K451" i="10"/>
  <c r="K586" i="10"/>
  <c r="K721" i="10"/>
  <c r="K882" i="10"/>
  <c r="K59" i="10"/>
  <c r="K194" i="10"/>
  <c r="K317" i="10"/>
  <c r="K402" i="10"/>
  <c r="K930" i="10"/>
  <c r="K530" i="10"/>
  <c r="P530" i="10"/>
  <c r="P892" i="10"/>
  <c r="K199" i="10"/>
  <c r="K514" i="10"/>
  <c r="K767" i="10"/>
  <c r="K826" i="10"/>
  <c r="K1025" i="10"/>
  <c r="K105" i="10"/>
  <c r="K177" i="10"/>
  <c r="K353" i="10"/>
  <c r="K398" i="10"/>
  <c r="K840" i="10"/>
  <c r="K899" i="10"/>
  <c r="K34" i="10"/>
  <c r="K119" i="10"/>
  <c r="P308" i="10"/>
  <c r="K110" i="10"/>
  <c r="K380" i="10"/>
  <c r="K313" i="10"/>
  <c r="K642" i="10"/>
  <c r="K723" i="10"/>
  <c r="K52" i="10"/>
  <c r="K259" i="10"/>
  <c r="K394" i="10"/>
  <c r="P1008" i="10"/>
  <c r="P178" i="10"/>
  <c r="K116" i="10"/>
  <c r="K521" i="10"/>
  <c r="K973" i="10"/>
  <c r="K175" i="10"/>
  <c r="K648" i="10"/>
  <c r="P733" i="10"/>
  <c r="K40" i="10"/>
  <c r="K238" i="10"/>
  <c r="K481" i="10"/>
  <c r="K490" i="10"/>
  <c r="P837" i="10"/>
  <c r="K684" i="10"/>
  <c r="K702" i="10"/>
  <c r="K923" i="10"/>
  <c r="K67" i="10"/>
  <c r="K85" i="10"/>
  <c r="K400" i="10"/>
  <c r="K508" i="10"/>
  <c r="K811" i="10"/>
  <c r="K1088" i="10"/>
  <c r="P715" i="10"/>
  <c r="P831" i="10"/>
  <c r="P1006" i="10"/>
  <c r="P948" i="10"/>
  <c r="K532" i="10"/>
  <c r="K828" i="10"/>
  <c r="P890" i="10"/>
  <c r="K1003" i="10"/>
  <c r="P832" i="10"/>
  <c r="K100" i="10"/>
  <c r="K167" i="10"/>
  <c r="K537" i="10"/>
  <c r="P15" i="10"/>
  <c r="K225" i="10"/>
  <c r="K546" i="10"/>
  <c r="K820" i="10"/>
  <c r="K207" i="10"/>
  <c r="K274" i="10"/>
  <c r="K618" i="10"/>
  <c r="K744" i="10"/>
  <c r="K807" i="10"/>
  <c r="K78" i="10"/>
  <c r="K154" i="10"/>
  <c r="K163" i="10"/>
  <c r="K462" i="10"/>
  <c r="K533" i="10"/>
  <c r="K771" i="10"/>
  <c r="K851" i="10"/>
  <c r="K542" i="10"/>
  <c r="K578" i="10"/>
  <c r="K596" i="10"/>
  <c r="K1090" i="10"/>
  <c r="P812" i="10"/>
  <c r="P897" i="10"/>
  <c r="K477" i="10"/>
  <c r="P512" i="10"/>
  <c r="K602" i="10"/>
  <c r="K674" i="10"/>
  <c r="P1023" i="10"/>
  <c r="P176" i="10"/>
  <c r="P266" i="10"/>
  <c r="P342" i="10"/>
  <c r="K410" i="10"/>
  <c r="K791" i="10"/>
  <c r="K35" i="10"/>
  <c r="K285" i="10"/>
  <c r="K334" i="10"/>
  <c r="K138" i="10"/>
  <c r="K330" i="10"/>
  <c r="K174" i="10"/>
  <c r="P423" i="10"/>
  <c r="K464" i="10"/>
  <c r="K473" i="10"/>
  <c r="K818" i="10"/>
  <c r="K898" i="10"/>
  <c r="P974" i="10"/>
  <c r="P983" i="10"/>
  <c r="K1042" i="10"/>
  <c r="K18" i="10"/>
  <c r="K27" i="10"/>
  <c r="K272" i="10"/>
  <c r="K104" i="10"/>
  <c r="P698" i="10"/>
  <c r="K729" i="10"/>
  <c r="K804" i="10"/>
  <c r="K842" i="10"/>
  <c r="P996" i="10"/>
  <c r="K263" i="10"/>
  <c r="K404" i="10"/>
  <c r="K444" i="10"/>
  <c r="P829" i="10"/>
  <c r="P833" i="10"/>
  <c r="K1067" i="10"/>
  <c r="K87" i="10"/>
  <c r="P210" i="10"/>
  <c r="K506" i="10"/>
  <c r="K638" i="10"/>
  <c r="K743" i="10"/>
  <c r="K809" i="10"/>
  <c r="K865" i="10"/>
  <c r="K904" i="10"/>
  <c r="K993" i="10"/>
  <c r="P1076" i="10"/>
  <c r="K1094" i="10"/>
  <c r="K971" i="10"/>
  <c r="K83" i="10"/>
  <c r="K383" i="10"/>
  <c r="K392" i="10"/>
  <c r="P869" i="10"/>
  <c r="P1045" i="10"/>
  <c r="K1050" i="10"/>
  <c r="K682" i="10"/>
  <c r="K752" i="10"/>
  <c r="K48" i="10"/>
  <c r="K264" i="10"/>
  <c r="K277" i="10"/>
  <c r="K528" i="10"/>
  <c r="K634" i="10"/>
  <c r="K967" i="10"/>
  <c r="K1028" i="10"/>
  <c r="K1099" i="10"/>
  <c r="K511" i="10"/>
  <c r="K590" i="10"/>
  <c r="K621" i="10"/>
  <c r="K670" i="10"/>
  <c r="P801" i="10"/>
  <c r="K879" i="10"/>
  <c r="K914" i="10"/>
  <c r="P373" i="10"/>
  <c r="K705" i="10"/>
  <c r="K740" i="10"/>
  <c r="K784" i="10"/>
  <c r="P870" i="10"/>
  <c r="K875" i="10"/>
  <c r="P918" i="10"/>
  <c r="K981" i="10"/>
  <c r="P810" i="10"/>
  <c r="P577" i="10"/>
  <c r="P683" i="10"/>
  <c r="P486" i="10"/>
  <c r="P499" i="10"/>
  <c r="P675" i="10"/>
  <c r="P1012" i="10"/>
  <c r="K50" i="10"/>
  <c r="K72" i="10"/>
  <c r="P124" i="10"/>
  <c r="K213" i="10"/>
  <c r="P415" i="10"/>
  <c r="K456" i="10"/>
  <c r="K547" i="10"/>
  <c r="K680" i="10"/>
  <c r="K803" i="10"/>
  <c r="K969" i="10"/>
  <c r="K1039" i="10"/>
  <c r="P1083" i="10"/>
  <c r="P843" i="10"/>
  <c r="P107" i="10"/>
  <c r="K1075" i="10"/>
  <c r="P287" i="10"/>
  <c r="K112" i="10"/>
  <c r="K143" i="10"/>
  <c r="K368" i="10"/>
  <c r="K474" i="10"/>
  <c r="K487" i="10"/>
  <c r="K500" i="10"/>
  <c r="P534" i="10"/>
  <c r="K676" i="10"/>
  <c r="K689" i="10"/>
  <c r="K711" i="10"/>
  <c r="P845" i="10"/>
  <c r="K1013" i="10"/>
  <c r="K1022" i="10"/>
  <c r="K1026" i="10"/>
  <c r="K724" i="10"/>
  <c r="K894" i="10"/>
  <c r="K938" i="10"/>
  <c r="P406" i="10"/>
  <c r="P595" i="10"/>
  <c r="K355" i="10"/>
  <c r="K7" i="10"/>
  <c r="K205" i="10"/>
  <c r="K412" i="10"/>
  <c r="K539" i="10"/>
  <c r="K768" i="10"/>
  <c r="K1005" i="10"/>
  <c r="K1009" i="10"/>
  <c r="K1062" i="10"/>
  <c r="C11" i="4"/>
  <c r="P62" i="10"/>
  <c r="K218" i="10"/>
  <c r="K496" i="10"/>
  <c r="K552" i="10"/>
  <c r="K570" i="10"/>
  <c r="K170" i="10"/>
  <c r="K42" i="10"/>
  <c r="P526" i="10"/>
  <c r="K808" i="10"/>
  <c r="K535" i="10"/>
  <c r="K650" i="10"/>
  <c r="K659" i="10"/>
  <c r="K764" i="10"/>
  <c r="K846" i="10"/>
  <c r="P337" i="10"/>
  <c r="P741" i="10"/>
  <c r="P766" i="10"/>
  <c r="P927" i="10"/>
  <c r="P453" i="10"/>
  <c r="P158" i="10"/>
  <c r="P529" i="10"/>
  <c r="K1065" i="10"/>
  <c r="K1082" i="10"/>
  <c r="P945" i="10"/>
  <c r="P708" i="10"/>
  <c r="P1052" i="10"/>
  <c r="P325" i="10"/>
  <c r="P449" i="10"/>
  <c r="K360" i="10"/>
  <c r="P592" i="10"/>
  <c r="P746" i="10"/>
  <c r="K789" i="10"/>
  <c r="K847" i="10"/>
  <c r="K1010" i="10"/>
  <c r="P979" i="10"/>
  <c r="K1074" i="10"/>
  <c r="P171" i="10"/>
  <c r="P640" i="10"/>
  <c r="K1040" i="10"/>
  <c r="P720" i="10"/>
  <c r="P737" i="10"/>
  <c r="K159" i="10"/>
  <c r="P197" i="10"/>
  <c r="K559" i="10"/>
  <c r="K189" i="10"/>
  <c r="K343" i="10"/>
  <c r="K407" i="10"/>
  <c r="P428" i="10"/>
  <c r="K442" i="10"/>
  <c r="K471" i="10"/>
  <c r="K475" i="10"/>
  <c r="K509" i="10"/>
  <c r="K513" i="10"/>
  <c r="P742" i="10"/>
  <c r="K802" i="10"/>
  <c r="P980" i="10"/>
  <c r="K202" i="10"/>
  <c r="P244" i="10"/>
  <c r="K258" i="10"/>
  <c r="P300" i="10"/>
  <c r="K305" i="10"/>
  <c r="P322" i="10"/>
  <c r="K463" i="10"/>
  <c r="K467" i="10"/>
  <c r="K555" i="10"/>
  <c r="K641" i="10"/>
  <c r="K667" i="10"/>
  <c r="P687" i="10"/>
  <c r="K946" i="10"/>
  <c r="K43" i="10"/>
  <c r="K60" i="10"/>
  <c r="K90" i="10"/>
  <c r="K99" i="10"/>
  <c r="K335" i="10"/>
  <c r="P390" i="10"/>
  <c r="P679" i="10"/>
  <c r="K692" i="10"/>
  <c r="K751" i="10"/>
  <c r="P924" i="10"/>
  <c r="P972" i="10"/>
  <c r="P436" i="10"/>
  <c r="K501" i="10"/>
  <c r="K585" i="10"/>
  <c r="K589" i="10"/>
  <c r="K593" i="10"/>
  <c r="K747" i="10"/>
  <c r="K835" i="10"/>
  <c r="K929" i="10"/>
  <c r="K994" i="10"/>
  <c r="P331" i="10"/>
  <c r="P459" i="10"/>
  <c r="K1058" i="10"/>
  <c r="K1054" i="10"/>
  <c r="P275" i="10"/>
  <c r="P583" i="10"/>
  <c r="P770" i="10"/>
  <c r="P162" i="10"/>
  <c r="P817" i="10"/>
  <c r="P564" i="10"/>
  <c r="P581" i="10"/>
  <c r="P543" i="10"/>
  <c r="P790" i="10"/>
  <c r="P370" i="10"/>
  <c r="P556" i="10"/>
  <c r="P598" i="10"/>
  <c r="P668" i="10"/>
  <c r="K276" i="10"/>
  <c r="P468" i="10"/>
  <c r="K540" i="10"/>
  <c r="K561" i="10"/>
  <c r="K660" i="10"/>
  <c r="K681" i="10"/>
  <c r="K853" i="10"/>
  <c r="P943" i="10"/>
  <c r="K1004" i="10"/>
  <c r="K1059" i="10"/>
  <c r="P1071" i="10"/>
  <c r="P579" i="10"/>
  <c r="P703" i="10"/>
  <c r="P114" i="10"/>
  <c r="P762" i="10"/>
  <c r="P230" i="10"/>
  <c r="P755" i="10"/>
  <c r="P327" i="10"/>
  <c r="P82" i="10"/>
  <c r="P19" i="10"/>
  <c r="P719" i="10"/>
  <c r="P1016" i="10"/>
  <c r="P148" i="10"/>
  <c r="P448" i="10"/>
  <c r="P548" i="10"/>
  <c r="P574" i="10"/>
  <c r="P384" i="10"/>
  <c r="P880" i="10"/>
  <c r="P271" i="10"/>
  <c r="P722" i="10"/>
  <c r="P852" i="10"/>
  <c r="P848" i="10"/>
  <c r="K58" i="10"/>
  <c r="K234" i="10"/>
  <c r="K329" i="10"/>
  <c r="K465" i="10"/>
  <c r="K665" i="10"/>
  <c r="K825" i="10"/>
  <c r="K858" i="10"/>
  <c r="K1051" i="10"/>
  <c r="P127" i="10"/>
  <c r="P1089" i="10"/>
  <c r="P1093" i="10"/>
  <c r="C10" i="4"/>
  <c r="P16" i="10"/>
  <c r="P545" i="10"/>
  <c r="P796" i="10"/>
  <c r="P382" i="10"/>
  <c r="P211" i="10"/>
  <c r="P629" i="10"/>
  <c r="K3" i="10"/>
  <c r="K101" i="10"/>
  <c r="K749" i="10"/>
  <c r="P24" i="10"/>
  <c r="K71" i="10"/>
  <c r="P212" i="10"/>
  <c r="K281" i="10"/>
  <c r="P401" i="10"/>
  <c r="K910" i="10"/>
  <c r="P935" i="10"/>
  <c r="K1017" i="10"/>
  <c r="K1034" i="10"/>
  <c r="K1068" i="10"/>
  <c r="P774" i="10"/>
  <c r="P587" i="10"/>
  <c r="P29" i="10"/>
  <c r="P130" i="10"/>
  <c r="P165" i="10"/>
  <c r="K247" i="10"/>
  <c r="P358" i="10"/>
  <c r="K84" i="10"/>
  <c r="K273" i="10"/>
  <c r="P354" i="10"/>
  <c r="P461" i="10"/>
  <c r="K953" i="10"/>
  <c r="P173" i="10"/>
  <c r="P47" i="10"/>
  <c r="P269" i="10"/>
  <c r="K455" i="10"/>
  <c r="P466" i="10"/>
  <c r="P482" i="10"/>
  <c r="K495" i="10"/>
  <c r="P510" i="10"/>
  <c r="P562" i="10"/>
  <c r="K654" i="10"/>
  <c r="K658" i="10"/>
  <c r="P701" i="10"/>
  <c r="K713" i="10"/>
  <c r="K717" i="10"/>
  <c r="K776" i="10"/>
  <c r="K788" i="10"/>
  <c r="P815" i="10"/>
  <c r="K839" i="10"/>
  <c r="P850" i="10"/>
  <c r="P874" i="10"/>
  <c r="P926" i="10"/>
  <c r="P966" i="10"/>
  <c r="P978" i="10"/>
  <c r="P1038" i="10"/>
  <c r="K1086" i="10"/>
  <c r="P1030" i="10"/>
  <c r="P145" i="10"/>
  <c r="P376" i="10"/>
  <c r="P214" i="10"/>
  <c r="P222" i="10"/>
  <c r="P321" i="10"/>
  <c r="P340" i="10"/>
  <c r="P372" i="10"/>
  <c r="P387" i="10"/>
  <c r="P427" i="10"/>
  <c r="P431" i="10"/>
  <c r="P518" i="10"/>
  <c r="P594" i="10"/>
  <c r="P610" i="10"/>
  <c r="P626" i="10"/>
  <c r="P954" i="10"/>
  <c r="P962" i="10"/>
  <c r="P982" i="10"/>
  <c r="P986" i="10"/>
  <c r="P854" i="10"/>
  <c r="K8" i="10"/>
  <c r="K20" i="10"/>
  <c r="K156" i="10"/>
  <c r="K179" i="10"/>
  <c r="K195" i="10"/>
  <c r="K203" i="10"/>
  <c r="P246" i="10"/>
  <c r="K282" i="10"/>
  <c r="K290" i="10"/>
  <c r="K314" i="10"/>
  <c r="K349" i="10"/>
  <c r="K365" i="10"/>
  <c r="K424" i="10"/>
  <c r="P575" i="10"/>
  <c r="K591" i="10"/>
  <c r="K623" i="10"/>
  <c r="P709" i="10"/>
  <c r="K765" i="10"/>
  <c r="K785" i="10"/>
  <c r="K891" i="10"/>
  <c r="P902" i="10"/>
  <c r="K919" i="10"/>
  <c r="K931" i="10"/>
  <c r="K1011" i="10"/>
  <c r="K1019" i="10"/>
  <c r="K1031" i="10"/>
  <c r="K64" i="10"/>
  <c r="K160" i="10"/>
  <c r="K255" i="10"/>
  <c r="K298" i="10"/>
  <c r="K318" i="10"/>
  <c r="K345" i="10"/>
  <c r="K377" i="10"/>
  <c r="K615" i="10"/>
  <c r="K619" i="10"/>
  <c r="K706" i="10"/>
  <c r="K725" i="10"/>
  <c r="K855" i="10"/>
  <c r="K859" i="10"/>
  <c r="K895" i="10"/>
  <c r="K939" i="10"/>
  <c r="K1015" i="10"/>
  <c r="P69" i="10"/>
  <c r="K96" i="10"/>
  <c r="K136" i="10"/>
  <c r="K140" i="10"/>
  <c r="K183" i="10"/>
  <c r="K187" i="10"/>
  <c r="K215" i="10"/>
  <c r="K420" i="10"/>
  <c r="K635" i="10"/>
  <c r="K690" i="10"/>
  <c r="K757" i="10"/>
  <c r="P56" i="10"/>
  <c r="K223" i="10"/>
  <c r="K603" i="10"/>
  <c r="P646" i="10"/>
  <c r="P662" i="10"/>
  <c r="K955" i="10"/>
  <c r="K987" i="10"/>
  <c r="P1070" i="10"/>
  <c r="P614" i="10"/>
  <c r="K76" i="10"/>
  <c r="K92" i="10"/>
  <c r="K128" i="10"/>
  <c r="K168" i="10"/>
  <c r="K231" i="10"/>
  <c r="K243" i="10"/>
  <c r="K306" i="10"/>
  <c r="K381" i="10"/>
  <c r="K452" i="10"/>
  <c r="K515" i="10"/>
  <c r="K599" i="10"/>
  <c r="K639" i="10"/>
  <c r="K714" i="10"/>
  <c r="K769" i="10"/>
  <c r="K777" i="10"/>
  <c r="K793" i="10"/>
  <c r="K836" i="10"/>
  <c r="K1047" i="10"/>
  <c r="P294" i="10"/>
  <c r="P781" i="10"/>
  <c r="P883" i="10"/>
  <c r="K57" i="10"/>
  <c r="P80" i="10"/>
  <c r="K484" i="10"/>
  <c r="K488" i="10"/>
  <c r="P627" i="10"/>
  <c r="K663" i="10"/>
  <c r="K912" i="10"/>
  <c r="P1043" i="10"/>
  <c r="P1087" i="10"/>
  <c r="P357" i="10"/>
  <c r="K17" i="10"/>
  <c r="K41" i="10"/>
  <c r="K45" i="10"/>
  <c r="K338" i="10"/>
  <c r="K445" i="10"/>
  <c r="K643" i="10"/>
  <c r="K813" i="10"/>
  <c r="K2" i="10"/>
  <c r="K9" i="10"/>
  <c r="K53" i="10"/>
  <c r="K61" i="10"/>
  <c r="K157" i="10"/>
  <c r="K192" i="10"/>
  <c r="K196" i="10"/>
  <c r="K208" i="10"/>
  <c r="K405" i="10"/>
  <c r="K425" i="10"/>
  <c r="P576" i="10"/>
  <c r="K734" i="10"/>
  <c r="K868" i="10"/>
  <c r="K936" i="10"/>
  <c r="K960" i="10"/>
  <c r="P1055" i="10"/>
  <c r="P109" i="10"/>
  <c r="K25" i="10"/>
  <c r="K37" i="10"/>
  <c r="K385" i="10"/>
  <c r="K393" i="10"/>
  <c r="K409" i="10"/>
  <c r="K417" i="10"/>
  <c r="K441" i="10"/>
  <c r="K580" i="10"/>
  <c r="K730" i="10"/>
  <c r="K738" i="10"/>
  <c r="K754" i="10"/>
  <c r="K872" i="10"/>
  <c r="K916" i="10"/>
  <c r="K968" i="10"/>
  <c r="K976" i="10"/>
  <c r="P120" i="10"/>
  <c r="K5" i="10"/>
  <c r="K21" i="10"/>
  <c r="K77" i="10"/>
  <c r="P88" i="10"/>
  <c r="K180" i="10"/>
  <c r="K256" i="10"/>
  <c r="K283" i="10"/>
  <c r="K295" i="10"/>
  <c r="K346" i="10"/>
  <c r="K350" i="10"/>
  <c r="K362" i="10"/>
  <c r="K378" i="10"/>
  <c r="P397" i="10"/>
  <c r="K433" i="10"/>
  <c r="P504" i="10"/>
  <c r="K520" i="10"/>
  <c r="K612" i="10"/>
  <c r="K616" i="10"/>
  <c r="K624" i="10"/>
  <c r="K636" i="10"/>
  <c r="P671" i="10"/>
  <c r="K782" i="10"/>
  <c r="K786" i="10"/>
  <c r="K884" i="10"/>
  <c r="K932" i="10"/>
  <c r="K65" i="10"/>
  <c r="K81" i="10"/>
  <c r="K97" i="10"/>
  <c r="K133" i="10"/>
  <c r="K141" i="10"/>
  <c r="K161" i="10"/>
  <c r="K220" i="10"/>
  <c r="K228" i="10"/>
  <c r="K299" i="10"/>
  <c r="K303" i="10"/>
  <c r="K628" i="10"/>
  <c r="K656" i="10"/>
  <c r="K707" i="10"/>
  <c r="K798" i="10"/>
  <c r="K896" i="10"/>
  <c r="K940" i="10"/>
  <c r="K956" i="10"/>
  <c r="K988" i="10"/>
  <c r="K1044" i="10"/>
  <c r="K125" i="10"/>
  <c r="K323" i="10"/>
  <c r="K1084" i="10"/>
  <c r="K121" i="10"/>
  <c r="K169" i="10"/>
  <c r="P200" i="10"/>
  <c r="K232" i="10"/>
  <c r="K236" i="10"/>
  <c r="K457" i="10"/>
  <c r="K493" i="10"/>
  <c r="K553" i="10"/>
  <c r="K569" i="10"/>
  <c r="P821" i="10"/>
  <c r="K841" i="10"/>
  <c r="P876" i="10"/>
  <c r="K1056" i="10"/>
  <c r="K1096" i="10"/>
  <c r="K1064" i="10"/>
  <c r="K1100" i="10"/>
  <c r="P216" i="10"/>
  <c r="P944" i="10"/>
  <c r="K253" i="10"/>
  <c r="K292" i="10"/>
  <c r="K316" i="10"/>
  <c r="K339" i="10"/>
  <c r="K386" i="10"/>
  <c r="K418" i="10"/>
  <c r="K426" i="10"/>
  <c r="K446" i="10"/>
  <c r="K609" i="10"/>
  <c r="K727" i="10"/>
  <c r="K731" i="10"/>
  <c r="K857" i="10"/>
  <c r="K861" i="10"/>
  <c r="K877" i="10"/>
  <c r="K917" i="10"/>
  <c r="K937" i="10"/>
  <c r="K961" i="10"/>
  <c r="K1041" i="10"/>
  <c r="P1048" i="10"/>
  <c r="K66" i="10"/>
  <c r="K94" i="10"/>
  <c r="K98" i="10"/>
  <c r="K146" i="10"/>
  <c r="K181" i="10"/>
  <c r="K217" i="10"/>
  <c r="K241" i="10"/>
  <c r="K257" i="10"/>
  <c r="K379" i="10"/>
  <c r="K434" i="10"/>
  <c r="P485" i="10"/>
  <c r="K601" i="10"/>
  <c r="K637" i="10"/>
  <c r="K657" i="10"/>
  <c r="K787" i="10"/>
  <c r="K795" i="10"/>
  <c r="K885" i="10"/>
  <c r="K985" i="10"/>
  <c r="P1037" i="10"/>
  <c r="K1081" i="10"/>
  <c r="P26" i="10"/>
  <c r="P38" i="10"/>
  <c r="P565" i="10"/>
  <c r="K905" i="10"/>
  <c r="K941" i="10"/>
  <c r="P1021" i="10"/>
  <c r="K1049" i="10"/>
  <c r="K1057" i="10"/>
  <c r="K1097" i="10"/>
  <c r="P320" i="10"/>
  <c r="P371" i="10"/>
  <c r="P613" i="10"/>
  <c r="P997" i="10"/>
  <c r="P142" i="10"/>
  <c r="P150" i="10"/>
  <c r="K261" i="10"/>
  <c r="K265" i="10"/>
  <c r="K399" i="10"/>
  <c r="K661" i="10"/>
  <c r="K697" i="10"/>
  <c r="P957" i="10"/>
  <c r="P229" i="10"/>
  <c r="P653" i="10"/>
  <c r="P799" i="10"/>
  <c r="P102" i="10"/>
  <c r="K139" i="10"/>
  <c r="K186" i="10"/>
  <c r="K190" i="10"/>
  <c r="K254" i="10"/>
  <c r="K293" i="10"/>
  <c r="K297" i="10"/>
  <c r="K356" i="10"/>
  <c r="K419" i="10"/>
  <c r="K862" i="10"/>
  <c r="P1061" i="10"/>
  <c r="P1077" i="10"/>
  <c r="P132" i="10"/>
  <c r="K132" i="10"/>
  <c r="K573" i="10"/>
  <c r="K998" i="10"/>
  <c r="P998" i="10"/>
  <c r="K375" i="10"/>
  <c r="P375" i="10"/>
  <c r="P497" i="10"/>
  <c r="K497" i="10"/>
  <c r="K631" i="10"/>
  <c r="P631" i="10"/>
  <c r="P22" i="10"/>
  <c r="P46" i="10"/>
  <c r="K46" i="10"/>
  <c r="K219" i="10"/>
  <c r="P525" i="10"/>
  <c r="P541" i="10"/>
  <c r="K541" i="10"/>
  <c r="P588" i="10"/>
  <c r="K588" i="10"/>
  <c r="P647" i="10"/>
  <c r="K647" i="10"/>
  <c r="P144" i="10"/>
  <c r="K144" i="10"/>
  <c r="P332" i="10"/>
  <c r="K332" i="10"/>
  <c r="K430" i="10"/>
  <c r="P430" i="10"/>
  <c r="P73" i="10"/>
  <c r="K73" i="10"/>
  <c r="K117" i="10"/>
  <c r="K164" i="10"/>
  <c r="P164" i="10"/>
  <c r="P113" i="10"/>
  <c r="P262" i="10"/>
  <c r="P391" i="10"/>
  <c r="K391" i="10"/>
  <c r="P227" i="10"/>
  <c r="K227" i="10"/>
  <c r="P270" i="10"/>
  <c r="K270" i="10"/>
  <c r="P309" i="10"/>
  <c r="P364" i="10"/>
  <c r="P620" i="10"/>
  <c r="P129" i="10"/>
  <c r="K129" i="10"/>
  <c r="P74" i="10"/>
  <c r="K74" i="10"/>
  <c r="P470" i="10"/>
  <c r="K522" i="10"/>
  <c r="K617" i="10"/>
  <c r="P975" i="10"/>
  <c r="P89" i="10"/>
  <c r="K89" i="10"/>
  <c r="P153" i="10"/>
  <c r="K153" i="10"/>
  <c r="P251" i="10"/>
  <c r="K251" i="10"/>
  <c r="K12" i="10"/>
  <c r="P70" i="10"/>
  <c r="P149" i="10"/>
  <c r="P672" i="10"/>
  <c r="K672" i="10"/>
  <c r="P726" i="10"/>
  <c r="P23" i="10"/>
  <c r="K23" i="10"/>
  <c r="K184" i="10"/>
  <c r="P184" i="10"/>
  <c r="K204" i="10"/>
  <c r="P204" i="10"/>
  <c r="K361" i="10"/>
  <c r="K664" i="10"/>
  <c r="P664" i="10"/>
  <c r="P31" i="10"/>
  <c r="K31" i="10"/>
  <c r="P51" i="10"/>
  <c r="K55" i="10"/>
  <c r="P55" i="10"/>
  <c r="P172" i="10"/>
  <c r="K172" i="10"/>
  <c r="P4" i="10"/>
  <c r="K106" i="10"/>
  <c r="P106" i="10"/>
  <c r="P224" i="10"/>
  <c r="K224" i="10"/>
  <c r="K408" i="10"/>
  <c r="P408" i="10"/>
  <c r="P416" i="10"/>
  <c r="K416" i="10"/>
  <c r="K558" i="10"/>
  <c r="P558" i="10"/>
  <c r="P28" i="10"/>
  <c r="K28" i="10"/>
  <c r="P126" i="10"/>
  <c r="K126" i="10"/>
  <c r="P267" i="10"/>
  <c r="K267" i="10"/>
  <c r="P369" i="10"/>
  <c r="K369" i="10"/>
  <c r="P625" i="10"/>
  <c r="K625" i="10"/>
  <c r="K913" i="10"/>
  <c r="K75" i="10"/>
  <c r="K302" i="10"/>
  <c r="P302" i="10"/>
  <c r="K118" i="10"/>
  <c r="P118" i="10"/>
  <c r="P252" i="10"/>
  <c r="K252" i="10"/>
  <c r="K551" i="10"/>
  <c r="P704" i="10"/>
  <c r="K712" i="10"/>
  <c r="K964" i="10"/>
  <c r="P964" i="10"/>
  <c r="P44" i="10"/>
  <c r="P95" i="10"/>
  <c r="P201" i="10"/>
  <c r="K201" i="10"/>
  <c r="P291" i="10"/>
  <c r="K814" i="10"/>
  <c r="P814" i="10"/>
  <c r="P873" i="10"/>
  <c r="K873" i="10"/>
  <c r="P716" i="10"/>
  <c r="K716" i="10"/>
  <c r="K759" i="10"/>
  <c r="P759" i="10"/>
  <c r="K909" i="10"/>
  <c r="P909" i="10"/>
  <c r="K248" i="10"/>
  <c r="P248" i="10"/>
  <c r="P13" i="10"/>
  <c r="K13" i="10"/>
  <c r="K237" i="10"/>
  <c r="P460" i="10"/>
  <c r="K460" i="10"/>
  <c r="P519" i="10"/>
  <c r="K519" i="10"/>
  <c r="K503" i="10"/>
  <c r="P503" i="10"/>
  <c r="P413" i="10"/>
  <c r="K413" i="10"/>
  <c r="P1001" i="10"/>
  <c r="K1001" i="10"/>
  <c r="P155" i="10"/>
  <c r="K155" i="10"/>
  <c r="P233" i="10"/>
  <c r="K233" i="10"/>
  <c r="P492" i="10"/>
  <c r="P693" i="10"/>
  <c r="P280" i="10"/>
  <c r="P669" i="10"/>
  <c r="K669" i="10"/>
  <c r="P103" i="10"/>
  <c r="K103" i="10"/>
  <c r="K284" i="10"/>
  <c r="P284" i="10"/>
  <c r="P49" i="10"/>
  <c r="K49" i="10"/>
  <c r="P182" i="10"/>
  <c r="K198" i="10"/>
  <c r="P198" i="10"/>
  <c r="P437" i="10"/>
  <c r="P544" i="10"/>
  <c r="K544" i="10"/>
  <c r="P748" i="10"/>
  <c r="P240" i="10"/>
  <c r="K135" i="10"/>
  <c r="P135" i="10"/>
  <c r="P131" i="10"/>
  <c r="P147" i="10"/>
  <c r="K147" i="10"/>
  <c r="P245" i="10"/>
  <c r="K245" i="10"/>
  <c r="P296" i="10"/>
  <c r="K296" i="10"/>
  <c r="K489" i="10"/>
  <c r="K536" i="10"/>
  <c r="P536" i="10"/>
  <c r="K949" i="10"/>
  <c r="P949" i="10"/>
  <c r="P193" i="10"/>
  <c r="K328" i="10"/>
  <c r="K745" i="10"/>
  <c r="P33" i="10"/>
  <c r="P6" i="10"/>
  <c r="K686" i="10"/>
  <c r="P686" i="10"/>
  <c r="P800" i="10"/>
  <c r="K800" i="10"/>
  <c r="K584" i="10"/>
  <c r="K792" i="10"/>
  <c r="P792" i="10"/>
  <c r="P906" i="10"/>
  <c r="K906" i="10"/>
  <c r="K1035" i="10"/>
  <c r="P887" i="10"/>
  <c r="P920" i="10"/>
  <c r="P942" i="10"/>
  <c r="P990" i="10"/>
  <c r="P1027" i="10"/>
  <c r="K1020" i="10"/>
  <c r="K844" i="10"/>
  <c r="K928" i="10"/>
  <c r="K1002" i="10"/>
  <c r="K1024" i="10"/>
  <c r="K753" i="10"/>
  <c r="K775" i="10"/>
  <c r="K797" i="10"/>
  <c r="K881" i="10"/>
  <c r="K903" i="10"/>
  <c r="K925" i="10"/>
  <c r="K958" i="10"/>
  <c r="K995" i="10"/>
  <c r="K1032" i="10"/>
  <c r="P310" i="10"/>
  <c r="P438" i="10"/>
  <c r="P566" i="10"/>
  <c r="P694" i="10"/>
  <c r="P822" i="10"/>
  <c r="P950" i="10"/>
  <c r="P965" i="10"/>
  <c r="K93" i="10"/>
  <c r="K111" i="10"/>
  <c r="K122" i="10"/>
  <c r="K191" i="10"/>
  <c r="K209" i="10"/>
  <c r="K249" i="10"/>
  <c r="K289" i="10"/>
  <c r="K307" i="10"/>
  <c r="K351" i="10"/>
  <c r="K395" i="10"/>
  <c r="K435" i="10"/>
  <c r="K479" i="10"/>
  <c r="K523" i="10"/>
  <c r="K563" i="10"/>
  <c r="K607" i="10"/>
  <c r="P632" i="10"/>
  <c r="K651" i="10"/>
  <c r="K691" i="10"/>
  <c r="K735" i="10"/>
  <c r="P760" i="10"/>
  <c r="K779" i="10"/>
  <c r="K819" i="10"/>
  <c r="K863" i="10"/>
  <c r="P888" i="10"/>
  <c r="K907" i="10"/>
  <c r="K947" i="10"/>
  <c r="P991" i="10"/>
  <c r="K999" i="10"/>
  <c r="K1036" i="10"/>
  <c r="K311" i="10"/>
  <c r="K366" i="10"/>
  <c r="K439" i="10"/>
  <c r="K494" i="10"/>
  <c r="K567" i="10"/>
  <c r="K622" i="10"/>
  <c r="K695" i="10"/>
  <c r="K750" i="10"/>
  <c r="K823" i="10"/>
  <c r="K878" i="10"/>
  <c r="K951" i="10"/>
  <c r="K977" i="10"/>
  <c r="P1095" i="10"/>
  <c r="K1095" i="10"/>
  <c r="K483" i="10"/>
  <c r="K505" i="10"/>
  <c r="K527" i="10"/>
  <c r="K538" i="10"/>
  <c r="K611" i="10"/>
  <c r="K633" i="10"/>
  <c r="K655" i="10"/>
  <c r="K666" i="10"/>
  <c r="K739" i="10"/>
  <c r="K761" i="10"/>
  <c r="K783" i="10"/>
  <c r="K794" i="10"/>
  <c r="K867" i="10"/>
  <c r="K889" i="10"/>
  <c r="K911" i="10"/>
  <c r="K922" i="10"/>
  <c r="K970" i="10"/>
  <c r="K992" i="10"/>
  <c r="P1063" i="10"/>
  <c r="K1063" i="10"/>
  <c r="K10" i="10"/>
  <c r="K39" i="10"/>
  <c r="K68" i="10"/>
  <c r="K108" i="10"/>
  <c r="K137" i="10"/>
  <c r="K188" i="10"/>
  <c r="K206" i="10"/>
  <c r="P278" i="10"/>
  <c r="K286" i="10"/>
  <c r="K304" i="10"/>
  <c r="K315" i="10"/>
  <c r="K348" i="10"/>
  <c r="K388" i="10"/>
  <c r="K432" i="10"/>
  <c r="K443" i="10"/>
  <c r="K476" i="10"/>
  <c r="K516" i="10"/>
  <c r="K560" i="10"/>
  <c r="K571" i="10"/>
  <c r="K604" i="10"/>
  <c r="K644" i="10"/>
  <c r="K688" i="10"/>
  <c r="K699" i="10"/>
  <c r="K732" i="10"/>
  <c r="K772" i="10"/>
  <c r="K816" i="10"/>
  <c r="K827" i="10"/>
  <c r="K860" i="10"/>
  <c r="K900" i="10"/>
  <c r="P984" i="10"/>
  <c r="K849" i="10"/>
  <c r="K871" i="10"/>
  <c r="K893" i="10"/>
  <c r="K1007" i="10"/>
  <c r="K1018" i="10"/>
  <c r="K1033" i="10"/>
  <c r="K221" i="10"/>
  <c r="K239" i="10"/>
  <c r="K250" i="10"/>
  <c r="K319" i="10"/>
  <c r="P344" i="10"/>
  <c r="K363" i="10"/>
  <c r="K403" i="10"/>
  <c r="K447" i="10"/>
  <c r="P472" i="10"/>
  <c r="K491" i="10"/>
  <c r="K531" i="10"/>
  <c r="P600" i="10"/>
  <c r="P728" i="10"/>
  <c r="P856" i="10"/>
  <c r="P86" i="10"/>
  <c r="P166" i="10"/>
  <c r="K279" i="10"/>
  <c r="K352" i="10"/>
  <c r="K396" i="10"/>
  <c r="K480" i="10"/>
  <c r="K524" i="10"/>
  <c r="K608" i="10"/>
  <c r="K652" i="10"/>
  <c r="K736" i="10"/>
  <c r="K780" i="10"/>
  <c r="K864" i="10"/>
  <c r="K908" i="10"/>
  <c r="K963" i="10"/>
  <c r="K1000" i="10"/>
  <c r="P1014" i="10"/>
  <c r="P1029" i="10"/>
  <c r="K301" i="10"/>
  <c r="P326" i="10"/>
  <c r="K341" i="10"/>
  <c r="P421" i="10"/>
  <c r="K429" i="10"/>
  <c r="P454" i="10"/>
  <c r="K469" i="10"/>
  <c r="P549" i="10"/>
  <c r="K557" i="10"/>
  <c r="P582" i="10"/>
  <c r="K597" i="10"/>
  <c r="P677" i="10"/>
  <c r="K685" i="10"/>
  <c r="P710" i="10"/>
  <c r="P805" i="10"/>
  <c r="P838" i="10"/>
  <c r="P933" i="10"/>
  <c r="P959" i="10"/>
  <c r="P1092" i="10"/>
  <c r="K1092" i="10"/>
  <c r="P1060" i="10"/>
  <c r="K1060" i="10"/>
  <c r="P152" i="10"/>
  <c r="K91" i="10"/>
  <c r="P374" i="10"/>
  <c r="P502" i="10"/>
  <c r="P630" i="10"/>
  <c r="P758" i="10"/>
  <c r="P886" i="10"/>
  <c r="P989" i="10"/>
  <c r="P54" i="10"/>
  <c r="P134" i="10"/>
  <c r="P312" i="10"/>
  <c r="P440" i="10"/>
  <c r="P568" i="10"/>
  <c r="P696" i="10"/>
  <c r="P824" i="10"/>
  <c r="P952" i="10"/>
  <c r="P389" i="10"/>
  <c r="P422" i="10"/>
  <c r="P517" i="10"/>
  <c r="P550" i="10"/>
  <c r="P645" i="10"/>
  <c r="P678" i="10"/>
  <c r="P773" i="10"/>
  <c r="P806" i="10"/>
  <c r="P901" i="10"/>
  <c r="P934" i="10"/>
  <c r="P1080" i="10"/>
  <c r="P1073" i="10"/>
  <c r="P1066" i="10"/>
  <c r="P1098" i="10"/>
  <c r="K1053" i="10"/>
  <c r="K1085" i="10"/>
  <c r="K1046" i="10"/>
  <c r="K1078" i="10"/>
  <c r="K1079" i="10"/>
  <c r="K1072" i="10"/>
  <c r="K1069" i="10"/>
  <c r="K1101" i="10"/>
  <c r="D34" i="4"/>
  <c r="C34" i="4"/>
  <c r="E5" i="4"/>
  <c r="F5" i="4"/>
  <c r="B15" i="4"/>
  <c r="F24" i="4"/>
  <c r="D18" i="4"/>
  <c r="E24" i="4"/>
  <c r="C18" i="4"/>
  <c r="E16" i="4"/>
  <c r="D24" i="4"/>
  <c r="G17" i="4"/>
  <c r="C22" i="4"/>
  <c r="C24" i="4"/>
  <c r="F17" i="4"/>
  <c r="G23" i="4"/>
  <c r="E17" i="4"/>
  <c r="E26" i="4"/>
  <c r="F23" i="4"/>
  <c r="D17" i="4"/>
  <c r="C23" i="4"/>
  <c r="F22" i="4"/>
  <c r="E23" i="4"/>
  <c r="C17" i="4"/>
  <c r="F18" i="4"/>
  <c r="D23" i="4"/>
  <c r="G16" i="4"/>
  <c r="F16" i="4"/>
  <c r="C26" i="4"/>
  <c r="G22" i="4"/>
  <c r="D16" i="4"/>
  <c r="F19" i="4"/>
  <c r="E22" i="4"/>
  <c r="C16" i="4"/>
  <c r="D22" i="4"/>
  <c r="E18" i="4"/>
  <c r="G21" i="4"/>
  <c r="D21" i="4"/>
  <c r="F21" i="4"/>
  <c r="G24" i="4"/>
  <c r="C25" i="4"/>
  <c r="G18" i="4"/>
  <c r="D25" i="4"/>
  <c r="C19" i="4"/>
  <c r="E25" i="4"/>
  <c r="D19" i="4"/>
  <c r="F25" i="4"/>
  <c r="E19" i="4"/>
  <c r="G25" i="4"/>
  <c r="C20" i="4"/>
  <c r="D20" i="4"/>
  <c r="G26" i="4"/>
  <c r="F26" i="4"/>
  <c r="E20" i="4"/>
  <c r="C27" i="4"/>
  <c r="F20" i="4"/>
  <c r="D27" i="4"/>
  <c r="G20" i="4"/>
  <c r="E27" i="4"/>
  <c r="G19" i="4"/>
  <c r="C21" i="4"/>
  <c r="F27" i="4"/>
  <c r="G27" i="4"/>
  <c r="E21" i="4"/>
  <c r="D10" i="4" l="1"/>
  <c r="B11" i="4"/>
  <c r="B10" i="4"/>
  <c r="F15" i="4"/>
  <c r="G15" i="4"/>
  <c r="E15" i="4"/>
  <c r="D15" i="4"/>
  <c r="C15"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75C80F-43CB-4D9C-ABC6-DD8B99CE880A}" keepAlive="1" name="Query - tblAssociates" description="Connection to the 'tblAssociates' query in the workbook." type="5" refreshedVersion="8" background="1" saveData="1">
    <dbPr connection="Provider=Microsoft.Mashup.OleDb.1;Data Source=$Workbook$;Location=tblAssociates;Extended Properties=&quot;&quot;" command="SELECT * FROM [tblAssociates]"/>
  </connection>
  <connection id="2" xr16:uid="{92CE2F8E-C529-4B1D-936A-0B03AA8424D4}" keepAlive="1" name="Query - tblDocketedComments" description="Connection to the 'tblDocketedComments' query in the workbook." type="5" refreshedVersion="8" background="1" saveData="1">
    <dbPr connection="Provider=Microsoft.Mashup.OleDb.1;Data Source=$Workbook$;Location=tblDocketedComments;Extended Properties=&quot;&quot;" command="SELECT * FROM [tblDocketedComment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<sst xmlns="http://schemas.openxmlformats.org/spreadsheetml/2006/main" count="30646" uniqueCount="8910">
  <si>
    <t>AccountNumber</t>
  </si>
  <si>
    <t>Associate</t>
  </si>
  <si>
    <t>DateCalled</t>
  </si>
  <si>
    <t>VM</t>
  </si>
  <si>
    <t>Outcome</t>
  </si>
  <si>
    <t>Notes</t>
  </si>
  <si>
    <t>Priority</t>
  </si>
  <si>
    <t>CustomerName</t>
  </si>
  <si>
    <t>City</t>
  </si>
  <si>
    <t>RatePlan</t>
  </si>
  <si>
    <t>MEPStatus</t>
  </si>
  <si>
    <t>Issue</t>
  </si>
  <si>
    <t>Docket Link</t>
  </si>
  <si>
    <t>Payoff Balance</t>
  </si>
  <si>
    <t>MEP</t>
  </si>
  <si>
    <t>MEP Savings</t>
  </si>
  <si>
    <t>Status</t>
  </si>
  <si>
    <t>Include_Row</t>
  </si>
  <si>
    <t>__PowerAppsId__</t>
  </si>
  <si>
    <t>5411325149</t>
  </si>
  <si>
    <t>Michelle</t>
  </si>
  <si>
    <t>YES</t>
  </si>
  <si>
    <t>Other (fill in)</t>
  </si>
  <si>
    <t>Called</t>
  </si>
  <si>
    <t>No</t>
  </si>
  <si>
    <t>8883d3b0-3a3f-4368-b2f6-651d9c802de7</t>
  </si>
  <si>
    <t>5372102528</t>
  </si>
  <si>
    <t>NO</t>
  </si>
  <si>
    <t>Utility Assistance</t>
  </si>
  <si>
    <t>5bc02301-12dd-4132-971d-339e9cafd119</t>
  </si>
  <si>
    <t>4300170000</t>
  </si>
  <si>
    <t>Joaquin</t>
  </si>
  <si>
    <t>STOPPED S-A 2025-06-04 to 2025-11-03</t>
  </si>
  <si>
    <t>090e0c0c-7790-46fe-a9b4-2e61ef543b5e</t>
  </si>
  <si>
    <t>0356005964</t>
  </si>
  <si>
    <t>General Education</t>
  </si>
  <si>
    <t>OFFER OPTION TO LOWER BILL</t>
  </si>
  <si>
    <t>5a6769b8-7bed-4057-bcab-e816848c1109</t>
  </si>
  <si>
    <t>6846061000</t>
  </si>
  <si>
    <t>0ba17664-1b84-4be2-abd5-31b10dd0cef6</t>
  </si>
  <si>
    <t>0902311000</t>
  </si>
  <si>
    <t>LEFT VOICE MAIL</t>
  </si>
  <si>
    <t>acc2a968-757f-4541-bf3a-850314ab17c5</t>
  </si>
  <si>
    <t>4528501000</t>
  </si>
  <si>
    <t>310d74c5-7f1b-42cc-9963-238be98ad33e</t>
  </si>
  <si>
    <t>2060349043</t>
  </si>
  <si>
    <t>VOICE MAIL WAS FULL</t>
  </si>
  <si>
    <t>36af9bff-fa38-47db-957a-d4ae9a1fb417</t>
  </si>
  <si>
    <t>4573855715</t>
  </si>
  <si>
    <t>NO E3 ON ACCT IS ON PAYMENT ARRANGEMENT</t>
  </si>
  <si>
    <t>409d6cb6-5736-4a17-9fcf-0e423ecfccfb</t>
  </si>
  <si>
    <t>9340701000</t>
  </si>
  <si>
    <t>653551ad-3b1d-4d5c-add2-4921ac6b9b74</t>
  </si>
  <si>
    <t>5596059869</t>
  </si>
  <si>
    <t>CALLER HUNG UP</t>
  </si>
  <si>
    <t>923ac59a-40df-4bf4-9414-d5d5c4d0daca</t>
  </si>
  <si>
    <t>6013821000</t>
  </si>
  <si>
    <t>BETTER RATE FIXXED ENERGY PLAN</t>
  </si>
  <si>
    <t>6dd06a7f-6fdf-400d-8db7-3a599f125e11</t>
  </si>
  <si>
    <t>1205900735</t>
  </si>
  <si>
    <t>LEFT VOICE MESSAGE</t>
  </si>
  <si>
    <t>3c1e2097-8da6-432a-a9c1-9b51ebb88738</t>
  </si>
  <si>
    <t>1039090000</t>
  </si>
  <si>
    <t>2d66be26-3983-4f60-b246-48a2750a70b4</t>
  </si>
  <si>
    <t>6003957639</t>
  </si>
  <si>
    <t>BETTER PLAN TIME OF WITH DEMAND</t>
  </si>
  <si>
    <t>dd26936d-f691-48ba-afd3-47aef647ff2a</t>
  </si>
  <si>
    <t>3304816868</t>
  </si>
  <si>
    <t>Rate Change</t>
  </si>
  <si>
    <t>ED ON PLANS TO HELP SAVE &amp; REBATE INFO</t>
  </si>
  <si>
    <t>1bd0cfb8-ff7c-4265-bcff-2b98eb964d0f</t>
  </si>
  <si>
    <t>0509660000</t>
  </si>
  <si>
    <t>809bb837-f065-45d2-a898-6733aec5f027</t>
  </si>
  <si>
    <t>7401033818</t>
  </si>
  <si>
    <t>P1</t>
  </si>
  <si>
    <t>Yes</t>
  </si>
  <si>
    <t>20f03f45-ed04-4aa8-897a-5db6e069096c</t>
  </si>
  <si>
    <t>2947560540</t>
  </si>
  <si>
    <t>9cdcd542-8123-463c-9f88-8cfbdebd490c</t>
  </si>
  <si>
    <t>3110727023</t>
  </si>
  <si>
    <t>d55857b4-9739-4e44-ae13-2867ffd2642e</t>
  </si>
  <si>
    <t>8998382174</t>
  </si>
  <si>
    <t>1da9100b-33d8-4b67-a708-858a38256339</t>
  </si>
  <si>
    <t>7201057343</t>
  </si>
  <si>
    <t>7be8255c-6e0b-42c4-a56f-b21768381255</t>
  </si>
  <si>
    <t>3323516971</t>
  </si>
  <si>
    <t>7fcbcd26-3a6d-4768-895d-79207b839f7d</t>
  </si>
  <si>
    <t>4067480384</t>
  </si>
  <si>
    <t>P4</t>
  </si>
  <si>
    <t>561109a9-c98a-40ed-a07b-05298354f6d8</t>
  </si>
  <si>
    <t>0339264588</t>
  </si>
  <si>
    <t>468235d5-858f-4dec-bb00-6d7487b48eb0</t>
  </si>
  <si>
    <t>9532631000</t>
  </si>
  <si>
    <t>27f3bff7-11d3-4676-b21e-de9f0c707853</t>
  </si>
  <si>
    <t>0310740000</t>
  </si>
  <si>
    <t>485e56ed-8548-49a1-a8f3-bf5b619e3538</t>
  </si>
  <si>
    <t>3049940000</t>
  </si>
  <si>
    <t>52f90729-66eb-47a4-93f0-b7d2083a146a</t>
  </si>
  <si>
    <t>2779220471</t>
  </si>
  <si>
    <t>SOLAR ACCT</t>
  </si>
  <si>
    <t>8c0f6663-c757-45ca-bb3a-824b1f0d05f4</t>
  </si>
  <si>
    <t>6635023227</t>
  </si>
  <si>
    <t>ec90184b-ece8-4400-b3de-bd9e1009b40f</t>
  </si>
  <si>
    <t>6924836428</t>
  </si>
  <si>
    <t>1cf0ea2c-a4fe-4e82-9ede-f7ce3356b92e</t>
  </si>
  <si>
    <t>7035930772</t>
  </si>
  <si>
    <t>8bc9149c-5582-4fb5-85a7-1a5b5f8ecc62</t>
  </si>
  <si>
    <t>4659820000</t>
  </si>
  <si>
    <t>6c264969-b41a-4b69-8af3-63cbad63404c</t>
  </si>
  <si>
    <t>7477798096</t>
  </si>
  <si>
    <t>07767618-d3c6-4f85-a227-e09c7ab4d749</t>
  </si>
  <si>
    <t>2605161000</t>
  </si>
  <si>
    <t>LEFT VM</t>
  </si>
  <si>
    <t>b1a77e5d-4039-4a36-b102-d537065d3580</t>
  </si>
  <si>
    <t>1560131000</t>
  </si>
  <si>
    <t>c0f7d9a9-7e65-493b-aab3-aa474d9aa474</t>
  </si>
  <si>
    <t>4557041000</t>
  </si>
  <si>
    <t>eb065644-f744-45d5-aaf7-e62f4617a070</t>
  </si>
  <si>
    <t>7001761000</t>
  </si>
  <si>
    <t>7aaf9e26-d543-4dc0-9340-a0a826a0abf2</t>
  </si>
  <si>
    <t>5849875191</t>
  </si>
  <si>
    <t>caee8d32-832b-40bd-b3b0-7b6354607207</t>
  </si>
  <si>
    <t>4014511000</t>
  </si>
  <si>
    <t>6bb407b9-df2a-41c1-ba15-c0cac0320189</t>
  </si>
  <si>
    <t>5131511000</t>
  </si>
  <si>
    <t>786098a3-c1f5-4bdc-92d4-830725f8fa7e</t>
  </si>
  <si>
    <t>0487982450</t>
  </si>
  <si>
    <t>528ddd0a-f83a-4ee3-a402-a800aed16bb6</t>
  </si>
  <si>
    <t>9875751000</t>
  </si>
  <si>
    <t>acef37d7-b9d2-4570-a311-1b04d337b61e</t>
  </si>
  <si>
    <t>6079940000</t>
  </si>
  <si>
    <t>WILL CB TO MAKE CHANGES</t>
  </si>
  <si>
    <t>c05f8c58-193c-4e33-9448-2c2e798c5e9a</t>
  </si>
  <si>
    <t>9757441000</t>
  </si>
  <si>
    <t>f2de15ba-7a2c-4272-b011-e71e62388a44</t>
  </si>
  <si>
    <t>7502531000</t>
  </si>
  <si>
    <t>879cee0c-d27d-41ef-82f1-30df1b2d1a53</t>
  </si>
  <si>
    <t>0987457107</t>
  </si>
  <si>
    <t>46e5fb4e-0547-47b4-8a3c-2bf8516208fa</t>
  </si>
  <si>
    <t>1316621000</t>
  </si>
  <si>
    <t>d371fabc-178c-423f-917a-ffa12a153cce</t>
  </si>
  <si>
    <t>4026025798</t>
  </si>
  <si>
    <t>085230e5-e473-4aa3-8fae-16ecfaf21b8d</t>
  </si>
  <si>
    <t>1842320000</t>
  </si>
  <si>
    <t>800a7d82-d372-4277-98cf-68a1d14aa9f2</t>
  </si>
  <si>
    <t>3553261000</t>
  </si>
  <si>
    <t>09b14816-2aa3-4924-819d-309a25a36720</t>
  </si>
  <si>
    <t>5784101000</t>
  </si>
  <si>
    <t>5b24693a-6a67-4719-a9eb-04726aa2f926</t>
  </si>
  <si>
    <t>3862538912</t>
  </si>
  <si>
    <t>7b38e80d-e37b-4d78-a3a4-3cf27a3106c4</t>
  </si>
  <si>
    <t>0974119043</t>
  </si>
  <si>
    <t>3d1138ec-1872-4a18-aafc-fe8a7f3e3059</t>
  </si>
  <si>
    <t>8849042993</t>
  </si>
  <si>
    <t>856aec85-11a8-41cb-8fdc-2eddfc9fced4</t>
  </si>
  <si>
    <t>4095200000</t>
  </si>
  <si>
    <t>f490e442-4ed9-48a9-8d1b-ce2832a408de</t>
  </si>
  <si>
    <t>7835950000</t>
  </si>
  <si>
    <t>00ee04b3-ed2c-46c6-9236-4cec1e78f9ae</t>
  </si>
  <si>
    <t>4997806847</t>
  </si>
  <si>
    <t>UNHAPPY WITH THE RATE INCREASE CASE</t>
  </si>
  <si>
    <t>11923a18-176a-499a-a2fd-4a035fc44d1f</t>
  </si>
  <si>
    <t>2166343167</t>
  </si>
  <si>
    <t>a0fa5023-8477-40ce-bcc6-f0e42e3f9245</t>
  </si>
  <si>
    <t>6907731000</t>
  </si>
  <si>
    <t>LEFT V-M</t>
  </si>
  <si>
    <t>ef024b3f-6db2-4a9d-8e2d-a3089b2b4d7c</t>
  </si>
  <si>
    <t>0555026441</t>
  </si>
  <si>
    <t>703c6623-8a9e-4d4c-a999-ae6352b77263</t>
  </si>
  <si>
    <t>3305713016</t>
  </si>
  <si>
    <t>NUMBER DISCONNECTED</t>
  </si>
  <si>
    <t>6c55bba5-d3c3-4ed5-b4ed-4d9551657121</t>
  </si>
  <si>
    <t>1687826451</t>
  </si>
  <si>
    <t>COULD NOT LEAVE MESSAGE, VM NOT SET UP</t>
  </si>
  <si>
    <t>0aea80de-31eb-43f2-a4d4-c2b0cb55b097</t>
  </si>
  <si>
    <t>5718650660</t>
  </si>
  <si>
    <t>fc981c0d-2df4-478a-b9e4-1e0dfa7913dc</t>
  </si>
  <si>
    <t>9800380431</t>
  </si>
  <si>
    <t>d17d3805-d9c2-4e3b-9e42-2a5227d30a55</t>
  </si>
  <si>
    <t>0998552497</t>
  </si>
  <si>
    <t>446d093d-4bb7-4d76-a12e-6aafd069a570</t>
  </si>
  <si>
    <t>9660984623</t>
  </si>
  <si>
    <t>05dc7c38-e85c-4e77-a956-52ff1ff10a63</t>
  </si>
  <si>
    <t>5278430000</t>
  </si>
  <si>
    <t>c6adb3f3-3c90-4274-a363-4e0282e36b9b</t>
  </si>
  <si>
    <t>6940323949</t>
  </si>
  <si>
    <t>b222ed41-7662-42c0-ad71-03631316d687</t>
  </si>
  <si>
    <t>2290331000</t>
  </si>
  <si>
    <t>52ef2751-bbf0-42d5-8cc6-545b8f6272a7</t>
  </si>
  <si>
    <t>4333270000</t>
  </si>
  <si>
    <t>NO GOOD CBR# ON FILE</t>
  </si>
  <si>
    <t>e10f252f-ab9a-453e-b915-74ac3edbd147</t>
  </si>
  <si>
    <t>4789794091</t>
  </si>
  <si>
    <t>b9f2d0e3-d755-4a82-851b-3c7b96c18079</t>
  </si>
  <si>
    <t>5582530000</t>
  </si>
  <si>
    <t>NOT FOR THE RATE CASE PROPOSAL</t>
  </si>
  <si>
    <t>13de79bf-dcc2-43fe-b8b4-4881a4275234</t>
  </si>
  <si>
    <t>2697623904</t>
  </si>
  <si>
    <t>6d3fb920-8d91-4e36-9e2f-b2ac6b457f68</t>
  </si>
  <si>
    <t>7036097429</t>
  </si>
  <si>
    <t>7e79ade8-1072-4523-84f6-29a9eb0ffd14</t>
  </si>
  <si>
    <t>0947385737</t>
  </si>
  <si>
    <t>b9889a13-5633-485b-8341-335d8be35b10</t>
  </si>
  <si>
    <t>0189241000</t>
  </si>
  <si>
    <t>9f7c8027-64a3-4217-86d1-33bfa4d729be</t>
  </si>
  <si>
    <t>5976850000</t>
  </si>
  <si>
    <t>RATE CHANGE  NEXT BILL DATE 2/21/26</t>
  </si>
  <si>
    <t>c3413726-905e-4bff-817e-0fbdcbcfc50a</t>
  </si>
  <si>
    <t>9504901000</t>
  </si>
  <si>
    <t>64778f92-d7a3-487d-81d5-a1090d6da90a</t>
  </si>
  <si>
    <t>9467156300</t>
  </si>
  <si>
    <t>NO V-M OPTION</t>
  </si>
  <si>
    <t>6e314e21-d63c-420c-b783-6c2ed65e4649</t>
  </si>
  <si>
    <t>1876163520</t>
  </si>
  <si>
    <t>E3/E4</t>
  </si>
  <si>
    <t>SOLAR ACT</t>
  </si>
  <si>
    <t>0f94cc2a-6785-47eb-a48d-c4705c98cd7b</t>
  </si>
  <si>
    <t>0901196121</t>
  </si>
  <si>
    <t>PROVIDED TIPS LINE #S</t>
  </si>
  <si>
    <t>21eb6f9a-d846-4343-b5bb-35edfcbeb7fe</t>
  </si>
  <si>
    <t>0363441000</t>
  </si>
  <si>
    <t>fc31f16e-ff7c-4bf2-9d3c-933358fc4461</t>
  </si>
  <si>
    <t>9986232210</t>
  </si>
  <si>
    <t>56b442bf-0bd5-4941-bbc9-00a5788fd85e</t>
  </si>
  <si>
    <t>4586872061</t>
  </si>
  <si>
    <t>8a5890de-946a-491c-9477-e3e7aa2b69ad</t>
  </si>
  <si>
    <t>5137610000</t>
  </si>
  <si>
    <t>40c6cb02-2622-4aa4-b601-57f5361bfa38</t>
  </si>
  <si>
    <t>5161972296</t>
  </si>
  <si>
    <t>2872d250-90ea-4e7c-a04e-1005d46d768d</t>
  </si>
  <si>
    <t>6017698985</t>
  </si>
  <si>
    <t>22f2604a-0991-47f4-8569-f69139e43081</t>
  </si>
  <si>
    <t>6228956660</t>
  </si>
  <si>
    <t>CORE HUNG UP CALL</t>
  </si>
  <si>
    <t>46dada91-fcc4-468c-83ac-a9e258b89497</t>
  </si>
  <si>
    <t>9746250000</t>
  </si>
  <si>
    <t>0936caa4-99ee-4867-944c-2a17074caab2</t>
  </si>
  <si>
    <t>4022467820</t>
  </si>
  <si>
    <t>c85a437f-b4fc-40dd-86b4-e76c995ecfdf</t>
  </si>
  <si>
    <t>3852813845</t>
  </si>
  <si>
    <t>227d703b-8038-4d10-8937-d36262cb1ad3</t>
  </si>
  <si>
    <t>7042751772</t>
  </si>
  <si>
    <t>820ef2a0-3fa2-4e64-ba85-b4f77a917b38</t>
  </si>
  <si>
    <t>4096651000</t>
  </si>
  <si>
    <t>43dfd8eb-e938-4cfe-a650-e3588b9a67ff</t>
  </si>
  <si>
    <t>5127241787</t>
  </si>
  <si>
    <t>013368da-4cea-4f3e-9f1b-87c93c805aa6</t>
  </si>
  <si>
    <t>4864054917</t>
  </si>
  <si>
    <t>41b1a7f7-1787-4ee1-90b5-453e7e9f35c2</t>
  </si>
  <si>
    <t>0228851000</t>
  </si>
  <si>
    <t>MAILED OUT E3</t>
  </si>
  <si>
    <t>b7914e4c-851a-4d39-9948-8d30d2ee3a6d</t>
  </si>
  <si>
    <t>7370951000</t>
  </si>
  <si>
    <t>NO VOICE MAIL OPTION</t>
  </si>
  <si>
    <t>12163b9f-05a7-44e9-beed-e73c4e5b76ab</t>
  </si>
  <si>
    <t>5604121000</t>
  </si>
  <si>
    <t>08251159-5381-460d-9fb2-a9919114a4f9</t>
  </si>
  <si>
    <t>5983450000</t>
  </si>
  <si>
    <t>d38370cb-5d1e-47cd-a52d-6a85ae0eee95</t>
  </si>
  <si>
    <t>3128248912</t>
  </si>
  <si>
    <t>0b1a5269-5c9a-47d7-acbb-f28acb1c2b2e</t>
  </si>
  <si>
    <t>2655378250</t>
  </si>
  <si>
    <t>868e5dca-ce02-4655-b956-1986e52af12f</t>
  </si>
  <si>
    <t>2649331000</t>
  </si>
  <si>
    <t>POSITIVE INFO</t>
  </si>
  <si>
    <t>4ad3b42b-aeac-4ca3-b159-dffe3c7237b3</t>
  </si>
  <si>
    <t>8598239302</t>
  </si>
  <si>
    <t>c9db34d6-6e72-4790-a402-d87a8bde18f7</t>
  </si>
  <si>
    <t>5485214420</t>
  </si>
  <si>
    <t>6f293acc-6b9e-4580-9786-6b6b99553bb4</t>
  </si>
  <si>
    <t>9414462931</t>
  </si>
  <si>
    <t>b2009b3d-8cfb-4057-bd6b-0c3ff1c52588</t>
  </si>
  <si>
    <t>3850123644</t>
  </si>
  <si>
    <t>WILL REVIEW ON LINE THEN MAKE CHANGES</t>
  </si>
  <si>
    <t>05ffcbdf-8b1c-49f4-82eb-aed28d4a2a91</t>
  </si>
  <si>
    <t>8157321000</t>
  </si>
  <si>
    <t>DID REVIEW OPTION TO LOWER BILL</t>
  </si>
  <si>
    <t>dbbab753-7fd2-4dc1-98ce-810a77676691</t>
  </si>
  <si>
    <t>1636279128</t>
  </si>
  <si>
    <t>84a6ec7a-6127-470c-a13e-c6bda0756f3e</t>
  </si>
  <si>
    <t>2874030000</t>
  </si>
  <si>
    <t>6662fa1d-92b0-42af-b972-ddf4d1e0cefa</t>
  </si>
  <si>
    <t>6154479450</t>
  </si>
  <si>
    <t>SENT E3 TO APPLY</t>
  </si>
  <si>
    <t>a2a9f8eb-225f-4e7f-bfb3-aee1ed438ebf</t>
  </si>
  <si>
    <t>9336980000</t>
  </si>
  <si>
    <t>b1e9b7e6-7efd-4480-8740-67bc1f7b2c29</t>
  </si>
  <si>
    <t>7972989951</t>
  </si>
  <si>
    <t>7a8cd752-5a6a-4db5-94c1-c1ecf18e9ebd</t>
  </si>
  <si>
    <t>6154174693</t>
  </si>
  <si>
    <t>d6b8c3f4-40da-408f-a6db-d6591a6b8c69</t>
  </si>
  <si>
    <t>6531421867</t>
  </si>
  <si>
    <t>c68d4b06-7a99-46f8-b7ae-778bfcc54b51</t>
  </si>
  <si>
    <t>6327806553</t>
  </si>
  <si>
    <t>5354b66b-0e83-4089-8fb8-b922fad9b9dd</t>
  </si>
  <si>
    <t>7400931000</t>
  </si>
  <si>
    <t>23ee58fd-da06-4ec5-873c-59caea01914f</t>
  </si>
  <si>
    <t>2822550977</t>
  </si>
  <si>
    <t>555b0869-dc01-4402-9c7a-a5873a5f97d4</t>
  </si>
  <si>
    <t>5245451000</t>
  </si>
  <si>
    <t>69eae1d8-7343-4530-94fe-29d3b1a39d0e</t>
  </si>
  <si>
    <t>4757278626</t>
  </si>
  <si>
    <t>1e694449-17fc-4eab-98ef-69100218959b</t>
  </si>
  <si>
    <t>7619340000</t>
  </si>
  <si>
    <t>NO GOOD CONTACT # ON ACCT</t>
  </si>
  <si>
    <t>2dc6b435-33f4-480c-a1cf-bc283b2ec8b9</t>
  </si>
  <si>
    <t>5662251000</t>
  </si>
  <si>
    <t>515a2392-b120-45bf-8107-6c435a2407fe</t>
  </si>
  <si>
    <t>7397370000</t>
  </si>
  <si>
    <t>2f149326-3cae-44d0-b93f-fa2928ebac19</t>
  </si>
  <si>
    <t>5391718246</t>
  </si>
  <si>
    <t>DID OFFER OPTION TO LOWER BILL</t>
  </si>
  <si>
    <t>584a95d3-d445-4f14-aa77-b51f32142e6a</t>
  </si>
  <si>
    <t>0181561492</t>
  </si>
  <si>
    <t>S-A WAS STOPPED AS OF 12/11/25</t>
  </si>
  <si>
    <t>e94c4f62-e8ab-4ced-a2b5-f980b1ff9f3b</t>
  </si>
  <si>
    <t>3805928813</t>
  </si>
  <si>
    <t>6816c40b-b87e-47a2-9954-b81827f04f9b</t>
  </si>
  <si>
    <t>2752541344</t>
  </si>
  <si>
    <t>f4b21354-5096-4c03-90c4-1870c5f808d8</t>
  </si>
  <si>
    <t>8171441100</t>
  </si>
  <si>
    <t>565ca900-21fb-431c-9667-bdb89e782c51</t>
  </si>
  <si>
    <t>1027321000</t>
  </si>
  <si>
    <t>c5cfc24f-2c91-454f-b307-a825e4642b65</t>
  </si>
  <si>
    <t>0829573314</t>
  </si>
  <si>
    <t>4e29478a-ff79-44f5-8ce4-b8580e2f3d17</t>
  </si>
  <si>
    <t>9041804996</t>
  </si>
  <si>
    <t>6ce6e059-e468-46fa-b013-4e00636ecf7e</t>
  </si>
  <si>
    <t>1669206811</t>
  </si>
  <si>
    <t>bb3afc82-172c-4138-97be-94cc2fb2c945</t>
  </si>
  <si>
    <t>6541680000</t>
  </si>
  <si>
    <t>7271e50c-8670-4b78-8be0-79b3cf5c202a</t>
  </si>
  <si>
    <t>3242131815</t>
  </si>
  <si>
    <t>a28b313d-86c4-4bea-b2da-958dec100977</t>
  </si>
  <si>
    <t>2303209836</t>
  </si>
  <si>
    <t>DID TALK TO CORE BUT HUNG UP</t>
  </si>
  <si>
    <t>6ab65c78-485b-4054-8ded-1113282a9c52</t>
  </si>
  <si>
    <t>8231151000</t>
  </si>
  <si>
    <t>621ad355-1a2d-4b53-b30f-0f3b660145a3</t>
  </si>
  <si>
    <t>0786386957</t>
  </si>
  <si>
    <t>50ab7dbe-7220-45bf-8093-34b620f91734</t>
  </si>
  <si>
    <t>9549931000</t>
  </si>
  <si>
    <t>2249b6c7-dffe-43b7-a9e6-1b5d8234531a</t>
  </si>
  <si>
    <t>7756951000</t>
  </si>
  <si>
    <t>BETTER RATE</t>
  </si>
  <si>
    <t>fc26d5a1-43dc-4f84-a330-6c5bb65213aa</t>
  </si>
  <si>
    <t>1247840000</t>
  </si>
  <si>
    <t>e24e2b1d-fc43-492a-9247-8be17f4de275</t>
  </si>
  <si>
    <t>3459240757</t>
  </si>
  <si>
    <t>b60bb212-affb-482e-8c4f-958a34802816</t>
  </si>
  <si>
    <t>5406537242</t>
  </si>
  <si>
    <t>4b7d80fc-2c6d-43ce-96b2-dddad55117ef</t>
  </si>
  <si>
    <t>8027967579</t>
  </si>
  <si>
    <t>OPTIONS TO HELP LOWER BILL</t>
  </si>
  <si>
    <t>e6b2d283-7bf1-4833-bc19-0ed6599930f8</t>
  </si>
  <si>
    <t>5458953850</t>
  </si>
  <si>
    <t>DID TALK TO ROMINA LYNDH IS ON P-A MAILED E3</t>
  </si>
  <si>
    <t>4c991d38-9468-403f-bd5f-9f59c1c61612</t>
  </si>
  <si>
    <t>P3</t>
  </si>
  <si>
    <t>cdb9c6dc-4dfb-43a0-8223-369bc9ca7751</t>
  </si>
  <si>
    <t>3161149182</t>
  </si>
  <si>
    <t>d32963b7-8354-434b-8421-567a28cd3eea</t>
  </si>
  <si>
    <t>2482408877</t>
  </si>
  <si>
    <t>CURRENT ON ACT LEFT VM</t>
  </si>
  <si>
    <t>9a24216d-97b3-4486-a2ce-e87f0f807503</t>
  </si>
  <si>
    <t>2594531000</t>
  </si>
  <si>
    <t>64db40d6-6d48-4a09-a148-2cccb8cd870e</t>
  </si>
  <si>
    <t>2001860000</t>
  </si>
  <si>
    <t>363ca736-473b-4072-acbf-a0def34a3f38</t>
  </si>
  <si>
    <t>7224390000</t>
  </si>
  <si>
    <t>6a79144a-31ea-4e0d-be63-19da6405550a</t>
  </si>
  <si>
    <t>3066285596</t>
  </si>
  <si>
    <t>8228def0-742d-43a3-8872-f8ee50bf95ff</t>
  </si>
  <si>
    <t>0436289551</t>
  </si>
  <si>
    <t>0c5f4d28-5ad8-4afc-9cc1-cf3ec90943c3</t>
  </si>
  <si>
    <t>3375784078</t>
  </si>
  <si>
    <t>BETTER PLAN TIME OF USE WITH DEMAND</t>
  </si>
  <si>
    <t>f9df8c9e-a074-405c-8a68-c396bdac8c73</t>
  </si>
  <si>
    <t>5531290000</t>
  </si>
  <si>
    <t>PENDING STOP OF SERVICES FOR 1/7/25</t>
  </si>
  <si>
    <t>79331cc1-c9e8-4e8e-8c82-ae162da8effd</t>
  </si>
  <si>
    <t>0406230633</t>
  </si>
  <si>
    <t>PENDING STOP OF SERVICES FOR 1/23/26</t>
  </si>
  <si>
    <t>f7bc2fbc-e085-4a4d-8387-b44a91a47680</t>
  </si>
  <si>
    <t>3081131103</t>
  </si>
  <si>
    <t>3e5ccecf-07ec-4309-a07b-fc22817a651f</t>
  </si>
  <si>
    <t>5447681797</t>
  </si>
  <si>
    <t>TIME OF USE WITH DEMAND</t>
  </si>
  <si>
    <t>3e086a89-a6d9-4ede-90a3-a0866ec6af0f</t>
  </si>
  <si>
    <t>6651244518</t>
  </si>
  <si>
    <t>fd61f51e-cdb0-4f87-87c2-eba6b58657be</t>
  </si>
  <si>
    <t>6906826313</t>
  </si>
  <si>
    <t>STILL NOT FOR RATE INCREASE</t>
  </si>
  <si>
    <t>48e597db-bc4b-4add-8a0b-2310ab867e11</t>
  </si>
  <si>
    <t>4171727671</t>
  </si>
  <si>
    <t>5008d817-06de-4976-883c-0860a6b9bed8</t>
  </si>
  <si>
    <t>3389991021</t>
  </si>
  <si>
    <t>ACCT IS CURRENT .NO E3</t>
  </si>
  <si>
    <t>e04f76ab-f682-4659-85bf-00d032062dbe</t>
  </si>
  <si>
    <t>5316089188</t>
  </si>
  <si>
    <t>IS ON PAYMENT ARRANGEMENT</t>
  </si>
  <si>
    <t>1ec4e632-96ec-44ac-9734-7f43f23990e6</t>
  </si>
  <si>
    <t>1450385073</t>
  </si>
  <si>
    <t>1f6739ef-190b-40d9-b095-c64a949f5126</t>
  </si>
  <si>
    <t>2646435979</t>
  </si>
  <si>
    <t>bcdfd78a-bb18-4ee2-bb78-a0db52706928</t>
  </si>
  <si>
    <t>9503447476</t>
  </si>
  <si>
    <t>CLOSED ACCT 10/27/25</t>
  </si>
  <si>
    <t>36487579-efa7-477b-a769-f3d821004991</t>
  </si>
  <si>
    <t>6338318391</t>
  </si>
  <si>
    <t>WILL REVIEW THEN CB TO MAKE CHANGES TO ACT</t>
  </si>
  <si>
    <t>5c975a95-1b19-41b0-9ea7-bfc62a54e7c2</t>
  </si>
  <si>
    <t>6407918651</t>
  </si>
  <si>
    <t>WILL APPLY ON LINE FOR E-3</t>
  </si>
  <si>
    <t>c151fd6b-29e3-41ab-ad33-7c725b5388e1</t>
  </si>
  <si>
    <t>2792050000</t>
  </si>
  <si>
    <t>3448a361-2c06-49d2-ae9c-28f68015552a</t>
  </si>
  <si>
    <t>4078611000</t>
  </si>
  <si>
    <t>3ad2ea30-9bba-4594-be54-4e4887f2971a</t>
  </si>
  <si>
    <t>7903115868</t>
  </si>
  <si>
    <t>ca777bdc-088b-40da-87d4-a9f97f14cc44</t>
  </si>
  <si>
    <t>5307870697</t>
  </si>
  <si>
    <t>f0157344-83c3-4868-b6b1-21a1a0697047</t>
  </si>
  <si>
    <t>9738841000</t>
  </si>
  <si>
    <t>55c416c6-ba94-4894-9fc4-6971ad9f8984</t>
  </si>
  <si>
    <t>9539410000</t>
  </si>
  <si>
    <t>1aebcd33-7102-43b8-89e1-3c50e8b21808</t>
  </si>
  <si>
    <t>6543951000</t>
  </si>
  <si>
    <t>0174632e-6482-4739-8256-4cda96e1485e</t>
  </si>
  <si>
    <t>4762621000</t>
  </si>
  <si>
    <t>d9369802-c979-4605-a3f1-bea1f5328880</t>
  </si>
  <si>
    <t>4057076823</t>
  </si>
  <si>
    <t>BETTER RATE TIME OF USE WITH DEMAND</t>
  </si>
  <si>
    <t>b3a47de2-7c57-475b-864c-7f4c0b5688dd</t>
  </si>
  <si>
    <t>2725650087</t>
  </si>
  <si>
    <t>350c7c6c-a68d-424a-b931-c843c4ea4fbf</t>
  </si>
  <si>
    <t>5427869471</t>
  </si>
  <si>
    <t>d1336b4b-2b42-4135-858c-b85edd5c0058</t>
  </si>
  <si>
    <t>4855301000</t>
  </si>
  <si>
    <t>ada50c68-2b1a-4f1e-92b6-31724ba91d26</t>
  </si>
  <si>
    <t>4797590000</t>
  </si>
  <si>
    <t>666b126d-6649-4441-b176-371e7ca05d3d</t>
  </si>
  <si>
    <t>8253620000</t>
  </si>
  <si>
    <t>2ND TIME LEAVING V-M</t>
  </si>
  <si>
    <t>02eaa883-d3f0-4607-9bd1-84cffb3682d7</t>
  </si>
  <si>
    <t>0352210000</t>
  </si>
  <si>
    <t>5553725f-bc24-426a-aa3c-527a124f1556</t>
  </si>
  <si>
    <t>1507948531</t>
  </si>
  <si>
    <t>cf60d176-25f0-48cd-91bf-66e27aaf0046</t>
  </si>
  <si>
    <t>5816055793</t>
  </si>
  <si>
    <t>2d73170d-610e-478e-838f-991d109ab980</t>
  </si>
  <si>
    <t>2271888532</t>
  </si>
  <si>
    <t>DOUBLE IN SPREAD SHEET</t>
  </si>
  <si>
    <t>a442b1c3-49fc-4f51-aaeb-571275eed93b</t>
  </si>
  <si>
    <t>3505651000</t>
  </si>
  <si>
    <t>ACT HAS 2 SERVICES ADDRESS</t>
  </si>
  <si>
    <t>1a54786b-b80c-4153-90a5-483446a5de57</t>
  </si>
  <si>
    <t>2990380000</t>
  </si>
  <si>
    <t>6737b3ad-c9da-4d1e-a6b1-25eb41562a4d</t>
  </si>
  <si>
    <t>1678080000</t>
  </si>
  <si>
    <t>c55ec006-4f99-4747-be4f-f337b9e350bd</t>
  </si>
  <si>
    <t>3470156203</t>
  </si>
  <si>
    <t>cd6bbfd3-2150-4a2a-b0e0-3bbbcc8142b5</t>
  </si>
  <si>
    <t>7004974298</t>
  </si>
  <si>
    <t>WILL CB NEXT  WEEK</t>
  </si>
  <si>
    <t>a9373c31-fd91-4dae-855b-b2a0950bc1f8</t>
  </si>
  <si>
    <t>6238748397</t>
  </si>
  <si>
    <t>RATE CHANGE</t>
  </si>
  <si>
    <t>84faa266-7dc5-4fc5-826e-15518c76435d</t>
  </si>
  <si>
    <t>0591010000</t>
  </si>
  <si>
    <t>HUNG UP</t>
  </si>
  <si>
    <t>5af6e25f-b34c-4bc1-9cb1-eec88f340aee</t>
  </si>
  <si>
    <t>6711360000</t>
  </si>
  <si>
    <t>STREETLIGHT ISSUE REPORTED</t>
  </si>
  <si>
    <t>b9109544-8fef-41d0-8528-91411a595d54</t>
  </si>
  <si>
    <t>5070041000</t>
  </si>
  <si>
    <t>INFO ON E3</t>
  </si>
  <si>
    <t>200734f2-e561-486b-8339-baa22f4f1d4e</t>
  </si>
  <si>
    <t>5334816770</t>
  </si>
  <si>
    <t>d4bfb3c7-1f1c-424b-9231-730caba0fe6e</t>
  </si>
  <si>
    <t>1845644568</t>
  </si>
  <si>
    <t>BB PROGRAM 114.00</t>
  </si>
  <si>
    <t>6de1eed4-76f3-4714-93f9-3c37ac7e1dbb</t>
  </si>
  <si>
    <t>0895261000</t>
  </si>
  <si>
    <t>DID CB TO GET ON BETER RATE ON 1/5/26</t>
  </si>
  <si>
    <t>25b4f17f-5c2f-4c02-99c9-a41e45208ab9</t>
  </si>
  <si>
    <t>6181201000</t>
  </si>
  <si>
    <t>WILL REVIEW BILL THEN CB</t>
  </si>
  <si>
    <t>60f3d981-5bc8-4c1e-b926-9b7b6d1b442a</t>
  </si>
  <si>
    <t>7382953794</t>
  </si>
  <si>
    <t>d72ce71f-f1f3-426a-89cd-244cdde22a90</t>
  </si>
  <si>
    <t>4471111000</t>
  </si>
  <si>
    <t>P2</t>
  </si>
  <si>
    <t>04b1bcf7-4402-4d1d-ada3-2e4e4948901a</t>
  </si>
  <si>
    <t>3744670000</t>
  </si>
  <si>
    <t>ae3cbc08-142b-455e-831f-ca3cde61d582</t>
  </si>
  <si>
    <t>3336741000</t>
  </si>
  <si>
    <t>5083df97-5c0e-47d0-bc5d-9dd65ebfdb44</t>
  </si>
  <si>
    <t>7165151000</t>
  </si>
  <si>
    <t>66f797b0-c9e4-4cfe-b130-17dcc1159719</t>
  </si>
  <si>
    <t>9880461000</t>
  </si>
  <si>
    <t>25031803-0f19-4926-a0a9-7641694ee6b9</t>
  </si>
  <si>
    <t>6651201000</t>
  </si>
  <si>
    <t>523ebe25-81cd-4df8-ae60-3571b6cf8fd4</t>
  </si>
  <si>
    <t>0139488954</t>
  </si>
  <si>
    <t>261e0bdd-aabe-42de-ba7d-204f120df422</t>
  </si>
  <si>
    <t>1232541000</t>
  </si>
  <si>
    <t>edb60d18-9c31-45b3-9c64-43c301bd5930</t>
  </si>
  <si>
    <t>8223980000</t>
  </si>
  <si>
    <t>3e57953a-b163-4b19-b0b8-f7b336c2c864</t>
  </si>
  <si>
    <t>4625460000</t>
  </si>
  <si>
    <t>dbe3e49e-ed2a-4378-a3d1-24a6c35b2350</t>
  </si>
  <si>
    <t>9969975926</t>
  </si>
  <si>
    <t>46f0e9e9-1f2e-4ca7-9fc7-31c6df7a475d</t>
  </si>
  <si>
    <t>4337494792</t>
  </si>
  <si>
    <t>3aed79af-b615-44c5-b6b2-cf4d7a61d465</t>
  </si>
  <si>
    <t>7508640000</t>
  </si>
  <si>
    <t>5e4c94c6-f22b-4b8e-aa1d-4bc64a59a5e0</t>
  </si>
  <si>
    <t>3985375594</t>
  </si>
  <si>
    <t>e9b61ef9-4e5b-482c-b618-e445e0acceae</t>
  </si>
  <si>
    <t>1370585483</t>
  </si>
  <si>
    <t>2d650adc-b9ed-4f42-bf7d-2bfa44912446</t>
  </si>
  <si>
    <t>6237080000</t>
  </si>
  <si>
    <t>62420588-fdd7-4854-a27b-27ea1114aed5</t>
  </si>
  <si>
    <t>1176780126</t>
  </si>
  <si>
    <t>182b26d0-26f8-415c-b0cd-55ede4d15967</t>
  </si>
  <si>
    <t>7607661000</t>
  </si>
  <si>
    <t>7b8bc54d-9128-4993-baaf-43c8c4dc54c9</t>
  </si>
  <si>
    <t>8776414251</t>
  </si>
  <si>
    <t>537c55f8-b316-4348-9f7d-ce2e75f228b1</t>
  </si>
  <si>
    <t>7912130000</t>
  </si>
  <si>
    <t>f9f9f256-87df-4536-89a5-f8928f8a826e</t>
  </si>
  <si>
    <t>5377231000</t>
  </si>
  <si>
    <t>74922f4a-1590-45e3-be06-7eb0cf40facf</t>
  </si>
  <si>
    <t>3540008359</t>
  </si>
  <si>
    <t>9fe215c4-5f8b-42f8-b4bc-ea6e739b335c</t>
  </si>
  <si>
    <t>3498941000</t>
  </si>
  <si>
    <t>e64cbe95-6d4c-4b14-bae3-ca668ca9d9f6</t>
  </si>
  <si>
    <t>8807453315</t>
  </si>
  <si>
    <t>cc16b793-34af-4740-8d37-c3e18b6af464</t>
  </si>
  <si>
    <t>5578697625</t>
  </si>
  <si>
    <t>19a97a05-231e-46a8-9943-8ec02bc060be</t>
  </si>
  <si>
    <t>1511021000</t>
  </si>
  <si>
    <t>f4ac31cf-8e20-44bd-9e13-28588320360b</t>
  </si>
  <si>
    <t>2146811000</t>
  </si>
  <si>
    <t>f2e217ae-9b9e-48bf-8508-d14eaef6979e</t>
  </si>
  <si>
    <t>6336530000</t>
  </si>
  <si>
    <t>39b0154b-f2aa-4ddc-8efe-e8457bd48049</t>
  </si>
  <si>
    <t>5696755909</t>
  </si>
  <si>
    <t>8855543d-1746-499c-b875-1a163b77db8d</t>
  </si>
  <si>
    <t>8552949923</t>
  </si>
  <si>
    <t>61dc9501-fba6-4d1d-a429-6d7b43a85cfb</t>
  </si>
  <si>
    <t>2225101000</t>
  </si>
  <si>
    <t>8e98856e-a0c8-483f-bf7f-3c83501b037c</t>
  </si>
  <si>
    <t>3835027127</t>
  </si>
  <si>
    <t>948fb642-6939-4ec2-9d4d-2cd38d237b44</t>
  </si>
  <si>
    <t>7717350000</t>
  </si>
  <si>
    <t>4d533814-4807-4180-ba15-ffecaebdcc20</t>
  </si>
  <si>
    <t>9780090000</t>
  </si>
  <si>
    <t>051d78e2-ed3a-4230-80ce-4b7086c70cdb</t>
  </si>
  <si>
    <t>3156865214</t>
  </si>
  <si>
    <t>8d108e4a-7cad-4b58-b52c-60b411c90052</t>
  </si>
  <si>
    <t>9059000000</t>
  </si>
  <si>
    <t>7337f6a6-f40d-4e40-9031-00463c2146a5</t>
  </si>
  <si>
    <t>9393011000</t>
  </si>
  <si>
    <t>97d4d3d0-716f-44ee-ae3f-08540c2b7a91</t>
  </si>
  <si>
    <t>1348524311</t>
  </si>
  <si>
    <t>63ff4ec8-c969-4f7f-a691-7bef802a1937</t>
  </si>
  <si>
    <t>3529182418</t>
  </si>
  <si>
    <t>8ef84f77-0a2e-4c30-9af5-713ae2d1ca71</t>
  </si>
  <si>
    <t>9614631000</t>
  </si>
  <si>
    <t>35604a73-5433-4262-8b8d-2786fe550480</t>
  </si>
  <si>
    <t>2249152989</t>
  </si>
  <si>
    <t>60df5776-9852-458f-bd40-9cb9988418fc</t>
  </si>
  <si>
    <t>5031931000</t>
  </si>
  <si>
    <t>3e6c1d4e-468d-4808-b4f9-ed9ac696816c</t>
  </si>
  <si>
    <t>2197965965</t>
  </si>
  <si>
    <t>7f90b285-c49f-450f-b9d0-df444124c4ea</t>
  </si>
  <si>
    <t>3984073978</t>
  </si>
  <si>
    <t>631f6f50-4c94-426a-83e9-4fac726651fc</t>
  </si>
  <si>
    <t>9987316691</t>
  </si>
  <si>
    <t>a1809813-82b8-408c-8561-3fd2ebf0e114</t>
  </si>
  <si>
    <t>6643300000</t>
  </si>
  <si>
    <t>01a851e8-2bdb-435a-88bf-b0ebcdef1760</t>
  </si>
  <si>
    <t>2382490000</t>
  </si>
  <si>
    <t>a140eb63-2129-49bb-9dbb-7d83e976c567</t>
  </si>
  <si>
    <t>6088988776</t>
  </si>
  <si>
    <t>e63b3b4b-d7d4-473d-8246-5e5cfcb77625</t>
  </si>
  <si>
    <t>9989951000</t>
  </si>
  <si>
    <t>cea3e0e5-dc0d-4257-ba92-c9229d8197ca</t>
  </si>
  <si>
    <t>7553261000</t>
  </si>
  <si>
    <t>6579f3c8-d3c7-43b1-a02a-f298b5514a77</t>
  </si>
  <si>
    <t>4408511000</t>
  </si>
  <si>
    <t>b0411241-1296-4adc-ab1b-b082354bb73e</t>
  </si>
  <si>
    <t>4206800000</t>
  </si>
  <si>
    <t>5dd706f5-e467-4469-8c49-da52fe4e12b5</t>
  </si>
  <si>
    <t>8374031000</t>
  </si>
  <si>
    <t>0b1f5d34-2f82-49c5-b39a-5bfe39bd33bf</t>
  </si>
  <si>
    <t>1490131000</t>
  </si>
  <si>
    <t>d6ba1851-0fde-4f53-a0ac-bbedf32f9ba3</t>
  </si>
  <si>
    <t>1985520000</t>
  </si>
  <si>
    <t>6cc85191-c61d-4684-8a73-17b9b63dc614</t>
  </si>
  <si>
    <t>3841761035</t>
  </si>
  <si>
    <t>2a644c97-cd5f-4db5-8824-7b207ec5e13e</t>
  </si>
  <si>
    <t>3107890000</t>
  </si>
  <si>
    <t>cfa8b325-4cfa-4ff4-9177-391aaa3f7c35</t>
  </si>
  <si>
    <t>1235903059</t>
  </si>
  <si>
    <t>a72d8098-e4a1-487b-a33d-c014f0813983</t>
  </si>
  <si>
    <t>7949331000</t>
  </si>
  <si>
    <t>f137c20e-df37-4f47-a1ac-33b537d29b50</t>
  </si>
  <si>
    <t>73064220000</t>
  </si>
  <si>
    <t>72132084-46df-4c01-9403-b27d02f01634</t>
  </si>
  <si>
    <t>8043001000</t>
  </si>
  <si>
    <t>SET UP BB $123</t>
  </si>
  <si>
    <t>08196272-19f9-4a25-b954-fe4986a12a34</t>
  </si>
  <si>
    <t>8701977261</t>
  </si>
  <si>
    <t>0e3416c7-d9c8-4caa-9540-48805e140287</t>
  </si>
  <si>
    <t>3208550000</t>
  </si>
  <si>
    <t>cbfdfa5d-0156-40a3-987a-082bf2563446</t>
  </si>
  <si>
    <t>4748252186</t>
  </si>
  <si>
    <t>b94ce562-dd04-4809-8339-fbdff84e03b3</t>
  </si>
  <si>
    <t>6497921796</t>
  </si>
  <si>
    <t>4553b955-505b-4b27-8420-72320e8f6d96</t>
  </si>
  <si>
    <t>1880001294</t>
  </si>
  <si>
    <t>VM NOT SET UP</t>
  </si>
  <si>
    <t>1103d2dd-9836-445c-8ff5-f6c9541a5748</t>
  </si>
  <si>
    <t>5579377804</t>
  </si>
  <si>
    <t>7b37cea0-e429-430e-b422-bb5b1f78dfe5</t>
  </si>
  <si>
    <t>5786437888</t>
  </si>
  <si>
    <t>b8b3eca0-2f69-4740-a875-25cc1961b0f1</t>
  </si>
  <si>
    <t>8125471475</t>
  </si>
  <si>
    <t>23595514-b704-4596-af6d-b91e574f4bce</t>
  </si>
  <si>
    <t>3727344076</t>
  </si>
  <si>
    <t>ab3347bc-16eb-414b-98cc-6a1adaad714f</t>
  </si>
  <si>
    <t>0491835909</t>
  </si>
  <si>
    <t>e5bf7d91-77f0-45a1-9e64-71931ccc6624</t>
  </si>
  <si>
    <t>6157060000</t>
  </si>
  <si>
    <t>NO VM OPTION</t>
  </si>
  <si>
    <t>12bfeca5-934e-46ad-b113-a730a54874c8</t>
  </si>
  <si>
    <t>8069970000</t>
  </si>
  <si>
    <t>261a0833-3c8a-453f-a3af-786470107fbb</t>
  </si>
  <si>
    <t>9186920000</t>
  </si>
  <si>
    <t>54b520cd-eaaf-4184-a8d7-a2fa6ae8244e</t>
  </si>
  <si>
    <t>2491806502</t>
  </si>
  <si>
    <t>ACCT IS ON P-A NO E3 OR MED</t>
  </si>
  <si>
    <t>28672d64-2e04-4276-a2ab-76c4f04e5512</t>
  </si>
  <si>
    <t>0573685084</t>
  </si>
  <si>
    <t>b5457d81-e2a6-4a15-aa22-ff9c19593069</t>
  </si>
  <si>
    <t>6014831000</t>
  </si>
  <si>
    <t>ACCT IS CURRENT .NO E3  LEFT VM</t>
  </si>
  <si>
    <t>47da1a14-a305-4b24-bc35-38e814fa58b1</t>
  </si>
  <si>
    <t>3392630000</t>
  </si>
  <si>
    <t>CHANGE PLAN TIME OF USE PLAN ACCT CURRENT</t>
  </si>
  <si>
    <t>be2897d3-d290-42fa-b8cc-dab16ad952e4</t>
  </si>
  <si>
    <t>4978619668</t>
  </si>
  <si>
    <t>WILL CB TO REVIEW OPTIONS TO LOWER BILL</t>
  </si>
  <si>
    <t>f3b79843-5569-4e76-898a-fbdf29022547</t>
  </si>
  <si>
    <t>5392330000</t>
  </si>
  <si>
    <t>CONTACT # NEEDS TO BE UPDATED ON ACCT</t>
  </si>
  <si>
    <t>e812672e-02b1-47f2-b1ca-6cd6836fb004</t>
  </si>
  <si>
    <t>5085875679</t>
  </si>
  <si>
    <t>60b51c70-1af4-4a59-8b06-0752ffe7ad58</t>
  </si>
  <si>
    <t>2400731000</t>
  </si>
  <si>
    <t>AGENCYS #S TO ASSIST WITH BILL</t>
  </si>
  <si>
    <t>3ec6e6d7-2555-4b5c-844d-3b44f33795fc</t>
  </si>
  <si>
    <t>7304972242</t>
  </si>
  <si>
    <t>E-3 BB PROGRAM</t>
  </si>
  <si>
    <t>8ea50fdf-7344-486c-8f89-7a89a4e1ba28</t>
  </si>
  <si>
    <t>6829562710</t>
  </si>
  <si>
    <t>ee4eceaa-1b8d-48ce-b5a9-42dfb9dd3769</t>
  </si>
  <si>
    <t>9543902054</t>
  </si>
  <si>
    <t>621f16d4-21be-4139-8423-ca5c3ea9f3ec</t>
  </si>
  <si>
    <t>8709456718</t>
  </si>
  <si>
    <t>OFFER OPTION TO LOWER BILL E3 --SOLAR ACCT</t>
  </si>
  <si>
    <t>219069a6-f0f9-4324-93cb-5bf420c2d373</t>
  </si>
  <si>
    <t>6473321000</t>
  </si>
  <si>
    <t>bce00396-c0cd-4dfd-a639-1edb29bc7de7</t>
  </si>
  <si>
    <t>7319203567</t>
  </si>
  <si>
    <t>CORE WAS PROVIDED WITH AGENCYS #</t>
  </si>
  <si>
    <t>d28753c3-31ba-4cb5-ab3a-49b812f2c3b6</t>
  </si>
  <si>
    <t>3647741244</t>
  </si>
  <si>
    <t>bb958e37-8900-443e-9e9c-d2e09f88bfe5</t>
  </si>
  <si>
    <t>4506338330</t>
  </si>
  <si>
    <t>E3</t>
  </si>
  <si>
    <t>8ac3dfb3-4e89-4659-8cfb-07c45e00f499</t>
  </si>
  <si>
    <t>6780889797</t>
  </si>
  <si>
    <t>SOLAR ACCT GRANDFATHER  PLAN 9-9</t>
  </si>
  <si>
    <t>3c7631c1-b843-49a8-a6a2-f208e77dc2ef</t>
  </si>
  <si>
    <t>3898390000</t>
  </si>
  <si>
    <t>3ddad316-d95d-4080-8d4d-f1d622938414</t>
  </si>
  <si>
    <t>7114840000</t>
  </si>
  <si>
    <t>a99edf26-8de3-42c9-a0df-889557136aea</t>
  </si>
  <si>
    <t>8823390000</t>
  </si>
  <si>
    <t>25904531-9a04-4ab5-9349-894c2238d811</t>
  </si>
  <si>
    <t>3425146909</t>
  </si>
  <si>
    <t>6abbf880-dc4b-45de-8474-8ac1ed549831</t>
  </si>
  <si>
    <t>2146939294</t>
  </si>
  <si>
    <t>28cd3c92-ee70-4e80-b449-89a3de2831b5</t>
  </si>
  <si>
    <t>1254845445</t>
  </si>
  <si>
    <t>89d4c389-ac12-451f-8fc7-84956a1bac57</t>
  </si>
  <si>
    <t>2894811000</t>
  </si>
  <si>
    <t>ff9e003a-8015-4256-a136-ff3574cfd8f9</t>
  </si>
  <si>
    <t>6812133768</t>
  </si>
  <si>
    <t>11d41555-4733-4390-b9f3-7fed772710c6</t>
  </si>
  <si>
    <t>9193700000</t>
  </si>
  <si>
    <t>244f93c9-8dda-463a-b5f5-f779a46762d1</t>
  </si>
  <si>
    <t>2946131433</t>
  </si>
  <si>
    <t>a104596e-e51c-4968-9619-15a7ac69fb73</t>
  </si>
  <si>
    <t>8584354754</t>
  </si>
  <si>
    <t>00ba3a58-a4ac-4e09-bf8e-7d3e27ed11ad</t>
  </si>
  <si>
    <t>8774200000</t>
  </si>
  <si>
    <t>ebc91168-1083-4d9d-84d2-3e4c7f81d04b</t>
  </si>
  <si>
    <t>1293888411</t>
  </si>
  <si>
    <t>aaf86b4f-2b15-4bad-9d8d-3dfa1d4dedaf</t>
  </si>
  <si>
    <t>3587630000</t>
  </si>
  <si>
    <t>24225441-3789-47f4-a9c5-adea56763618</t>
  </si>
  <si>
    <t>6124887026</t>
  </si>
  <si>
    <t>02784284-e7f3-462a-9797-b9e65e44f749</t>
  </si>
  <si>
    <t>2138130000</t>
  </si>
  <si>
    <t>9ea7d417-f7d6-46f3-b6e6-40cabba9c743</t>
  </si>
  <si>
    <t>4236731000</t>
  </si>
  <si>
    <t>c234d8d4-1c1e-4cb5-879a-e896da275e0b</t>
  </si>
  <si>
    <t>0223345291</t>
  </si>
  <si>
    <t>94384d97-3164-47a3-a9e2-0282e04fe713</t>
  </si>
  <si>
    <t>5900820000</t>
  </si>
  <si>
    <t>d7a29b6f-3c2d-4de5-9f77-d9f4f5f24479</t>
  </si>
  <si>
    <t>1569851000</t>
  </si>
  <si>
    <t>fe6074c7-ac62-44a1-9bdd-48cd841cc020</t>
  </si>
  <si>
    <t>7413433376</t>
  </si>
  <si>
    <t>a859c1e4-6216-401d-9c05-f30e0b81dec3</t>
  </si>
  <si>
    <t>7397110970</t>
  </si>
  <si>
    <t>85429aea-3be2-4847-8da9-ac55c7a8b117</t>
  </si>
  <si>
    <t>5288831000</t>
  </si>
  <si>
    <t>UNHAPPY W/ RATE CASE</t>
  </si>
  <si>
    <t>ec4d1a01-383f-40ae-9776-78f90374c618</t>
  </si>
  <si>
    <t>8714231000</t>
  </si>
  <si>
    <t>LEFT VM, ON BEST PLAN, NOT ON BB, NOT E-3</t>
  </si>
  <si>
    <t>108f7514-f030-473b-8a16-7cafb2bac2db</t>
  </si>
  <si>
    <t>3007031000</t>
  </si>
  <si>
    <t>DID NOT WANT TO SPEAK WITH ME AND HUNG UP</t>
  </si>
  <si>
    <t>c05d3373-612e-443e-8a96-c2d28bc9895a</t>
  </si>
  <si>
    <t>8025299133</t>
  </si>
  <si>
    <t>78c45197-f7ea-438d-b456-9ed617ac4e99</t>
  </si>
  <si>
    <t>7501590000</t>
  </si>
  <si>
    <t>PHONE WAS PICKED UP AND HUNG UP</t>
  </si>
  <si>
    <t>2e0a759d-e681-4a78-bcd5-8c0b1c070227</t>
  </si>
  <si>
    <t>4707610000</t>
  </si>
  <si>
    <t>e546038a-b9a0-467f-a5b8-b2ec8e66653a</t>
  </si>
  <si>
    <t>1164092226</t>
  </si>
  <si>
    <t>LEFT VM, NOT ON BEST PLAN, NOT BB, NOT E-3</t>
  </si>
  <si>
    <t>b1a05749-9234-490f-9a10-2aacf818fd1e</t>
  </si>
  <si>
    <t>9558930000</t>
  </si>
  <si>
    <t>8215d934-0321-46f0-b938-ee56c8163be6</t>
  </si>
  <si>
    <t>7633370000</t>
  </si>
  <si>
    <t>44128d7d-dede-457d-bf5e-e19bf37cdacc</t>
  </si>
  <si>
    <t>3736855436</t>
  </si>
  <si>
    <t>bca7c4d4-3157-4fc8-ad46-5ee38c286ce4</t>
  </si>
  <si>
    <t>4285810000</t>
  </si>
  <si>
    <t>a5c17876-4af6-4cac-b32c-407f026616a9</t>
  </si>
  <si>
    <t>2721067262</t>
  </si>
  <si>
    <t>18107dde-320f-468f-ac24-05c5beecdf18</t>
  </si>
  <si>
    <t>5237011424</t>
  </si>
  <si>
    <t>4365ebbe-af2f-40dc-a7bf-26ef6a841062</t>
  </si>
  <si>
    <t>6062541000</t>
  </si>
  <si>
    <t>e677aae7-0d82-44dc-8bd8-b70d1c52ee53</t>
  </si>
  <si>
    <t>7846277073</t>
  </si>
  <si>
    <t>2a8c1e69-0637-488a-99f4-f02023828be1</t>
  </si>
  <si>
    <t>7692260000</t>
  </si>
  <si>
    <t>8e6eb72a-b05d-438c-9a64-6c195add490d</t>
  </si>
  <si>
    <t>1113187095</t>
  </si>
  <si>
    <t>60ef286e-1038-4e8b-90a6-88d0e549a08f</t>
  </si>
  <si>
    <t>7245245699</t>
  </si>
  <si>
    <t>f1169750-8138-484f-bb8e-f6357c0f690e</t>
  </si>
  <si>
    <t>9937021000</t>
  </si>
  <si>
    <t>4de6e8af-2ba4-44bc-9a69-f359d6e4a92d</t>
  </si>
  <si>
    <t>7949496672</t>
  </si>
  <si>
    <t>bac3d31c-ba4b-4ba7-b200-1efb3b6e9595</t>
  </si>
  <si>
    <t>8712521000</t>
  </si>
  <si>
    <t>338a081e-136a-4a8b-a7db-fe0346d59964</t>
  </si>
  <si>
    <t>2584149193</t>
  </si>
  <si>
    <t>ba2b2812-cbdb-4762-93dd-911143783987</t>
  </si>
  <si>
    <t>0814350000</t>
  </si>
  <si>
    <t>d0e53551-0c16-4128-950b-356abea4c662</t>
  </si>
  <si>
    <t>4676231000</t>
  </si>
  <si>
    <t>ed1e7632-7bea-4ae4-b773-ec75e7724ac8</t>
  </si>
  <si>
    <t>6570141000</t>
  </si>
  <si>
    <t>f849406e-0489-4e80-a20c-e827e90f1034</t>
  </si>
  <si>
    <t>7850451000</t>
  </si>
  <si>
    <t>453d215b-9117-476e-8bb3-6dfc3098780d</t>
  </si>
  <si>
    <t>7115261000</t>
  </si>
  <si>
    <t>c9c59b0c-d69b-4da3-8aea-6530a5ee4f71</t>
  </si>
  <si>
    <t>2773271262</t>
  </si>
  <si>
    <t>5bea7014-d567-42a8-88b2-f3a8a0b9365c</t>
  </si>
  <si>
    <t>9091172317</t>
  </si>
  <si>
    <t>2d2bd9b6-f559-4170-92b1-b5b79e45851d</t>
  </si>
  <si>
    <t>3411891368</t>
  </si>
  <si>
    <t>1b9b2736-2942-4f6c-b1f3-f53ed2e51c3d</t>
  </si>
  <si>
    <t>26172433356</t>
  </si>
  <si>
    <t>5fca48bf-a4f8-4cbe-aca1-3fdc3f0a7f45</t>
  </si>
  <si>
    <t>4242991952</t>
  </si>
  <si>
    <t>2533faff-69bc-49af-b144-eff2c2117d4e</t>
  </si>
  <si>
    <t>95c05d60-8d4f-4d4b-a14f-461263e0738a</t>
  </si>
  <si>
    <t>2371502355</t>
  </si>
  <si>
    <t>daf2e1a1-f4f4-49fe-855b-a84345b56c85</t>
  </si>
  <si>
    <t>4056801020</t>
  </si>
  <si>
    <t>3866eb51-d9ac-4dfc-b6b9-8a1e63c4e3e9</t>
  </si>
  <si>
    <t>6322573684</t>
  </si>
  <si>
    <t>dd290fa7-3737-49df-b03c-41eb4d8a84f8</t>
  </si>
  <si>
    <t>6460103590</t>
  </si>
  <si>
    <t>2a33ef41-4466-4105-b236-efbf7c44ba93</t>
  </si>
  <si>
    <t>4452990070</t>
  </si>
  <si>
    <t>ea4cbdfe-9c5b-47ee-9c33-e6854779bd78</t>
  </si>
  <si>
    <t>8999251000</t>
  </si>
  <si>
    <t>963d5597-32c5-4470-9019-fc2b178f6844</t>
  </si>
  <si>
    <t>1750915214</t>
  </si>
  <si>
    <t>94675e51-00f3-4c1d-b943-0dbd01be80a3</t>
  </si>
  <si>
    <t>4133921000</t>
  </si>
  <si>
    <t>614bfd61-94f7-4830-9337-1e56bf87e02c</t>
  </si>
  <si>
    <t>2806465032</t>
  </si>
  <si>
    <t>42550b5d-0260-4832-b257-d1cae2e9d5be</t>
  </si>
  <si>
    <t>4871279597</t>
  </si>
  <si>
    <t>add20cb6-7717-4d8d-bebe-28660ea31da2</t>
  </si>
  <si>
    <t>5172470768</t>
  </si>
  <si>
    <t>fd971ae4-4754-4ee1-b6b5-00da4a5e7387</t>
  </si>
  <si>
    <t>6354570000</t>
  </si>
  <si>
    <t>ebc83dec-bac9-4768-982c-ec394b1097e0</t>
  </si>
  <si>
    <t>1541553890</t>
  </si>
  <si>
    <t>79a0f300-2467-4dff-86ed-e128a4a82c05</t>
  </si>
  <si>
    <t>9149301000</t>
  </si>
  <si>
    <t>4431fc87-f469-4a22-b93b-8359c6b493a7</t>
  </si>
  <si>
    <t>8789670000</t>
  </si>
  <si>
    <t>3623f514-998d-48c0-b5a6-b5a8e43cb97a</t>
  </si>
  <si>
    <t>4665180000</t>
  </si>
  <si>
    <t>f5392e33-6b7d-43f7-98b6-afcb1b325c5b</t>
  </si>
  <si>
    <t>9867756348</t>
  </si>
  <si>
    <t>888cae84-16c3-49ae-9cf1-7d1a2e3f940a</t>
  </si>
  <si>
    <t>4619651000</t>
  </si>
  <si>
    <t>22056b2f-b173-4356-8d27-6c9930561153</t>
  </si>
  <si>
    <t>0066499647</t>
  </si>
  <si>
    <t>c6adb2fd-c230-4051-b69b-9493f882705d</t>
  </si>
  <si>
    <t>5273951000</t>
  </si>
  <si>
    <t>SAID HE WAS GOOD</t>
  </si>
  <si>
    <t>a335404d-5ec7-4b7b-9c40-0a0fd3723021</t>
  </si>
  <si>
    <t>2204984346</t>
  </si>
  <si>
    <t>e62c786e-ff80-48a7-9e55-cfc9ea93464d</t>
  </si>
  <si>
    <t>5930390000</t>
  </si>
  <si>
    <t>WILL CALL US BACK</t>
  </si>
  <si>
    <t>85ae1f28-59a5-4aae-8c9c-0b22bee65212</t>
  </si>
  <si>
    <t>9268845654</t>
  </si>
  <si>
    <t>8f7f3f96-25aa-45fa-a1e5-63eee6f0c5db</t>
  </si>
  <si>
    <t>5872670000</t>
  </si>
  <si>
    <t>c5b7b325-bad9-4ca5-a04e-f7f34deb7aa9</t>
  </si>
  <si>
    <t>7770645738</t>
  </si>
  <si>
    <t>66a31eb6-d092-411a-b9de-8722bad5ca69</t>
  </si>
  <si>
    <t>2931588244</t>
  </si>
  <si>
    <t>0159d2c1-ba2c-4fc8-8ad3-99510da5c2b3</t>
  </si>
  <si>
    <t>5428778750</t>
  </si>
  <si>
    <t>8bd23656-8f86-4619-8149-c18a930134f9</t>
  </si>
  <si>
    <t>9593560000</t>
  </si>
  <si>
    <t>d837835e-4dbf-4819-8fd7-f4b932af9e87</t>
  </si>
  <si>
    <t>9938175305</t>
  </si>
  <si>
    <t>4d2c245e-e0b6-486f-b092-20d241330de7</t>
  </si>
  <si>
    <t>9679340000</t>
  </si>
  <si>
    <t>c81d83a6-ecaa-42f2-a742-80c66dcb0cb1</t>
  </si>
  <si>
    <t>5347487924</t>
  </si>
  <si>
    <t>806bf9cf-f065-46de-ad52-ea90aff9eaf5</t>
  </si>
  <si>
    <t>9687504618</t>
  </si>
  <si>
    <t>1e8e5c2f-25d4-4fca-ba4f-3226a00b4395</t>
  </si>
  <si>
    <t>3105621000</t>
  </si>
  <si>
    <t>0e369c25-80f6-4115-908e-62be5a229050</t>
  </si>
  <si>
    <t>49371600000</t>
  </si>
  <si>
    <t>0c7998c4-d1e3-4806-8b46-93ee1b25ae12</t>
  </si>
  <si>
    <t>4664521000</t>
  </si>
  <si>
    <t>c7db89fe-f7a4-41d0-9ea2-ef99a07c1659</t>
  </si>
  <si>
    <t>1037080000</t>
  </si>
  <si>
    <t>d5acccae-e965-46ec-8ff3-73c295136fd3</t>
  </si>
  <si>
    <t>7246270000</t>
  </si>
  <si>
    <t>fab9b7b7-542c-4c7b-861d-0b50e63bef07</t>
  </si>
  <si>
    <t>7345723859</t>
  </si>
  <si>
    <t>9d32820b-45b7-4a86-90df-2d6d6dcdff54</t>
  </si>
  <si>
    <t>9712385989</t>
  </si>
  <si>
    <t>4ba90036-2888-4d0e-81ef-ab339a284420</t>
  </si>
  <si>
    <t>6558990000</t>
  </si>
  <si>
    <t>3c5bfb0d-41bf-4fa5-bc11-b15d53ddd9b7</t>
  </si>
  <si>
    <t>8773518025</t>
  </si>
  <si>
    <t>Updated/New PA</t>
  </si>
  <si>
    <t>f30b246b-bd68-43b7-a843-ac58aab5c93c</t>
  </si>
  <si>
    <t>5425180000</t>
  </si>
  <si>
    <t>4ea5e964-ee9d-4406-a2f4-dc43e0317f92</t>
  </si>
  <si>
    <t>0726041000</t>
  </si>
  <si>
    <t>b8ff9819-ce62-465c-a68e-6b820acf822d</t>
  </si>
  <si>
    <t>2439620000</t>
  </si>
  <si>
    <t>851f8470-50fd-4023-b9e0-23707fb8187a</t>
  </si>
  <si>
    <t>0217135178</t>
  </si>
  <si>
    <t>9c0b3c9a-d583-492e-a5a2-0e415304059e</t>
  </si>
  <si>
    <t>0110711000</t>
  </si>
  <si>
    <t>8404e96a-fa13-4857-a2c0-f9a8da2d5f44</t>
  </si>
  <si>
    <t>8799324553</t>
  </si>
  <si>
    <t>67de00eb-cfdc-4729-9c8b-dcde92769a61</t>
  </si>
  <si>
    <t>0072923417</t>
  </si>
  <si>
    <t>8716e76d-0d8d-40a1-a869-025d3e0bf65b</t>
  </si>
  <si>
    <t>6591717645</t>
  </si>
  <si>
    <t>cb074cd6-6909-4ea0-9ac5-7f69f44300f4</t>
  </si>
  <si>
    <t>7297283438</t>
  </si>
  <si>
    <t>2bb4c7b2-fb7a-4f34-93f9-e140d532b89d</t>
  </si>
  <si>
    <t>8720343919</t>
  </si>
  <si>
    <t>c78b87ea-5b65-4bf7-a96d-627024e4bc6a</t>
  </si>
  <si>
    <t>7849027455</t>
  </si>
  <si>
    <t>98fd93a5-82ae-44c7-ac57-e6ed9e3573ae</t>
  </si>
  <si>
    <t>4225001000</t>
  </si>
  <si>
    <t>7f0e0ca1-5980-4c41-9a25-be8334186a2a</t>
  </si>
  <si>
    <t>3462131000</t>
  </si>
  <si>
    <t>74892b92-209a-4f7b-bb52-c3c1332261db</t>
  </si>
  <si>
    <t>9797240000</t>
  </si>
  <si>
    <t>94560e65-0bd0-4eba-9b8a-92c8b83a5729</t>
  </si>
  <si>
    <t>5733698031</t>
  </si>
  <si>
    <t>5872c72a-fedf-4c6c-bde3-9f9acb77cf95</t>
  </si>
  <si>
    <t>1391416918</t>
  </si>
  <si>
    <t>9161d476-0fa5-4743-896e-f471d9458c8c</t>
  </si>
  <si>
    <t>6626729560</t>
  </si>
  <si>
    <t>ca259da9-0729-4499-b74a-c2b4577e77f2</t>
  </si>
  <si>
    <t>6218364523</t>
  </si>
  <si>
    <t>0d6f3ab6-617d-4a66-97a0-9a8562948e7d</t>
  </si>
  <si>
    <t>3352572159</t>
  </si>
  <si>
    <t>24b41f86-8a30-4615-beb3-3ca5a6e91661</t>
  </si>
  <si>
    <t>3322263490</t>
  </si>
  <si>
    <t>d428b6e5-7441-4093-a05b-17675862c800</t>
  </si>
  <si>
    <t>6177370000</t>
  </si>
  <si>
    <t>388eccf3-a554-4208-991d-2696a8d630d4</t>
  </si>
  <si>
    <t>3066335881</t>
  </si>
  <si>
    <t>f0a19b87-8b28-4805-bed3-e489736cb468</t>
  </si>
  <si>
    <t>6430651000</t>
  </si>
  <si>
    <t>24f390c0-59ea-48ab-891d-5300ebc6b64a</t>
  </si>
  <si>
    <t>1731130049</t>
  </si>
  <si>
    <t>031cdb4a-1118-4510-8219-ffa4454d4b3c</t>
  </si>
  <si>
    <t>1370139140</t>
  </si>
  <si>
    <t>bc367bd8-15c4-4af7-a2a2-561a7fa2fe08</t>
  </si>
  <si>
    <t>3401570000</t>
  </si>
  <si>
    <t>56aee9b7-919e-4e64-b20f-569580b4456a</t>
  </si>
  <si>
    <t>4222480000</t>
  </si>
  <si>
    <t>679fd8af-cb7e-43eb-8a2d-2a2406aaf9f1</t>
  </si>
  <si>
    <t>2964440000</t>
  </si>
  <si>
    <t>b3b6dcee-8b69-41ce-82ff-5a00a88da002</t>
  </si>
  <si>
    <t>6860890000</t>
  </si>
  <si>
    <t>94261640-983a-46f9-a5ca-08148b5448fa</t>
  </si>
  <si>
    <t>5790100875</t>
  </si>
  <si>
    <t>POSITIVE WITH OPTION OFFERED TO SAVE OR LOWER BILL</t>
  </si>
  <si>
    <t>dab9300e-ea3c-4061-ac44-c18e2e094915</t>
  </si>
  <si>
    <t>7818070439</t>
  </si>
  <si>
    <t>ccd2bc0a-df3a-4525-977e-9f3104d0da4b</t>
  </si>
  <si>
    <t>7464750000</t>
  </si>
  <si>
    <t>7e876891-0304-48ca-9b68-6a0a0707f04b</t>
  </si>
  <si>
    <t>5132068013</t>
  </si>
  <si>
    <t>77a8ac7f-a3cd-44e4-834d-681d5537f54b</t>
  </si>
  <si>
    <t>3455401000</t>
  </si>
  <si>
    <t>d2153685-d2bb-41f6-ba88-15d6538aaf8b</t>
  </si>
  <si>
    <t>7983231354</t>
  </si>
  <si>
    <t>2a63b0e7-3bf0-47ee-8135-8d9b42660d00</t>
  </si>
  <si>
    <t>2243371013</t>
  </si>
  <si>
    <t>9a1ece11-ca46-4f9d-8b94-59cacafc6c7e</t>
  </si>
  <si>
    <t>9340408913</t>
  </si>
  <si>
    <t>1db5b095-c451-4134-a929-1b2f6646988f</t>
  </si>
  <si>
    <t>5986916429</t>
  </si>
  <si>
    <t>6281fe40-1084-499a-8344-44dce0c0adaf</t>
  </si>
  <si>
    <t>4425211190</t>
  </si>
  <si>
    <t>23247522-6ab6-4aba-9e6d-eb482d1a8317</t>
  </si>
  <si>
    <t>4878430000</t>
  </si>
  <si>
    <t>654b724e-2c49-40cd-b04a-8eb066699fff</t>
  </si>
  <si>
    <t>5835127577</t>
  </si>
  <si>
    <t>4a56e0ce-dcae-4835-8860-14a90e8d18a3</t>
  </si>
  <si>
    <t>6050230000</t>
  </si>
  <si>
    <t>471933ad-fc09-45d1-b995-e259d58cb8fc</t>
  </si>
  <si>
    <t>5719941000</t>
  </si>
  <si>
    <t>33adfdbb-0b88-4335-8325-7b4a0813d5fd</t>
  </si>
  <si>
    <t>3043741000</t>
  </si>
  <si>
    <t>f677006b-9e25-43b5-b2fb-83042685e74c</t>
  </si>
  <si>
    <t>7992160000</t>
  </si>
  <si>
    <t>33534333-62a9-443c-a00c-493dd340866d</t>
  </si>
  <si>
    <t>6379311000</t>
  </si>
  <si>
    <t>e7986d35-b477-4771-8887-88f06bb22003</t>
  </si>
  <si>
    <t>0843128737</t>
  </si>
  <si>
    <t>1c4aa34c-1872-4b88-a8f1-3092dc4affe5</t>
  </si>
  <si>
    <t>3675324926</t>
  </si>
  <si>
    <t>27c3f316-1b0b-44e3-ba98-f06311603294</t>
  </si>
  <si>
    <t>3143419434</t>
  </si>
  <si>
    <t>46854d24-5738-4bd8-be4b-56dfc0a48c5b</t>
  </si>
  <si>
    <t>2624811000</t>
  </si>
  <si>
    <t>6ab9d69c-eb8a-4222-bc46-6d8b8a83da79</t>
  </si>
  <si>
    <t>4290041000</t>
  </si>
  <si>
    <t>eb80934a-b03e-44db-b414-dd1de25129af</t>
  </si>
  <si>
    <t>6966001000</t>
  </si>
  <si>
    <t>a97b526c-3428-48f9-8767-b72be6ab331d</t>
  </si>
  <si>
    <t>4348840000</t>
  </si>
  <si>
    <t>35f23c7d-2c37-415a-b0db-61bfe4a5edce</t>
  </si>
  <si>
    <t>1080850989</t>
  </si>
  <si>
    <t>665ea1dc-086c-4b17-bd0a-5af876baa32a</t>
  </si>
  <si>
    <t>0364421000</t>
  </si>
  <si>
    <t>d82b8211-0641-4cad-956d-f86081263282</t>
  </si>
  <si>
    <t>2046439451</t>
  </si>
  <si>
    <t>b506f148-5bbb-40c4-b755-1a609eb09cf4</t>
  </si>
  <si>
    <t>1275245123</t>
  </si>
  <si>
    <t>ce319d5c-d17d-469d-b5ac-a6951f9a86b7</t>
  </si>
  <si>
    <t>1405160798</t>
  </si>
  <si>
    <t>8d2e770a-d35a-40cc-ac42-f63323c98679</t>
  </si>
  <si>
    <t>4130294914</t>
  </si>
  <si>
    <t>566b45cf-20e9-490d-a65c-5d62a23a0f3d</t>
  </si>
  <si>
    <t>9555640000</t>
  </si>
  <si>
    <t>d9ba6ce0-942c-432f-9069-7d5ed40541c4</t>
  </si>
  <si>
    <t>6594526342</t>
  </si>
  <si>
    <t>2c3b37df-92b6-4880-92f4-0cd6341ca9d3</t>
  </si>
  <si>
    <t>1772154718</t>
  </si>
  <si>
    <t>3be3ea13-0594-482c-8798-3f70050ffca2</t>
  </si>
  <si>
    <t>7135590000</t>
  </si>
  <si>
    <t>6750cbe0-2ad4-4ca2-a650-d8cea787e290</t>
  </si>
  <si>
    <t>3244078434</t>
  </si>
  <si>
    <t>43a326fb-5925-42ee-9b1f-1135cd0dc066</t>
  </si>
  <si>
    <t>8166327537</t>
  </si>
  <si>
    <t>b31fc68a-9b6b-437f-8103-61d7563351d7</t>
  </si>
  <si>
    <t>4308401000</t>
  </si>
  <si>
    <t>407de81a-afdb-4911-8146-eed9fc502942</t>
  </si>
  <si>
    <t>3485675279</t>
  </si>
  <si>
    <t>962714d3-1a81-402f-8b31-78a0fb54b95c</t>
  </si>
  <si>
    <t>1710517819</t>
  </si>
  <si>
    <t>6133fbdc-45ae-4c69-a751-0822e3cbf3a7</t>
  </si>
  <si>
    <t>0040730000</t>
  </si>
  <si>
    <t>0dd0a34d-d938-43bc-9017-ee0d6cc07b68</t>
  </si>
  <si>
    <t>8801331688</t>
  </si>
  <si>
    <t>3752ade9-a6e3-445e-8661-d8a5d7dc1d71</t>
  </si>
  <si>
    <t>0185829085</t>
  </si>
  <si>
    <t>f4f5581f-39a0-4db7-badd-55c2eed24eeb</t>
  </si>
  <si>
    <t>6640329915</t>
  </si>
  <si>
    <t>cc810ef5-6e9e-4668-b12b-6fa83cbff832</t>
  </si>
  <si>
    <t>8993658310</t>
  </si>
  <si>
    <t>355b05c2-8aec-47e8-96ab-f17da4cf6745</t>
  </si>
  <si>
    <t>2550279335</t>
  </si>
  <si>
    <t>dfd53add-4be3-4744-acad-5f51cecd99d7</t>
  </si>
  <si>
    <t>3505331000</t>
  </si>
  <si>
    <t>7b4ff5ee-62db-40f8-b505-6a62c1e38a30</t>
  </si>
  <si>
    <t>7114611000</t>
  </si>
  <si>
    <t>00e671d2-76fd-4134-a603-c18cca804f82</t>
  </si>
  <si>
    <t>2942450000</t>
  </si>
  <si>
    <t>811ee9fa-7f62-4d80-b69f-39dcbeeee243</t>
  </si>
  <si>
    <t>4490163832</t>
  </si>
  <si>
    <t>9d3562f0-929a-4d9c-99b1-c491ec949962</t>
  </si>
  <si>
    <t>8806340000</t>
  </si>
  <si>
    <t>11ca7c74-0d7e-4509-9e30-a3b55614e0ea</t>
  </si>
  <si>
    <t>7096364439</t>
  </si>
  <si>
    <t>4a093cda-1eb8-40cf-b199-b47f3873c8f5</t>
  </si>
  <si>
    <t>0002746863</t>
  </si>
  <si>
    <t>a6d882d8-bf01-4a78-96db-d7ec9d22a4cb</t>
  </si>
  <si>
    <t>2122958371</t>
  </si>
  <si>
    <t>88bac46d-d7f2-45c7-890f-5d54d4fc4d14</t>
  </si>
  <si>
    <t>5769060000</t>
  </si>
  <si>
    <t>15d90fe6-21f7-4ac8-9270-d1ed1265ecbb</t>
  </si>
  <si>
    <t>5214610000</t>
  </si>
  <si>
    <t>947e9104-5579-4b1f-b992-6875c6a2d29b</t>
  </si>
  <si>
    <t>9294235852</t>
  </si>
  <si>
    <t>b7b9e408-df94-4b76-b352-1b2b29b9db49</t>
  </si>
  <si>
    <t>0887574779</t>
  </si>
  <si>
    <t>1b4f78df-7a9e-46d3-95f0-1852f8d50e13</t>
  </si>
  <si>
    <t>3884451846</t>
  </si>
  <si>
    <t>23de02bb-9ba9-47cc-976a-f982e5cbf84d</t>
  </si>
  <si>
    <t>9575044862</t>
  </si>
  <si>
    <t>479b93b5-9381-46c4-80a9-88bfb59f1888</t>
  </si>
  <si>
    <t>5622315139</t>
  </si>
  <si>
    <t>5c070aea-6feb-4296-b990-417c0ec8323e</t>
  </si>
  <si>
    <t>6031103650</t>
  </si>
  <si>
    <t>172a7e90-a801-4cf3-b9a6-3214634fef59</t>
  </si>
  <si>
    <t>7532070000</t>
  </si>
  <si>
    <t>a94185a5-3612-46c8-a33b-4de17c1558ee</t>
  </si>
  <si>
    <t>5526300000</t>
  </si>
  <si>
    <t>a334613e-e26f-44cc-a05d-4efcc19ed974</t>
  </si>
  <si>
    <t>8251801000</t>
  </si>
  <si>
    <t>7ebfa480-c952-4082-9dd0-9d8c08b70368</t>
  </si>
  <si>
    <t>3135361000</t>
  </si>
  <si>
    <t>4fdc6d7d-b096-4796-b329-280568c5e145</t>
  </si>
  <si>
    <t>0869170000</t>
  </si>
  <si>
    <t>4bd577b2-7dd3-4596-8bfc-94f7a5044808</t>
  </si>
  <si>
    <t>4875496471</t>
  </si>
  <si>
    <t>5569c2db-7e54-46be-b115-12a00abbe4c8</t>
  </si>
  <si>
    <t>4100903949</t>
  </si>
  <si>
    <t>1409abfe-b2e5-4a80-9eee-84bf74cec310</t>
  </si>
  <si>
    <t>6747966884</t>
  </si>
  <si>
    <t>4fa54181-64a8-4571-8c36-6f55bf660cdd</t>
  </si>
  <si>
    <t>9756846766</t>
  </si>
  <si>
    <t>24442ceb-5a80-4ae4-b7bd-522e03bf72bc</t>
  </si>
  <si>
    <t>3718280000</t>
  </si>
  <si>
    <t>45d78395-5d65-4766-b136-4d0e537733c3</t>
  </si>
  <si>
    <t>2216771581</t>
  </si>
  <si>
    <t>7d75994d-9d34-49b9-9009-845111a8c328</t>
  </si>
  <si>
    <t>9214141000</t>
  </si>
  <si>
    <t>64ae46af-ab22-450e-aa01-a38da7e173cd</t>
  </si>
  <si>
    <t>4328013004</t>
  </si>
  <si>
    <t>48c5f432-d422-4cb9-9628-5f503ee4589b</t>
  </si>
  <si>
    <t>8551601000</t>
  </si>
  <si>
    <t>899aaebc-13c2-4b70-904e-d0aa28967973</t>
  </si>
  <si>
    <t>5703576714</t>
  </si>
  <si>
    <t>53587931-5aa2-4153-b63d-063678328be9</t>
  </si>
  <si>
    <t>0448028030</t>
  </si>
  <si>
    <t>76a35d47-95a8-4d51-8a9d-e1eee472245d</t>
  </si>
  <si>
    <t>5780730097</t>
  </si>
  <si>
    <t>ae6d2b40-99be-4797-beda-106c1ad6b350</t>
  </si>
  <si>
    <t>8651110000</t>
  </si>
  <si>
    <t>f2c49ffe-4d23-406b-9977-8c78c269e351</t>
  </si>
  <si>
    <t>0086465467</t>
  </si>
  <si>
    <t>f770bf33-36fa-43a8-8826-4e0e0b827ca2</t>
  </si>
  <si>
    <t>9890161000</t>
  </si>
  <si>
    <t>2ca5f4f3-ea54-44d0-a33f-07b0eeb77bdb</t>
  </si>
  <si>
    <t>9738604563</t>
  </si>
  <si>
    <t>87211340-3f94-49f3-9327-1b32396e3238</t>
  </si>
  <si>
    <t>6892964511</t>
  </si>
  <si>
    <t>167560c7-3597-42b6-9df0-d6f058f802bd</t>
  </si>
  <si>
    <t>8233981790</t>
  </si>
  <si>
    <t>e1d07b50-90b4-4788-ab24-9cdb9c4d0277</t>
  </si>
  <si>
    <t>7482519669</t>
  </si>
  <si>
    <t>e28c6381-facd-4054-a2d1-f8d3283d23e5</t>
  </si>
  <si>
    <t>4321958928</t>
  </si>
  <si>
    <t>a25f84e1-6a57-47b9-8940-50901ebe4209</t>
  </si>
  <si>
    <t>9277734775</t>
  </si>
  <si>
    <t>31782721-0215-490e-81cb-205600ee190b</t>
  </si>
  <si>
    <t>3530497128</t>
  </si>
  <si>
    <t>01f24b00-9f47-46c0-9a68-4695ea698286</t>
  </si>
  <si>
    <t>0240641000</t>
  </si>
  <si>
    <t>4e791547-2851-493e-a0bb-e7af20a7cd73</t>
  </si>
  <si>
    <t>1560882175</t>
  </si>
  <si>
    <t>8364fd56-f803-46ac-a411-85bf9f1e5abd</t>
  </si>
  <si>
    <t>2815878027</t>
  </si>
  <si>
    <t>9ff140cd-4523-4aa3-8fb0-b8e073e7e393</t>
  </si>
  <si>
    <t>0208180000</t>
  </si>
  <si>
    <t>a345403c-6e70-40b0-a896-432178942152</t>
  </si>
  <si>
    <t>8950883553</t>
  </si>
  <si>
    <t>be938af6-57af-49c6-9b3e-bd31b597a2fc</t>
  </si>
  <si>
    <t>6677040000</t>
  </si>
  <si>
    <t>efd9e056-60de-43e6-9743-35745a504e63</t>
  </si>
  <si>
    <t>3106790000</t>
  </si>
  <si>
    <t>75192375-2c9a-43b0-bab8-423cb5306aff</t>
  </si>
  <si>
    <t>8098420000</t>
  </si>
  <si>
    <t>7bb9d4b6-9f86-4f05-ac28-4b035733daf5</t>
  </si>
  <si>
    <t>0225558656</t>
  </si>
  <si>
    <t>63eb28c1-6d5d-4e3a-9859-29827ee81a8a</t>
  </si>
  <si>
    <t>3472796278</t>
  </si>
  <si>
    <t>5a3892a9-0455-438e-b89f-40b8fc716740</t>
  </si>
  <si>
    <t>3240422325</t>
  </si>
  <si>
    <t>829038f5-4335-4085-8cd3-b4b99bff8309</t>
  </si>
  <si>
    <t>7248154783</t>
  </si>
  <si>
    <t>43a11bd9-c093-469d-8305-72f43b0b3706</t>
  </si>
  <si>
    <t>1975660000</t>
  </si>
  <si>
    <t>e5d3976e-e0d3-4ce1-aeec-da6f35d0e3cd</t>
  </si>
  <si>
    <t>2398680000</t>
  </si>
  <si>
    <t>353219dd-3869-480b-a284-91a8aea894a8</t>
  </si>
  <si>
    <t>2557440000</t>
  </si>
  <si>
    <t>77a39310-ed7e-4863-b87d-05b367f3a5ba</t>
  </si>
  <si>
    <t>6098358533</t>
  </si>
  <si>
    <t>2949a564-8bd7-4ce5-a12b-dc1fcd14425e</t>
  </si>
  <si>
    <t>2160086156</t>
  </si>
  <si>
    <t>17a37454-8a0f-4516-84d7-11cdb56b2a84</t>
  </si>
  <si>
    <t>8133906758</t>
  </si>
  <si>
    <t>0084a4d1-1809-4f88-a8fe-82505ca58ef2</t>
  </si>
  <si>
    <t>35b203dd-5e5a-45e0-a274-073365e99441</t>
  </si>
  <si>
    <t>4386253597</t>
  </si>
  <si>
    <t>f817864b-1613-4bc8-a5d3-5a28b8b7b4e0</t>
  </si>
  <si>
    <t>8168993129</t>
  </si>
  <si>
    <t>e073a11f-eb7c-4ae6-885e-e2fa497a65aa</t>
  </si>
  <si>
    <t>8830066687</t>
  </si>
  <si>
    <t>a77ae667-0235-4742-969b-812f76efcde1</t>
  </si>
  <si>
    <t>1a944fbc-024d-4259-8056-706209f27965</t>
  </si>
  <si>
    <t>0980512306</t>
  </si>
  <si>
    <t>f6af75bc-299a-4399-8ad7-b3c480dddfa1</t>
  </si>
  <si>
    <t>2800620000</t>
  </si>
  <si>
    <t>c225dd20-851e-4745-87bc-dc1676e8b4a3</t>
  </si>
  <si>
    <t>3957802541</t>
  </si>
  <si>
    <t>224b3e2a-86c6-4950-97f8-4e7e58852a1e</t>
  </si>
  <si>
    <t>0747358204</t>
  </si>
  <si>
    <t>17bc2531-cf75-4e8c-b97f-00f9b1d57e71</t>
  </si>
  <si>
    <t>4860597868</t>
  </si>
  <si>
    <t>fd6e6ed3-9072-4b41-98c1-42c022b8b7e7</t>
  </si>
  <si>
    <t>7247493303</t>
  </si>
  <si>
    <t>be5be003-1d6c-4a8a-ac4e-bac472d5aa47</t>
  </si>
  <si>
    <t>2698642394</t>
  </si>
  <si>
    <t>30236d7c-deb2-48ee-a095-c0c50d8a7129</t>
  </si>
  <si>
    <t>0871451000</t>
  </si>
  <si>
    <t>08c39d51-4663-4fc3-b9b9-52e675b1e971</t>
  </si>
  <si>
    <t>8085100837</t>
  </si>
  <si>
    <t>25eeb1bc-372f-40b2-99e1-4a13a2acd25c</t>
  </si>
  <si>
    <t>6040546107</t>
  </si>
  <si>
    <t>ae22ca63-0a28-45fe-8bf6-b7fdd0edb6b2</t>
  </si>
  <si>
    <t>1459950257</t>
  </si>
  <si>
    <t>098554a3-25e6-4f76-b575-1cbd9e6df7c5</t>
  </si>
  <si>
    <t>0126527094</t>
  </si>
  <si>
    <t>a4875988-3e5f-473d-805e-758c484fa590</t>
  </si>
  <si>
    <t>3920858144</t>
  </si>
  <si>
    <t>cbabfb01-8bb7-451f-8312-a834f4091439</t>
  </si>
  <si>
    <t>8764120000</t>
  </si>
  <si>
    <t>51caf3ba-d12d-49e1-99fe-1a234870bfe5</t>
  </si>
  <si>
    <t>1567183764</t>
  </si>
  <si>
    <t>23183b75-0e1c-47fe-a893-5b358c05840f</t>
  </si>
  <si>
    <t>6206172265</t>
  </si>
  <si>
    <t>04456590-19a0-440d-82b3-bea666a97da6</t>
  </si>
  <si>
    <t>3300419615</t>
  </si>
  <si>
    <t>a934179b-a3d9-4cdc-b0e7-f67cea9410bd</t>
  </si>
  <si>
    <t>3567250984</t>
  </si>
  <si>
    <t>GAVE ASSISTANCE NUMBERS AND ADVISED TO APPLY FOR E-3</t>
  </si>
  <si>
    <t>7569a1f0-f777-434b-acdc-9eb7e2d9aefa</t>
  </si>
  <si>
    <t>7298780000</t>
  </si>
  <si>
    <t>aaac8d4e-125e-4d05-822e-79bdd45ae710</t>
  </si>
  <si>
    <t>4409132093</t>
  </si>
  <si>
    <t>685983bf-64e0-4b32-95d3-97d403c389d8</t>
  </si>
  <si>
    <t>0020521000</t>
  </si>
  <si>
    <t>5aa14eda-2b39-4ab3-8de8-367de693f5d2</t>
  </si>
  <si>
    <t>7447867552</t>
  </si>
  <si>
    <t>a6c21b8f-238c-4b35-aeca-a28edf3c096d</t>
  </si>
  <si>
    <t>7898944772</t>
  </si>
  <si>
    <t>f72fd2b7-96c0-4ef2-b751-05325830d703</t>
  </si>
  <si>
    <t>0849482490</t>
  </si>
  <si>
    <t>90fddff7-b501-4c89-aa53-5db9be95bcf7</t>
  </si>
  <si>
    <t>4650100233</t>
  </si>
  <si>
    <t>bb96548b-8931-40f2-9176-7c2163d63504</t>
  </si>
  <si>
    <t>2090761111</t>
  </si>
  <si>
    <t>6a4260c2-ad0a-4652-a1dd-0f8a68b99e30</t>
  </si>
  <si>
    <t>7675631000</t>
  </si>
  <si>
    <t>e1798c95-d3bd-4b3a-8bff-101bda4d57b4</t>
  </si>
  <si>
    <t>9779470098</t>
  </si>
  <si>
    <t>76806121-bd34-4efb-a1b3-d9175b6bc56e</t>
  </si>
  <si>
    <t>6229785331</t>
  </si>
  <si>
    <t>8bd28b26-7dc2-4ae9-8b19-5d588dc55e38</t>
  </si>
  <si>
    <t>1794260000</t>
  </si>
  <si>
    <t>61ac8839-c43d-4571-994d-4acd004c17eb</t>
  </si>
  <si>
    <t>7776290000</t>
  </si>
  <si>
    <t>30c39543-28c0-4722-992f-7dcc4766d055</t>
  </si>
  <si>
    <t>6833563852</t>
  </si>
  <si>
    <t>9c0d7d15-b176-4cf3-8cc3-5cfb250b4a0e</t>
  </si>
  <si>
    <t>7671960000</t>
  </si>
  <si>
    <t>1fa92851-82ff-4a3c-b768-2283feba4b14</t>
  </si>
  <si>
    <t>3846098682</t>
  </si>
  <si>
    <t>8fcdec8e-af3e-428c-aa14-a643fc0b0104</t>
  </si>
  <si>
    <t>6393740000</t>
  </si>
  <si>
    <t>c15481c9-0e9f-4150-b6e0-6d3b20b05db7</t>
  </si>
  <si>
    <t>913ace5d-b27f-4f34-8850-bf710ff36c6d</t>
  </si>
  <si>
    <t>2356371197</t>
  </si>
  <si>
    <t>a0a26342-9070-4fe6-a506-94fc2d52ee16</t>
  </si>
  <si>
    <t>0510900360</t>
  </si>
  <si>
    <t>SAID SHE DID SIGN PETITION</t>
  </si>
  <si>
    <t>083aff53-e0b4-47d2-a985-5a810d545e60</t>
  </si>
  <si>
    <t>6346280696</t>
  </si>
  <si>
    <t>739cdffa-7e19-4179-82ac-88fc2118a9e9</t>
  </si>
  <si>
    <t>6276745354</t>
  </si>
  <si>
    <t>c3a00f05-e6f2-4e84-84b3-39e7501e3cac</t>
  </si>
  <si>
    <t>9775140000</t>
  </si>
  <si>
    <t>e40a354d-41f1-4480-a6fd-04499541d47f</t>
  </si>
  <si>
    <t>1908399537</t>
  </si>
  <si>
    <t>4dd68714-7086-47e3-bf0e-b78cfaa24a02</t>
  </si>
  <si>
    <t>7791021977</t>
  </si>
  <si>
    <t>eecd9f6d-9851-42ec-acd0-7659ada2b391</t>
  </si>
  <si>
    <t>4218400000</t>
  </si>
  <si>
    <t>78a4aa25-d836-420c-ae2d-b7b4ca9f8b14</t>
  </si>
  <si>
    <t>0460101000</t>
  </si>
  <si>
    <t>98855fe2-9a23-4f56-82aa-fb1f763094cb</t>
  </si>
  <si>
    <t>5554267371</t>
  </si>
  <si>
    <t>b5749521-8c2c-4ccb-8a80-692fa75b9809</t>
  </si>
  <si>
    <t>4656135575</t>
  </si>
  <si>
    <t>544e6cec-b0e6-4ed6-bd4a-553e4160aba3</t>
  </si>
  <si>
    <t>7871459753</t>
  </si>
  <si>
    <t>2add007b-847c-498d-8e53-3f0743f9d030</t>
  </si>
  <si>
    <t>8270011000</t>
  </si>
  <si>
    <t>ce620167-97ba-49c3-b2ac-60f992641914</t>
  </si>
  <si>
    <t>0949968967</t>
  </si>
  <si>
    <t>5f205f42-8a0f-4fe1-9da4-a5a463e1df80</t>
  </si>
  <si>
    <t>5463797477</t>
  </si>
  <si>
    <t>1233b597-af5d-454f-b088-5cc0469cf032</t>
  </si>
  <si>
    <t>8372996858</t>
  </si>
  <si>
    <t>5541150a-c718-49de-a943-e5209a53e27f</t>
  </si>
  <si>
    <t>0915272757</t>
  </si>
  <si>
    <t>f6a00383-d0c0-4d31-84f0-c5296eedfa62</t>
  </si>
  <si>
    <t>1939300000</t>
  </si>
  <si>
    <t>ae51f815-107b-4ec0-98e4-71937d55ca64</t>
  </si>
  <si>
    <t>3664029144</t>
  </si>
  <si>
    <t>e12d6209-8851-48b7-9221-860cb8ef3a78</t>
  </si>
  <si>
    <t>2321911932</t>
  </si>
  <si>
    <t>c90ed41a-d035-4792-9b87-2ec6b25067cc</t>
  </si>
  <si>
    <t>2205290521</t>
  </si>
  <si>
    <t>ad89d08d-a773-4482-9a76-ba609d459d32</t>
  </si>
  <si>
    <t>8573211000</t>
  </si>
  <si>
    <t>079fec11-bcb4-4c98-94ac-cbb9d047a66a</t>
  </si>
  <si>
    <t>6799540000</t>
  </si>
  <si>
    <t>9a6ab123-df3c-4bcb-8461-fb5ff8d02299</t>
  </si>
  <si>
    <t>2372410000</t>
  </si>
  <si>
    <t>1b95514a-771d-4ee6-a8e3-78e152ef6dd0</t>
  </si>
  <si>
    <t>2801777569</t>
  </si>
  <si>
    <t>COULD SAVE MONEY ON TOU 4-7 W/DEMAND</t>
  </si>
  <si>
    <t>146e2dd4-9cba-4c2c-8ade-ebd9302c6162</t>
  </si>
  <si>
    <t>6916550547</t>
  </si>
  <si>
    <t>a68f34f2-3e6f-43b5-8ada-8e15b3f683f1</t>
  </si>
  <si>
    <t>7488840436</t>
  </si>
  <si>
    <t>fcb9de72-f988-49df-9901-f9a6b3d3ac5e</t>
  </si>
  <si>
    <t>4789087884</t>
  </si>
  <si>
    <t>0fe7e0f5-451d-4267-ac17-69c2326e7ed5</t>
  </si>
  <si>
    <t>9045311000</t>
  </si>
  <si>
    <t>2e54ba80-20c9-4bd2-9ce0-ee0b6473dea6</t>
  </si>
  <si>
    <t>4051995898</t>
  </si>
  <si>
    <t>b77bcdb0-9a91-41d2-a2c5-66e4eaebe17d</t>
  </si>
  <si>
    <t>1333897739</t>
  </si>
  <si>
    <t>4e2ea321-6d67-4983-ae22-a91ef8952ba1</t>
  </si>
  <si>
    <t>8964410000</t>
  </si>
  <si>
    <t>fb281e83-0af9-449e-a096-77f407f69a93</t>
  </si>
  <si>
    <t>7013259359</t>
  </si>
  <si>
    <t>4b9fb512-2690-4444-8fae-c78c15a8be35</t>
  </si>
  <si>
    <t>6898240000</t>
  </si>
  <si>
    <t>1c3887ab-b4fd-41fe-a4dc-6652e7834050</t>
  </si>
  <si>
    <t>1682180000</t>
  </si>
  <si>
    <t>14ba74cf-74b6-4499-a65b-e688a3369e4a</t>
  </si>
  <si>
    <t>3126570303</t>
  </si>
  <si>
    <t>eb945466-7fc3-4fd4-bab7-caefda022edf</t>
  </si>
  <si>
    <t>5236586269</t>
  </si>
  <si>
    <t>51bcd3e2-f685-4831-ba7a-d5e371db8027</t>
  </si>
  <si>
    <t>0394780000</t>
  </si>
  <si>
    <t>e2ca6ee7-b868-496d-97c8-4cd29bdeabd9</t>
  </si>
  <si>
    <t>5644842190</t>
  </si>
  <si>
    <t>5ccdc14a-42c3-44b1-a0d7-02da9f44f8ab</t>
  </si>
  <si>
    <t>3998480631</t>
  </si>
  <si>
    <t>0c6b02ad-2e1a-44bd-9933-018d702f8a6f</t>
  </si>
  <si>
    <t>0947452464</t>
  </si>
  <si>
    <t>8b69789f-38fb-4fb4-aa62-4dae798ab1ef</t>
  </si>
  <si>
    <t>5160556053</t>
  </si>
  <si>
    <t>915f8130-5d02-4ba2-87cf-6607f9387f8f</t>
  </si>
  <si>
    <t>3520685256</t>
  </si>
  <si>
    <t>db470e1d-95dd-465e-9b97-41e4a1962667</t>
  </si>
  <si>
    <t>3812550000</t>
  </si>
  <si>
    <t>6082579b-2bc4-4e0c-832c-a3e2292103cc</t>
  </si>
  <si>
    <t>6238293189</t>
  </si>
  <si>
    <t>b3c1c631-7cf1-434c-a35b-734e09108ed0</t>
  </si>
  <si>
    <t>2037614704</t>
  </si>
  <si>
    <t>25c34cc8-8ec2-46f0-bc75-45cc106480a8</t>
  </si>
  <si>
    <t>5486441000</t>
  </si>
  <si>
    <t>0e9102b2-a6df-45e4-b5c6-51a8820299c3</t>
  </si>
  <si>
    <t>3615886354</t>
  </si>
  <si>
    <t>1677f3c5-2d0d-4a1f-bb5d-8360256f1874</t>
  </si>
  <si>
    <t>0574011608</t>
  </si>
  <si>
    <t>0533d04a-ebe5-419b-b16e-db326bb60bef</t>
  </si>
  <si>
    <t>2291912909</t>
  </si>
  <si>
    <t>8e270aad-476b-4815-a9fd-4354f899e3de</t>
  </si>
  <si>
    <t>1637250000</t>
  </si>
  <si>
    <t>eb253cc4-74be-4f00-86ba-5cdff877c200</t>
  </si>
  <si>
    <t>3430450000</t>
  </si>
  <si>
    <t>090eae57-27d5-438e-87df-7e7cf4a321b6</t>
  </si>
  <si>
    <t>6046328982</t>
  </si>
  <si>
    <t>1b5bf029-7ef1-4a90-9fff-217bb5bc6109</t>
  </si>
  <si>
    <t>5744736365</t>
  </si>
  <si>
    <t>fb4d40e1-787d-4f82-9416-15fa2d7d86c3</t>
  </si>
  <si>
    <t>0103650000</t>
  </si>
  <si>
    <t>3cf7681c-b5de-4481-9605-0e4c35bd4057</t>
  </si>
  <si>
    <t>4581830000</t>
  </si>
  <si>
    <t>15fa1b3a-932b-4448-8285-190fde36baa2</t>
  </si>
  <si>
    <t>3353472148</t>
  </si>
  <si>
    <t>c0efb58d-9b81-416a-9d0d-da57d7363f17</t>
  </si>
  <si>
    <t>6807568001</t>
  </si>
  <si>
    <t>a899d00a-dbae-4192-abb8-e565c89531ab</t>
  </si>
  <si>
    <t>2224828876</t>
  </si>
  <si>
    <t>bae0483b-9da8-421e-a0bb-3f022eea0e19</t>
  </si>
  <si>
    <t>4684530000</t>
  </si>
  <si>
    <t>f37d826f-1067-4373-a13e-01ef05645f9b</t>
  </si>
  <si>
    <t>5248721000</t>
  </si>
  <si>
    <t>f8488d0f-95ca-4fdc-9770-8e72fcf79a89</t>
  </si>
  <si>
    <t>8715441000</t>
  </si>
  <si>
    <t>188d31e6-3740-42ee-87ae-48c428eec37a</t>
  </si>
  <si>
    <t>0831730979</t>
  </si>
  <si>
    <t>25724996-af13-45cd-8b06-60e1a7af5779</t>
  </si>
  <si>
    <t>0179082566</t>
  </si>
  <si>
    <t>be7c5f11-06ed-4cc0-83e1-a62a47a58b3e</t>
  </si>
  <si>
    <t>7586510000</t>
  </si>
  <si>
    <t>02a64ae8-6310-4c95-b552-a1e6ae6b9062</t>
  </si>
  <si>
    <t>8422252988</t>
  </si>
  <si>
    <t>44f8cf50-7250-46f2-81ac-3b0ef17bb3ad</t>
  </si>
  <si>
    <t>6220501000</t>
  </si>
  <si>
    <t>1679a6cc-9ace-457f-9523-03ac1d20b12d</t>
  </si>
  <si>
    <t>0119612479</t>
  </si>
  <si>
    <t>d8671ff9-9e63-4539-97d2-b25939c6db6c</t>
  </si>
  <si>
    <t>6942363976</t>
  </si>
  <si>
    <t>7a19f150-e4a0-4dda-934f-bac7dc1c3e76</t>
  </si>
  <si>
    <t>3846299964</t>
  </si>
  <si>
    <t>d92218a0-49c7-4ca6-ad76-56dda1cee831</t>
  </si>
  <si>
    <t>7925230997</t>
  </si>
  <si>
    <t>5725a784-b441-4dfb-9a12-cc4bce40a89e</t>
  </si>
  <si>
    <t>4455318107</t>
  </si>
  <si>
    <t>496af5a7-b407-458a-acc6-6ac4809fd58d</t>
  </si>
  <si>
    <t>7014080000</t>
  </si>
  <si>
    <t>1bf6c5e5-b563-4e58-b89f-c8e2e02cd688</t>
  </si>
  <si>
    <t>2239392578</t>
  </si>
  <si>
    <t>f05a2687-353e-42c7-8777-1da6aa6c32fd</t>
  </si>
  <si>
    <t>2798910000</t>
  </si>
  <si>
    <t>fffd1fb0-b8b5-404e-9f16-3c0275b3d823</t>
  </si>
  <si>
    <t>3006885688</t>
  </si>
  <si>
    <t>0a1b8ac0-a318-49df-89b1-40d585b4d105</t>
  </si>
  <si>
    <t>3973394094</t>
  </si>
  <si>
    <t>75599d5e-74de-42b2-a690-7a6154040f08</t>
  </si>
  <si>
    <t>1468123073</t>
  </si>
  <si>
    <t>83cd6700-4b49-44e9-8bfc-81e8c49f896d</t>
  </si>
  <si>
    <t>5373695965</t>
  </si>
  <si>
    <t>d7e1d4cf-a465-4b5f-8af6-f065eb9677cf</t>
  </si>
  <si>
    <t>5997041000</t>
  </si>
  <si>
    <t>1ee2cb4e-69ab-49a0-9462-72c67388b58d</t>
  </si>
  <si>
    <t>8418910000</t>
  </si>
  <si>
    <t>55528abb-abc2-4735-849f-2a16cd9e4a9c</t>
  </si>
  <si>
    <t>9984188572</t>
  </si>
  <si>
    <t>WILL CB IF NEEDED</t>
  </si>
  <si>
    <t>5e2ddb42-eff3-4bc8-a9ca-8cc5d45a3253</t>
  </si>
  <si>
    <t>3063800000</t>
  </si>
  <si>
    <t>8364742f-ddc9-4d1a-a32d-23d325dd0aef</t>
  </si>
  <si>
    <t>6552151000</t>
  </si>
  <si>
    <t>f636f48d-6be2-4542-ab96-cde48bd0b858</t>
  </si>
  <si>
    <t>5001808687</t>
  </si>
  <si>
    <t>8f9e98db-ac09-4d57-b628-53a76745e427</t>
  </si>
  <si>
    <t>7888410000</t>
  </si>
  <si>
    <t>a3d5316c-d9de-48f0-ae19-c74ff041b800</t>
  </si>
  <si>
    <t>5739710087</t>
  </si>
  <si>
    <t>08a2a13a-0b06-42c3-bb8f-e0f11dbd27a6</t>
  </si>
  <si>
    <t>7411200000</t>
  </si>
  <si>
    <t>44fcd625-d4f2-4f65-878c-2260c1ba8f42</t>
  </si>
  <si>
    <t>9763988768</t>
  </si>
  <si>
    <t>1420b336-7af1-45d1-8279-ee1a6bc5e993</t>
  </si>
  <si>
    <t>4455045278</t>
  </si>
  <si>
    <t>02c490c3-08f3-4d76-83ee-1012d33c4e18</t>
  </si>
  <si>
    <t>f528b5cc-9780-4163-b008-384ed6adcd7b</t>
  </si>
  <si>
    <t>1139701000</t>
  </si>
  <si>
    <t>NOT  FOR RATE INCREASE</t>
  </si>
  <si>
    <t>5f89e964-ce35-4367-a2a0-407abe958f89</t>
  </si>
  <si>
    <t>7740741000</t>
  </si>
  <si>
    <t>c1f8f139-08bb-490e-8168-cff986248adf</t>
  </si>
  <si>
    <t>4807360000</t>
  </si>
  <si>
    <t>3170135c-811c-497d-a9ef-1e9c45b01059</t>
  </si>
  <si>
    <t>7745120000</t>
  </si>
  <si>
    <t>IS ON P-A &amp;  NO E3 ON ACCT</t>
  </si>
  <si>
    <t>c5491b56-4f62-4ff2-8d4c-79177db391a1</t>
  </si>
  <si>
    <t>5805736054</t>
  </si>
  <si>
    <t>06b87f3a-7a49-406e-bd8c-d74722ab6d1b</t>
  </si>
  <si>
    <t>4181641000</t>
  </si>
  <si>
    <t>8633154c-c013-452a-b344-cfe1b4e8487b</t>
  </si>
  <si>
    <t>5506921000</t>
  </si>
  <si>
    <t>3b950bcb-5316-4c15-8f54-71620b0124f2</t>
  </si>
  <si>
    <t>1593380000</t>
  </si>
  <si>
    <t>dd24637a-6e5a-4ab1-b381-1caf6208cf63</t>
  </si>
  <si>
    <t>4494941000</t>
  </si>
  <si>
    <t>fcb2f19d-5bdb-41de-b4a3-c801fc45af6b</t>
  </si>
  <si>
    <t>0879272556</t>
  </si>
  <si>
    <t>d219d8eb-e97d-4534-b123-99b8b890780c</t>
  </si>
  <si>
    <t>9093670000</t>
  </si>
  <si>
    <t>ebc82954-d31c-4ae1-9f98-11bfcb86935f</t>
  </si>
  <si>
    <t>0607010210</t>
  </si>
  <si>
    <t>70f3f28d-6cae-4bb9-bada-c65a67a59283</t>
  </si>
  <si>
    <t>7176661000</t>
  </si>
  <si>
    <t>11a2ba84-e606-406d-92a0-ec23301982f1</t>
  </si>
  <si>
    <t>4935500000</t>
  </si>
  <si>
    <t>ACCT CURRENT NO PAST DUE NO E3</t>
  </si>
  <si>
    <t>279dc28c-73c4-4089-b250-efc5681797dd</t>
  </si>
  <si>
    <t>3940259300</t>
  </si>
  <si>
    <t>8362cd0f-4000-4865-81c2-b0806814dc45</t>
  </si>
  <si>
    <t>2387100000</t>
  </si>
  <si>
    <t>4af4d0ed-c1c0-40ce-8271-b40a76f92c47</t>
  </si>
  <si>
    <t>1914731000</t>
  </si>
  <si>
    <t>d7295d3b-49f0-4c68-9852-c740447f2ac2</t>
  </si>
  <si>
    <t>0029211000</t>
  </si>
  <si>
    <t>076bd534-2a10-4027-849a-363e7a556db6</t>
  </si>
  <si>
    <t>6428400000</t>
  </si>
  <si>
    <t>4af77f21-cdd8-4a91-8d47-58bbc81b0c94</t>
  </si>
  <si>
    <t>8805404344</t>
  </si>
  <si>
    <t>6dd51f7e-2fbe-4cbd-ade7-e011dd593b6e</t>
  </si>
  <si>
    <t>4344550000</t>
  </si>
  <si>
    <t>4a393bc5-91f7-49b3-b88f-a40af9f6151c</t>
  </si>
  <si>
    <t>5862540000</t>
  </si>
  <si>
    <t>69861c51-bb72-4467-a492-dc291123a3a9</t>
  </si>
  <si>
    <t>7228908122</t>
  </si>
  <si>
    <t>cd4be129-6135-4819-8451-80bc331a4f23</t>
  </si>
  <si>
    <t>8092710000</t>
  </si>
  <si>
    <t>4f40cb6b-041a-4e20-a274-42d54f7bc90d</t>
  </si>
  <si>
    <t>4175541000</t>
  </si>
  <si>
    <t>56c1d61c-d3c8-4680-b64f-f6bb8219ac03</t>
  </si>
  <si>
    <t>0417096787</t>
  </si>
  <si>
    <t>05f86920-8ff4-4d11-8ccc-dad6c614be16</t>
  </si>
  <si>
    <t>1444600000</t>
  </si>
  <si>
    <t>ACCT IS ON P-A PAST DUE NO E3 ON ACCT</t>
  </si>
  <si>
    <t>060d0bbe-803e-4f0d-81a8-6598fa81de6a</t>
  </si>
  <si>
    <t>5304030000</t>
  </si>
  <si>
    <t>40a9539b-b8af-4a33-8cff-32100eac303a</t>
  </si>
  <si>
    <t>2139544986</t>
  </si>
  <si>
    <t>ACCT CURRENT NO E3 LEFT VM</t>
  </si>
  <si>
    <t>7ab04eec-b11c-4e1a-94cc-6604949cebaf</t>
  </si>
  <si>
    <t>4155800832</t>
  </si>
  <si>
    <t>992ac5eb-a6a0-4ad1-b91a-5e0cfb157be4</t>
  </si>
  <si>
    <t>5288821061</t>
  </si>
  <si>
    <t>MOVED OUT OF STATE</t>
  </si>
  <si>
    <t>01979c8f-e256-4fab-a06d-3e833626ed27</t>
  </si>
  <si>
    <t>4456121000</t>
  </si>
  <si>
    <t>ac1c0e66-3b90-491c-b9bb-ca51fec81d6f</t>
  </si>
  <si>
    <t>9854457444</t>
  </si>
  <si>
    <t>de1ba98b-072a-4672-adc8-1d30d4f423e2</t>
  </si>
  <si>
    <t>5672030668</t>
  </si>
  <si>
    <t>6eabf52c-270f-4886-860d-40d7a8cc5eb0</t>
  </si>
  <si>
    <t>3985295602</t>
  </si>
  <si>
    <t>8ad32ca8-7933-4755-bde4-b61a68969fe5</t>
  </si>
  <si>
    <t>1353321000</t>
  </si>
  <si>
    <t>0704e6d0-fb9c-41da-a864-6492b3e37e05</t>
  </si>
  <si>
    <t>1694440000</t>
  </si>
  <si>
    <t>c0f46511-45b7-4d26-aebe-eb908b78e02a</t>
  </si>
  <si>
    <t>5831790000</t>
  </si>
  <si>
    <t>DID TALK TO CORE IS ON P-A SENT E3</t>
  </si>
  <si>
    <t>15dea3f2-5b4a-4e52-8133-dcdd233dd002</t>
  </si>
  <si>
    <t>4572687906</t>
  </si>
  <si>
    <t>652b5870-3117-4b12-912a-9a80ea1e06d4</t>
  </si>
  <si>
    <t>3547350000</t>
  </si>
  <si>
    <t># ON ACCT NO GOOD CALLED 12/6/25</t>
  </si>
  <si>
    <t>164f9bd8-c76b-4f6a-aefb-f3dce4e15ad1</t>
  </si>
  <si>
    <t>2613256425</t>
  </si>
  <si>
    <t>a1d0ee25-2da8-4555-bab9-cc5b9e9939c4</t>
  </si>
  <si>
    <t>5669951000</t>
  </si>
  <si>
    <t>3d7b7977-77b9-41e7-b3ed-33e1989fda35</t>
  </si>
  <si>
    <t>1806989657</t>
  </si>
  <si>
    <t>ACCT CURRENT NO E3</t>
  </si>
  <si>
    <t>1703c2b0-2965-467b-b465-b2d52072b577</t>
  </si>
  <si>
    <t>7420351130</t>
  </si>
  <si>
    <t>ac786802-05db-4423-a9ab-e2acdb3b7493</t>
  </si>
  <si>
    <t>7765620000</t>
  </si>
  <si>
    <t>70fca8a1-ebc8-476e-8bff-817fad7cd5c8</t>
  </si>
  <si>
    <t>9868436686</t>
  </si>
  <si>
    <t>ec181cb5-1d7f-4455-8788-dda9255a8950</t>
  </si>
  <si>
    <t>6651001000</t>
  </si>
  <si>
    <t>241ed2f2-d486-416c-8b54-7c3397bfdf26</t>
  </si>
  <si>
    <t>0454456361</t>
  </si>
  <si>
    <t>b33d390b-8836-4a76-9e95-ee330d7e4c90</t>
  </si>
  <si>
    <t>4738111000</t>
  </si>
  <si>
    <t>56ed125c-943c-4e79-96a4-03bb4733a25a</t>
  </si>
  <si>
    <t>0440430000</t>
  </si>
  <si>
    <t>92d954dd-c290-4e7f-a214-2fe6281cfa29</t>
  </si>
  <si>
    <t>0636160358</t>
  </si>
  <si>
    <t>eeca91ef-74d9-4e59-9dcc-dd9eed386b20</t>
  </si>
  <si>
    <t>2829931000</t>
  </si>
  <si>
    <t>6d1474ef-690c-4b73-8438-bf16e83cddae</t>
  </si>
  <si>
    <t>9300806707</t>
  </si>
  <si>
    <t>7d940400-35f9-40cd-ad61-a826864cdc6d</t>
  </si>
  <si>
    <t>2219505228</t>
  </si>
  <si>
    <t>ed822dde-4348-4544-a96d-ddf84d703a40</t>
  </si>
  <si>
    <t>4591969515</t>
  </si>
  <si>
    <t>bce2115c-cff1-4ad0-937b-46aa93871e06</t>
  </si>
  <si>
    <t>9097961505</t>
  </si>
  <si>
    <t>e07b9242-152c-4b9d-9043-d877b6486d27</t>
  </si>
  <si>
    <t>3630760766</t>
  </si>
  <si>
    <t>3b4aad79-8079-4295-b571-b2b2ca8fd8e8</t>
  </si>
  <si>
    <t>9308190000</t>
  </si>
  <si>
    <t>e5b3bdaa-5055-4f8e-9af7-b8dbe3354397</t>
  </si>
  <si>
    <t>3083620000</t>
  </si>
  <si>
    <t>c2a84557-49c0-48ca-837f-e2e5870594a7</t>
  </si>
  <si>
    <t>7002436554</t>
  </si>
  <si>
    <t>ce21f2d2-cafb-443f-8d84-1642eca08e03</t>
  </si>
  <si>
    <t>0355361000</t>
  </si>
  <si>
    <t>bf6fc1c3-8509-44d0-818f-c7d3f356e3e4</t>
  </si>
  <si>
    <t>9129688999</t>
  </si>
  <si>
    <t>NOT SAME NAME FOR ACCT HAS CREDIT 1122.94</t>
  </si>
  <si>
    <t>b89a253e-e5db-4416-ae8b-3bf1fe67ca60</t>
  </si>
  <si>
    <t>1326918238</t>
  </si>
  <si>
    <t>c45e40e7-5fc9-4727-89c8-47f75ed48189</t>
  </si>
  <si>
    <t>6830451000</t>
  </si>
  <si>
    <t>bf832ed7-275e-4e73-aa9d-7248d6bf708b</t>
  </si>
  <si>
    <t>9727210000</t>
  </si>
  <si>
    <t>DID TALK TO MS BARBOSA ENROLLED IN BB PROGRAM</t>
  </si>
  <si>
    <t>6e810577-9750-4f27-a3bc-106ed43d67d3</t>
  </si>
  <si>
    <t>4021850045</t>
  </si>
  <si>
    <t>541c1494-081d-4468-9885-83697a85e0eb</t>
  </si>
  <si>
    <t>0823076351</t>
  </si>
  <si>
    <t>cdb91a64-b8fc-445b-8b89-0febd5fa0d31</t>
  </si>
  <si>
    <t>3159030000</t>
  </si>
  <si>
    <t>6a755a9e-4971-4c4d-b9fc-dce49fa941c1</t>
  </si>
  <si>
    <t>3566321000</t>
  </si>
  <si>
    <t>7a35ceef-847a-4b33-a0db-39a5698ac0c3</t>
  </si>
  <si>
    <t>6222147125</t>
  </si>
  <si>
    <t>37165ec7-46aa-40d6-8f5a-8ec6ff648264</t>
  </si>
  <si>
    <t>7210380000</t>
  </si>
  <si>
    <t>13cce67f-14d6-46e4-8e5e-0824f92f6563</t>
  </si>
  <si>
    <t>0627214453</t>
  </si>
  <si>
    <t>38dabc89-443d-41b8-9830-60f6304ddfe9</t>
  </si>
  <si>
    <t>6736335990</t>
  </si>
  <si>
    <t>8bfad140-9e61-4092-96d0-43124b651949</t>
  </si>
  <si>
    <t>5055918329</t>
  </si>
  <si>
    <t>676d3199-7fff-47eb-b971-f78013894e33</t>
  </si>
  <si>
    <t>2553232071</t>
  </si>
  <si>
    <t>fcc98a45-242c-434f-96fe-f10317ef700e</t>
  </si>
  <si>
    <t>4755350632</t>
  </si>
  <si>
    <t>ade45bd3-c2a7-4166-bc81-24d95ffa0f0a</t>
  </si>
  <si>
    <t>9713457751</t>
  </si>
  <si>
    <t>6d9b4581-1ca9-494a-bf27-56365461d358</t>
  </si>
  <si>
    <t>2283931000</t>
  </si>
  <si>
    <t>0fd2e9e7-533f-4cdf-be61-e8794c668d91</t>
  </si>
  <si>
    <t>19b68824-5135-4caf-b198-60a18feeaf0c</t>
  </si>
  <si>
    <t>7423629431</t>
  </si>
  <si>
    <t>5da28df5-5b45-43d7-9047-283d5f0d7fc6</t>
  </si>
  <si>
    <t>2644830000</t>
  </si>
  <si>
    <t>35b23187-21e6-438c-ad28-55be7da76a18</t>
  </si>
  <si>
    <t>6292353892</t>
  </si>
  <si>
    <t>71231794-3a6c-498b-a63c-7f80e8cdc1d7</t>
  </si>
  <si>
    <t>9126001412</t>
  </si>
  <si>
    <t>4cb09de5-a9b5-4579-92aa-1f7522a17fda</t>
  </si>
  <si>
    <t>4246694688</t>
  </si>
  <si>
    <t>b4e74266-5017-45a8-8d97-c4606e67382d</t>
  </si>
  <si>
    <t>1816340000</t>
  </si>
  <si>
    <t>c4672d17-3914-4b9a-b492-c13b3e064279</t>
  </si>
  <si>
    <t>2786739945</t>
  </si>
  <si>
    <t>993ecc25-c056-4cc2-9fd2-428cc4e103df</t>
  </si>
  <si>
    <t>7789171149</t>
  </si>
  <si>
    <t>3f4d1b3b-cc5f-4970-a99f-8c25bff96af7</t>
  </si>
  <si>
    <t>4949150000</t>
  </si>
  <si>
    <t>b33b8f42-d4ae-47dd-b633-ceacfc1060d5</t>
  </si>
  <si>
    <t>8072751000</t>
  </si>
  <si>
    <t>a29848d3-fab0-4390-8b47-d383aedf2f3c</t>
  </si>
  <si>
    <t>9524460000</t>
  </si>
  <si>
    <t>d450176a-4e76-4575-b758-0544dd0ca641</t>
  </si>
  <si>
    <t>0770620000</t>
  </si>
  <si>
    <t>a53a4b89-8d5b-4fbe-a3a7-040e5023ff19</t>
  </si>
  <si>
    <t>1471520000</t>
  </si>
  <si>
    <t>a6acaf50-cc4c-4e23-99be-1081da1d17b2</t>
  </si>
  <si>
    <t>4195950000</t>
  </si>
  <si>
    <t>666b7f36-42aa-4c5a-823e-9ed36e7454ce</t>
  </si>
  <si>
    <t>6232280000</t>
  </si>
  <si>
    <t>548d7f74-aa99-4dac-a92e-69e87cae65ad</t>
  </si>
  <si>
    <t>0857783306</t>
  </si>
  <si>
    <t>e24e1bdd-36f8-4ec0-b839-e5e282a5441c</t>
  </si>
  <si>
    <t>3480611000</t>
  </si>
  <si>
    <t>16d7cc9f-5d45-46a6-bdfc-52499ed5423f</t>
  </si>
  <si>
    <t>2713960000</t>
  </si>
  <si>
    <t>b78990c4-294e-418a-811c-650da110d3f8</t>
  </si>
  <si>
    <t>1790274066</t>
  </si>
  <si>
    <t>not for rate increases</t>
  </si>
  <si>
    <t>38880b4a-cb61-413d-8f52-614b65cc2ea3</t>
  </si>
  <si>
    <t>3317467505</t>
  </si>
  <si>
    <t>75f3d1dd-4140-4985-b437-ef21c9dfc9ba</t>
  </si>
  <si>
    <t>9713723488</t>
  </si>
  <si>
    <t>c94bcfe8-4131-43e7-968d-76868194b590</t>
  </si>
  <si>
    <t>2707161000</t>
  </si>
  <si>
    <t>a71b66f2-1bdc-489d-ac97-4adb962a591c</t>
  </si>
  <si>
    <t>4322390000</t>
  </si>
  <si>
    <t>b4f062d3-5155-42eb-a4aa-709be70d6ab9</t>
  </si>
  <si>
    <t>9804331000</t>
  </si>
  <si>
    <t>05fead21-b9f1-408f-9a98-d20af195c518</t>
  </si>
  <si>
    <t>5687941000</t>
  </si>
  <si>
    <t>00cbba9c-9ef4-4524-bdc8-0c4bf595c168</t>
  </si>
  <si>
    <t>4095570000</t>
  </si>
  <si>
    <t>NEW BB  AMOUNT 309.00</t>
  </si>
  <si>
    <t>9dbbe1de-b439-4b5e-802d-1d327e9431c8</t>
  </si>
  <si>
    <t>6922736019</t>
  </si>
  <si>
    <t>71cd8ad8-12b5-43fd-b3c5-8657df82def5</t>
  </si>
  <si>
    <t>0370184572</t>
  </si>
  <si>
    <t>d970b44e-5183-4a55-a7ac-5bd98370516e</t>
  </si>
  <si>
    <t>9297010000</t>
  </si>
  <si>
    <t>57c9d500-5f6f-42ea-89a7-a29e403d3f65</t>
  </si>
  <si>
    <t>7395790000</t>
  </si>
  <si>
    <t>db7a73c7-8fda-4c12-aa64-f4aea89ef7bb</t>
  </si>
  <si>
    <t>9988610610</t>
  </si>
  <si>
    <t>26f7bffa-49c0-46bc-9d86-590ec2dc2aed</t>
  </si>
  <si>
    <t>7948393933</t>
  </si>
  <si>
    <t>086929b0-8109-4544-90a3-468ff963b585</t>
  </si>
  <si>
    <t>8909137526</t>
  </si>
  <si>
    <t>bc07088d-2043-4926-b391-181b53804d89</t>
  </si>
  <si>
    <t>6641580000</t>
  </si>
  <si>
    <t>c0109b82-4987-49ec-aac8-565912fdb12c</t>
  </si>
  <si>
    <t>1460051272</t>
  </si>
  <si>
    <t>3156937d-6e26-42aa-87e2-a9fa0ae85e67</t>
  </si>
  <si>
    <t>0474852117</t>
  </si>
  <si>
    <t>d882a57c-fce6-4c91-8970-f26ee1cbe900</t>
  </si>
  <si>
    <t>6253965494</t>
  </si>
  <si>
    <t>DID NOT WANT TO BE CALLED</t>
  </si>
  <si>
    <t>8a74f117-5797-4c58-b5d8-768b27506cdf</t>
  </si>
  <si>
    <t>5084150000</t>
  </si>
  <si>
    <t>3141187a-2a2f-436b-8efb-349e5f37d492</t>
  </si>
  <si>
    <t>1189841000</t>
  </si>
  <si>
    <t>3ab11739-ebc2-41f8-a0d2-0f9a99070401</t>
  </si>
  <si>
    <t>4263668163</t>
  </si>
  <si>
    <t>REJECTED CALL</t>
  </si>
  <si>
    <t>0e893e3b-29d2-4d33-ad3b-2bf70fdcc85a</t>
  </si>
  <si>
    <t>6573080097</t>
  </si>
  <si>
    <t>b35cc29a-ece3-42b3-a673-180b79d12abd</t>
  </si>
  <si>
    <t>1754570000</t>
  </si>
  <si>
    <t>6e76316b-d19a-4a73-a9b8-2b72207fc3bc</t>
  </si>
  <si>
    <t>1383444423</t>
  </si>
  <si>
    <t>88ca4d79-81a2-4840-a145-7a699580c14d</t>
  </si>
  <si>
    <t>8510901315</t>
  </si>
  <si>
    <t>b4d95fd2-9763-42ba-ae59-9bf94010db42</t>
  </si>
  <si>
    <t>4077484827</t>
  </si>
  <si>
    <t>84116c28-ca61-47be-ace3-a083d489dd10</t>
  </si>
  <si>
    <t>1946751000</t>
  </si>
  <si>
    <t>8eb6adca-b9c2-446d-963a-d321b5fdeebe</t>
  </si>
  <si>
    <t>7591331000</t>
  </si>
  <si>
    <t>f6d28b7e-d027-4c45-b176-1096469980cc</t>
  </si>
  <si>
    <t>6818845467</t>
  </si>
  <si>
    <t>b0cc0fbb-e409-4dc0-a3a9-529e6a5d1273</t>
  </si>
  <si>
    <t>3806613194</t>
  </si>
  <si>
    <t>80f2c979-ef20-495d-891d-1989e492e0f3</t>
  </si>
  <si>
    <t>3297731000</t>
  </si>
  <si>
    <t>d14c4a25-616b-4a58-bfe1-1330b1453fbd</t>
  </si>
  <si>
    <t>3214901000</t>
  </si>
  <si>
    <t>f5d9fd60-2a66-46c5-961c-c7f3eab26edb</t>
  </si>
  <si>
    <t>1150201000</t>
  </si>
  <si>
    <t>7204b486-3764-41e7-bcc1-2e5279877a24</t>
  </si>
  <si>
    <t>9452141000</t>
  </si>
  <si>
    <t>13006cb1-44d7-462f-9ac2-5d34b353a5b3</t>
  </si>
  <si>
    <t>4309031000</t>
  </si>
  <si>
    <t>55f74ea4-66fc-4173-98d9-30c163654408</t>
  </si>
  <si>
    <t>5470751000</t>
  </si>
  <si>
    <t>61a80094-635a-4de8-bd11-7fd5d06a1093</t>
  </si>
  <si>
    <t>9058887734</t>
  </si>
  <si>
    <t>5da079a5-25c4-41ed-98af-0bb61ad773a2</t>
  </si>
  <si>
    <t>3801590000</t>
  </si>
  <si>
    <t>NEW BB  Total Budget Amount $237.00</t>
  </si>
  <si>
    <t>bea3bc81-514f-4796-bef3-9ae96af5a261</t>
  </si>
  <si>
    <t>9909801000</t>
  </si>
  <si>
    <t>f6f223ea-67c9-4edb-b8aa-207060fc5377</t>
  </si>
  <si>
    <t>4885204722</t>
  </si>
  <si>
    <t>97ae9fa3-b0a0-42a4-a39d-b0c8ecde02df</t>
  </si>
  <si>
    <t>8914685192</t>
  </si>
  <si>
    <t>2d08fd99-d7c2-4c91-a3ba-44c14cf4ed6c</t>
  </si>
  <si>
    <t>8798080598</t>
  </si>
  <si>
    <t>d5e8142e-9f39-4d67-9c36-6605f8afd008</t>
  </si>
  <si>
    <t>5936601000</t>
  </si>
  <si>
    <t>e0f27a91-cd2c-4cbe-af71-f72153d09885</t>
  </si>
  <si>
    <t>5931221000</t>
  </si>
  <si>
    <t>292b3f26-e671-4637-b445-c957c2215ce0</t>
  </si>
  <si>
    <t>2057731000</t>
  </si>
  <si>
    <t>7aa59b72-0779-4ad9-b6d7-acc9c65f5f04</t>
  </si>
  <si>
    <t>5909528621</t>
  </si>
  <si>
    <t>28067338-eef4-4e83-842f-6c8fb45c876d</t>
  </si>
  <si>
    <t>5503296768</t>
  </si>
  <si>
    <t>7c0c5b8e-866b-420f-b1e9-7d98e2167c28</t>
  </si>
  <si>
    <t>8464670000</t>
  </si>
  <si>
    <t>b4bce685-9f6c-4c0d-a8e7-bff664fee3df</t>
  </si>
  <si>
    <t>6932600000</t>
  </si>
  <si>
    <t>5a54482e-dc13-415b-855c-4fb6e46a9e04</t>
  </si>
  <si>
    <t>6129600993</t>
  </si>
  <si>
    <t>a0575946-65a5-491c-9eed-e4ac0e76bd8a</t>
  </si>
  <si>
    <t>1501070000</t>
  </si>
  <si>
    <t>f0a8e262-4ef6-4db8-950c-6d510246a728</t>
  </si>
  <si>
    <t>4773125499</t>
  </si>
  <si>
    <t>749f1bde-2ae5-481e-8c87-a46f92b60177</t>
  </si>
  <si>
    <t>1370851931</t>
  </si>
  <si>
    <t>4be59fe9-6484-44f7-aa35-f06df7d93634</t>
  </si>
  <si>
    <t>9983127893</t>
  </si>
  <si>
    <t>a4dc6fa0-7b0c-43fb-974a-be52ea198c4c</t>
  </si>
  <si>
    <t>9411880000</t>
  </si>
  <si>
    <t>0b267a89-d372-4010-9c3b-4f31acd0cddc</t>
  </si>
  <si>
    <t>4392248810</t>
  </si>
  <si>
    <t>90952c1f-7f27-431b-ab3a-9671c5b4acea</t>
  </si>
  <si>
    <t>3762361661</t>
  </si>
  <si>
    <t>990c71c8-ec5e-492d-bcd8-0da5d8a88b87</t>
  </si>
  <si>
    <t>0807760000</t>
  </si>
  <si>
    <t>48505fc9-91d9-4161-96ec-d0138f1a14d1</t>
  </si>
  <si>
    <t>8351131000</t>
  </si>
  <si>
    <t>877988bd-a4fb-4b17-a762-662dcf4ea36b</t>
  </si>
  <si>
    <t>7571491082</t>
  </si>
  <si>
    <t>878a8456-0478-4083-b0d7-821f2b6b3988</t>
  </si>
  <si>
    <t>4776840675</t>
  </si>
  <si>
    <t>259aab9c-b8f0-47db-891c-cab0770094bc</t>
  </si>
  <si>
    <t>6559521559</t>
  </si>
  <si>
    <t>c3fe7ee1-2ed5-4b05-a5af-a7e44f3ba979</t>
  </si>
  <si>
    <t>7171143951</t>
  </si>
  <si>
    <t>2ec24912-f2b1-4130-84c6-c7b541cbe996</t>
  </si>
  <si>
    <t>8352070000</t>
  </si>
  <si>
    <t>ef3ab0e0-c92b-4678-ad98-51ce05b2b8c9</t>
  </si>
  <si>
    <t>1969900000</t>
  </si>
  <si>
    <t>4476e43a-e85c-4a9d-b71c-689dc65ac113</t>
  </si>
  <si>
    <t>3711421000</t>
  </si>
  <si>
    <t>5a521e27-6873-4bc8-ad56-226e4ecf0c35</t>
  </si>
  <si>
    <t>9762601000</t>
  </si>
  <si>
    <t>784d1c2c-91e5-4638-be22-23993af3dcc6</t>
  </si>
  <si>
    <t>5434621000</t>
  </si>
  <si>
    <t>91f20a09-cfff-4697-bef0-0418a32b6e5e</t>
  </si>
  <si>
    <t>1276931000</t>
  </si>
  <si>
    <t>7cbaef0f-e23a-4831-b50c-33f038b4f39a</t>
  </si>
  <si>
    <t>0211611000</t>
  </si>
  <si>
    <t>405a9822-e777-4af9-af58-aa5038eacea0</t>
  </si>
  <si>
    <t>1116019420</t>
  </si>
  <si>
    <t>830a54b4-6c74-478b-93cb-1c0ad0b36ff3</t>
  </si>
  <si>
    <t>3668790000</t>
  </si>
  <si>
    <t>7b18875f-f7ae-4a71-a98f-6f700ca016f5</t>
  </si>
  <si>
    <t>3406690000</t>
  </si>
  <si>
    <t>769eff34-42a1-412f-a039-6662063004cf</t>
  </si>
  <si>
    <t>8746371337</t>
  </si>
  <si>
    <t>dd6bb81c-2c41-4b0d-bea1-065840dcfa1e</t>
  </si>
  <si>
    <t>5434101000</t>
  </si>
  <si>
    <t>96e4ff48-744f-4c89-b8f8-071c92259684</t>
  </si>
  <si>
    <t>9194711000</t>
  </si>
  <si>
    <t>09cf95c1-7652-426f-b0f4-ed94400ba038</t>
  </si>
  <si>
    <t>0037795787</t>
  </si>
  <si>
    <t>ea926633-de68-4b75-92f2-6a80af7d3664</t>
  </si>
  <si>
    <t>2582490000</t>
  </si>
  <si>
    <t>545e47d3-d6f0-469e-8ce6-863da5894f93</t>
  </si>
  <si>
    <t>6810330000</t>
  </si>
  <si>
    <t>e5d1e951-7b4a-4657-ae78-90d16ef2159f</t>
  </si>
  <si>
    <t>1336550000</t>
  </si>
  <si>
    <t>98de5b73-8c93-452e-ae51-b16fe53a74f3</t>
  </si>
  <si>
    <t>2887570000</t>
  </si>
  <si>
    <t>1b40f2be-c9ce-4820-b419-e7a2e685e44f</t>
  </si>
  <si>
    <t>5126480000</t>
  </si>
  <si>
    <t>309e81e1-93bb-4ac7-8670-e42577c4e88c</t>
  </si>
  <si>
    <t>6007103080</t>
  </si>
  <si>
    <t>77f918e6-e7e9-479f-9ff6-6716f2412403</t>
  </si>
  <si>
    <t>6353724277</t>
  </si>
  <si>
    <t>98e3191c-a301-42d3-b9c3-76b48b760f85</t>
  </si>
  <si>
    <t>2463621000</t>
  </si>
  <si>
    <t>2bb3321c-d8f7-4672-b0fc-c13333717244</t>
  </si>
  <si>
    <t>2897563325</t>
  </si>
  <si>
    <t>b5fc088f-a7dc-4513-b023-ac2ef9d6b5f3</t>
  </si>
  <si>
    <t>9099650000</t>
  </si>
  <si>
    <t>469bd5ee-cb70-4ac6-8de7-8f1f21d93137</t>
  </si>
  <si>
    <t>f4068f94-eb1a-4311-8234-54df3927cc24</t>
  </si>
  <si>
    <t>6381851000</t>
  </si>
  <si>
    <t>89d51c4e-9c5b-4599-be28-d25697ca50e0</t>
  </si>
  <si>
    <t>5254461000</t>
  </si>
  <si>
    <t>34dedd59-f41d-4fb3-9146-d593582ce9e9</t>
  </si>
  <si>
    <t>5226390000</t>
  </si>
  <si>
    <t>e4fdabe3-10fc-4de0-b4a6-39ec12c039ee</t>
  </si>
  <si>
    <t>2887200000</t>
  </si>
  <si>
    <t>acefe4a5-a099-47fb-9162-57ab047acc0b</t>
  </si>
  <si>
    <t>0762951654</t>
  </si>
  <si>
    <t>4a13d0bd-3c5c-4af5-8674-46a2d0616657</t>
  </si>
  <si>
    <t>8744753955</t>
  </si>
  <si>
    <t>9c2918c9-d565-4953-a4cd-44762ce5dc43</t>
  </si>
  <si>
    <t>8b013dd2-b5a4-4a39-8a3d-668ac58872bc</t>
  </si>
  <si>
    <t>6609290000</t>
  </si>
  <si>
    <t>7de0ca5d-3f72-482f-afec-07fc9947b460</t>
  </si>
  <si>
    <t>0272930000</t>
  </si>
  <si>
    <t>8201a331-a5c9-46c9-9131-c98d815d74a8</t>
  </si>
  <si>
    <t>e8100911-3013-4674-b419-cd23d8d30705</t>
  </si>
  <si>
    <t>6945331000</t>
  </si>
  <si>
    <t>b9b410fd-451a-4170-9ce8-8be4d3cff322</t>
  </si>
  <si>
    <t>4232034608</t>
  </si>
  <si>
    <t>dcdfdb8b-119d-43e3-8bb3-c57930355e11</t>
  </si>
  <si>
    <t>43a3fba3-ac0d-4127-a417-bade1aab4d4e</t>
  </si>
  <si>
    <t>0777430000</t>
  </si>
  <si>
    <t>4d289205-35a5-4890-9fc0-0f370d1b5194</t>
  </si>
  <si>
    <t>6740473583</t>
  </si>
  <si>
    <t>6fbd4ab8-982c-4ae5-a23d-38a976ccd480</t>
  </si>
  <si>
    <t>4591500000</t>
  </si>
  <si>
    <t>eb3d8073-0d5f-42ac-8c78-484e6d93cc22</t>
  </si>
  <si>
    <t>5852690207</t>
  </si>
  <si>
    <t>a3acb69a-cff3-4d0b-b713-a81c1f0fa2f9</t>
  </si>
  <si>
    <t>0629830000</t>
  </si>
  <si>
    <t>89dcac64-29d1-499a-b50d-78db54698483</t>
  </si>
  <si>
    <t>1107990000</t>
  </si>
  <si>
    <t>76c6ad8b-b4a1-4185-9eef-b2c9997a3476</t>
  </si>
  <si>
    <t>6529860000</t>
  </si>
  <si>
    <t>cdb266d5-476a-4e4b-b313-99301fc187b9</t>
  </si>
  <si>
    <t>0876477458</t>
  </si>
  <si>
    <t>c3a1f4be-5852-4e43-855d-d3b9540dfae9</t>
  </si>
  <si>
    <t>5636251000</t>
  </si>
  <si>
    <t>7f858ab7-fa6a-409b-b30f-0f24bf3abddc</t>
  </si>
  <si>
    <t>2726500000</t>
  </si>
  <si>
    <t>08327ec0-ebe6-4589-8e05-18e1bb799768</t>
  </si>
  <si>
    <t>2729421000</t>
  </si>
  <si>
    <t>58d9d967-86fe-486b-8ffa-1fbb4d5a91a9</t>
  </si>
  <si>
    <t>6975666837</t>
  </si>
  <si>
    <t>e15c6282-34fa-4ec1-b63d-d9825f251f6f</t>
  </si>
  <si>
    <t>0836129855</t>
  </si>
  <si>
    <t>fa7a38bf-4158-4fd7-a3f1-f16101c7113e</t>
  </si>
  <si>
    <t>8492801026</t>
  </si>
  <si>
    <t>a38ff25d-1da0-4f66-b307-6a4486b6e79c</t>
  </si>
  <si>
    <t>5226342152</t>
  </si>
  <si>
    <t>da0e992a-b2f7-4510-8548-c4ac3f38bc2f</t>
  </si>
  <si>
    <t>9928983381</t>
  </si>
  <si>
    <t>9891cc57-4dec-41e5-81ee-7b8bcbab52fd</t>
  </si>
  <si>
    <t>3500289152</t>
  </si>
  <si>
    <t>f868c267-b4b3-45fd-a2f5-a80b9c26ffcd</t>
  </si>
  <si>
    <t>8321721000</t>
  </si>
  <si>
    <t>3e76b52d-c3e4-491c-bfe4-26ea3ecbdcec</t>
  </si>
  <si>
    <t>4539057378</t>
  </si>
  <si>
    <t>c78a01f6-e467-4d17-b984-279bc7a3e754</t>
  </si>
  <si>
    <t>8910276728</t>
  </si>
  <si>
    <t>39aaadaf-4d6e-41e7-b051-3880d39c9a3a</t>
  </si>
  <si>
    <t>2349858876</t>
  </si>
  <si>
    <t>4ef3ba90-9357-4dd6-8710-b9c5fde84d4e</t>
  </si>
  <si>
    <t>3287157855</t>
  </si>
  <si>
    <t>988177c1-5873-491f-b50d-a70b74e231b6</t>
  </si>
  <si>
    <t>8334963855</t>
  </si>
  <si>
    <t>72d9cbc0-afdd-4fa7-9db5-5cb55fff0a67</t>
  </si>
  <si>
    <t>2782988581</t>
  </si>
  <si>
    <t>810924a9-9415-40b1-9b22-f6b51bd6135b</t>
  </si>
  <si>
    <t>4627150000</t>
  </si>
  <si>
    <t>504e0b9a-d84b-49ed-ab83-c3988784e3b7</t>
  </si>
  <si>
    <t>6893057406</t>
  </si>
  <si>
    <t>193f6b83-a9fb-4806-9e58-f320b32d7ae0</t>
  </si>
  <si>
    <t>5403700000</t>
  </si>
  <si>
    <t>cb59ff5b-e878-45a7-a02b-3bf0b750c932</t>
  </si>
  <si>
    <t>2971450583</t>
  </si>
  <si>
    <t>a23af51c-45c6-4d3d-877e-fb1e3794cfe6</t>
  </si>
  <si>
    <t>9378625789</t>
  </si>
  <si>
    <t>f9368a6f-fbd9-4ac2-a324-5bfbd26cd673</t>
  </si>
  <si>
    <t>4460413461</t>
  </si>
  <si>
    <t>d10cec67-cb70-4b6a-aa2d-8e403ef35c81</t>
  </si>
  <si>
    <t>5403079705</t>
  </si>
  <si>
    <t>9818d45c-8818-48b5-9e2f-1dfa75fa9417</t>
  </si>
  <si>
    <t>1217381119</t>
  </si>
  <si>
    <t>e3857c19-26bf-4e91-ae58-671c364d712d</t>
  </si>
  <si>
    <t>6948703534</t>
  </si>
  <si>
    <t>1860d752-556b-4e85-ace8-006656c5a382</t>
  </si>
  <si>
    <t>0859906185</t>
  </si>
  <si>
    <t>eb88fa22-a1cc-4062-b27f-abb52d464746</t>
  </si>
  <si>
    <t>3042908052</t>
  </si>
  <si>
    <t>ebbeea4a-15a2-495f-b04b-f86e491a7177</t>
  </si>
  <si>
    <t>7836090000</t>
  </si>
  <si>
    <t>129fb1de-8e03-4f65-9f21-d4d72807903b</t>
  </si>
  <si>
    <t>4812351000</t>
  </si>
  <si>
    <t>bc2baf48-dbe7-4024-b67b-bed411cd88da</t>
  </si>
  <si>
    <t>7329530000</t>
  </si>
  <si>
    <t>c2ef88e5-9392-4403-897f-4bebfcd258c1</t>
  </si>
  <si>
    <t>1264630000</t>
  </si>
  <si>
    <t>ec8a084a-c4a8-4e81-9b9e-973a785fd9ce</t>
  </si>
  <si>
    <t>8262211000</t>
  </si>
  <si>
    <t>68a61100-c01a-48de-a945-c26d89c32f9e</t>
  </si>
  <si>
    <t>7812541000</t>
  </si>
  <si>
    <t>1421a790-c1e1-484c-b744-257d8f311b1a</t>
  </si>
  <si>
    <t>1334820000</t>
  </si>
  <si>
    <t>d546b0f9-d001-4c0d-ac35-3798886c347c</t>
  </si>
  <si>
    <t>0611347410</t>
  </si>
  <si>
    <t>a7c1372e-9356-4ad9-ba83-0884bc3ee18e</t>
  </si>
  <si>
    <t>5213017390</t>
  </si>
  <si>
    <t>dea66027-b081-406d-9e79-a9e16aef5795</t>
  </si>
  <si>
    <t>7489330000</t>
  </si>
  <si>
    <t>24cb7a66-1037-4596-90e8-f891f735de0e</t>
  </si>
  <si>
    <t>1022760000</t>
  </si>
  <si>
    <t>7948d8dd-45dd-4715-9b7a-6889c9594df4</t>
  </si>
  <si>
    <t>d847037d-3e13-467b-9e30-54c545e16634</t>
  </si>
  <si>
    <t>df9ccbe2-8cad-4632-9220-ad7b41834309</t>
  </si>
  <si>
    <t>3266151000</t>
  </si>
  <si>
    <t>6dc00f9d-9ced-4ae3-8c88-a6574b087bcc</t>
  </si>
  <si>
    <t>2265569362</t>
  </si>
  <si>
    <t>3efbbc9d-dba7-4df9-a1c9-be0b4d46df79</t>
  </si>
  <si>
    <t>5e66410b-4908-4e75-8ade-87f6694b2a12</t>
  </si>
  <si>
    <t>1993960000</t>
  </si>
  <si>
    <t>5b6bacbe-c0b1-4cd7-ace2-7c938e7d5f47</t>
  </si>
  <si>
    <t>0470347729</t>
  </si>
  <si>
    <t>99c4d2db-4af8-4148-b459-07b737efa42d</t>
  </si>
  <si>
    <t>3115810000</t>
  </si>
  <si>
    <t>48dfef1b-34da-4ccf-8b6e-06269e40e6ee</t>
  </si>
  <si>
    <t>2196530000</t>
  </si>
  <si>
    <t>d035ca25-c2ff-4382-b49c-af5cd1fbc109</t>
  </si>
  <si>
    <t>3750358464</t>
  </si>
  <si>
    <t>beda82db-aa46-4309-acca-2a64e5195cb2</t>
  </si>
  <si>
    <t>3381172505</t>
  </si>
  <si>
    <t>1b28b84d-08ce-45b6-8ce4-91cd8a07d136</t>
  </si>
  <si>
    <t>2493851000</t>
  </si>
  <si>
    <t>de377072-a59c-49c5-b958-3d51aee70be6</t>
  </si>
  <si>
    <t>6253351000</t>
  </si>
  <si>
    <t>e9e27a78-396f-4ab3-ab07-525adfbfc0c7</t>
  </si>
  <si>
    <t>9163322510</t>
  </si>
  <si>
    <t>cac3ebec-7bc2-4115-a976-57a13f1de51b</t>
  </si>
  <si>
    <t>6608681161</t>
  </si>
  <si>
    <t>61a2be35-e416-4abb-977f-5516afa5dd9a</t>
  </si>
  <si>
    <t>9873429265</t>
  </si>
  <si>
    <t>0076fa0e-9d76-4023-8133-73ce73d0e640</t>
  </si>
  <si>
    <t>7219224316</t>
  </si>
  <si>
    <t>59becf78-1bf5-4622-9d07-61171b06d968</t>
  </si>
  <si>
    <t>8289031000</t>
  </si>
  <si>
    <t>674db63e-b4d8-492e-b001-14012d1eed64</t>
  </si>
  <si>
    <t>8471280303</t>
  </si>
  <si>
    <t>49a0401c-dbd7-41c8-9c10-dec3e7a41ebe</t>
  </si>
  <si>
    <t>9120261000</t>
  </si>
  <si>
    <t>2c429652-2bfc-4e95-91cc-5a3c51c8a334</t>
  </si>
  <si>
    <t>7320710000</t>
  </si>
  <si>
    <t>af9a95be-133f-4d35-88d7-902d0ea4f76a</t>
  </si>
  <si>
    <t>7653356618</t>
  </si>
  <si>
    <t>0cb02e02-f880-4863-af61-424915525fc9</t>
  </si>
  <si>
    <t>9190810517</t>
  </si>
  <si>
    <t>8a43e73e-43d2-42b0-bed7-730413304437</t>
  </si>
  <si>
    <t>8747623529</t>
  </si>
  <si>
    <t>643b755b-b56d-4f1c-a61f-2e3c265abcca</t>
  </si>
  <si>
    <t>6372180000</t>
  </si>
  <si>
    <t>7c2127b3-072e-4052-8eeb-2b51f44f9eea</t>
  </si>
  <si>
    <t>0638230000</t>
  </si>
  <si>
    <t>37a12d2a-530d-49d4-a092-92ab9ffb60ef</t>
  </si>
  <si>
    <t>2488431000</t>
  </si>
  <si>
    <t>7dc2190a-604e-4adb-9f53-5f2c1080b533</t>
  </si>
  <si>
    <t>5848920000</t>
  </si>
  <si>
    <t>4a8d963e-5f1a-4294-a1c8-40250b2bd325</t>
  </si>
  <si>
    <t>8914350000</t>
  </si>
  <si>
    <t>a57df7a2-c617-49bd-91d5-437108a542df</t>
  </si>
  <si>
    <t>3718560000</t>
  </si>
  <si>
    <t>84bfdbaa-77d7-4cea-a3f3-441b4a3f35f6</t>
  </si>
  <si>
    <t>5836280000</t>
  </si>
  <si>
    <t>09b036b2-6946-4d6a-99ec-c0229740a6dd</t>
  </si>
  <si>
    <t>7979387407</t>
  </si>
  <si>
    <t>37b7ec92-c494-44a7-b394-39254f48cd2a</t>
  </si>
  <si>
    <t>1223180000</t>
  </si>
  <si>
    <t>278a6ad5-3259-4c71-a7da-57698779021c</t>
  </si>
  <si>
    <t>1641700000</t>
  </si>
  <si>
    <t>d3592796-93ae-4e8b-a330-07d72fc23b82</t>
  </si>
  <si>
    <t>3987590960</t>
  </si>
  <si>
    <t>6d842382-2f8e-4719-a0fd-445f473e7dd0</t>
  </si>
  <si>
    <t>5752931000</t>
  </si>
  <si>
    <t>a0aa78ea-3ba4-4500-82b2-42bc9aef4894</t>
  </si>
  <si>
    <t>7756330000</t>
  </si>
  <si>
    <t>37fd2b2d-571e-48bf-bc4d-3de9445f2b90</t>
  </si>
  <si>
    <t>6957903863</t>
  </si>
  <si>
    <t>aab89300-8364-4be0-8168-cff872fad36e</t>
  </si>
  <si>
    <t>9085230000</t>
  </si>
  <si>
    <t>cfcb7c4a-8a51-4f7a-83ba-a1365155b484</t>
  </si>
  <si>
    <t>3305306760</t>
  </si>
  <si>
    <t>aac3eded-ac60-4752-9ba3-9d4d268a4bf1</t>
  </si>
  <si>
    <t>8037650000</t>
  </si>
  <si>
    <t>474f5824-478e-4afe-b150-9f14a3d51c3d</t>
  </si>
  <si>
    <t>4250340000</t>
  </si>
  <si>
    <t>2d2ca4b0-4cd4-4297-9d98-59d7d2dee7d8</t>
  </si>
  <si>
    <t>5904989349</t>
  </si>
  <si>
    <t>01b4834f-9b28-4e13-9469-b56f51aba0b7</t>
  </si>
  <si>
    <t>7017440000</t>
  </si>
  <si>
    <t>42f4e68d-e8e4-459a-b928-62bcfb727b34</t>
  </si>
  <si>
    <t>7135791485</t>
  </si>
  <si>
    <t>53dcd726-a2a9-4ab4-94fc-004181291ed8</t>
  </si>
  <si>
    <t>7167141848</t>
  </si>
  <si>
    <t>69740f62-66fe-4483-b16c-6223b2c3098b</t>
  </si>
  <si>
    <t>7837541989</t>
  </si>
  <si>
    <t>ad0f21b2-555b-4b7d-aeda-c59dd68599aa</t>
  </si>
  <si>
    <t>4728431000</t>
  </si>
  <si>
    <t>8c32a809-cacb-46c0-b2f1-c54e4de0a4df</t>
  </si>
  <si>
    <t>1584750000</t>
  </si>
  <si>
    <t>0cb3ede0-a4e1-4c85-9e3b-94b4ffda8935</t>
  </si>
  <si>
    <t>8421411000</t>
  </si>
  <si>
    <t>67cb481a-83db-401c-a36c-1b58cc0f32d4</t>
  </si>
  <si>
    <t>9329250000</t>
  </si>
  <si>
    <t>72cec877-21dd-428c-8b25-30bb4b4eaee7</t>
  </si>
  <si>
    <t>8128520000</t>
  </si>
  <si>
    <t>b90c49c2-82fa-4be5-aad5-31f1e5895fec</t>
  </si>
  <si>
    <t>3918610000</t>
  </si>
  <si>
    <t>0fff0921-33b7-4fcb-b7cf-dc341bb8e86b</t>
  </si>
  <si>
    <t>1935101000</t>
  </si>
  <si>
    <t>ee621ded-de75-4572-a277-ee3d422c0ef3</t>
  </si>
  <si>
    <t>8253626106</t>
  </si>
  <si>
    <t>198dad86-f6fb-4b02-ba35-5c8994c4358a</t>
  </si>
  <si>
    <t>5811606019</t>
  </si>
  <si>
    <t>b4acc71b-8c48-4738-9c1e-cba64aac8400</t>
  </si>
  <si>
    <t>4886048295</t>
  </si>
  <si>
    <t>ce3c8b6c-63f1-4afa-be4c-c33e49f747ce</t>
  </si>
  <si>
    <t>9312211000</t>
  </si>
  <si>
    <t>96a00a7c-48b4-41d5-b05f-45cc835d8a25</t>
  </si>
  <si>
    <t>7156731000</t>
  </si>
  <si>
    <t>910b43ad-e1a2-4912-a27c-c30fcee1b92e</t>
  </si>
  <si>
    <t>8951210000</t>
  </si>
  <si>
    <t>b19f5c18-efa6-4710-82e4-c81198c5eadb</t>
  </si>
  <si>
    <t>0820101000</t>
  </si>
  <si>
    <t>830b41af-b841-4790-b2cf-ca3d71871107</t>
  </si>
  <si>
    <t>0395270000</t>
  </si>
  <si>
    <t>f9fec3e8-6cc0-442c-9e3d-9b25a6fdb90e</t>
  </si>
  <si>
    <t>0676710000</t>
  </si>
  <si>
    <t>fccf4d48-f417-47da-b34a-bc5220b2f7c6</t>
  </si>
  <si>
    <t>4591520000</t>
  </si>
  <si>
    <t>e9de133a-00d0-42e2-80f1-be18a14cf66b</t>
  </si>
  <si>
    <t>9044440000</t>
  </si>
  <si>
    <t>bfae2ced-996a-4ca7-815d-88b62847e322</t>
  </si>
  <si>
    <t>7862501317</t>
  </si>
  <si>
    <t>6621e709-f61a-45bf-998d-7df889ae06f3</t>
  </si>
  <si>
    <t>7884110000</t>
  </si>
  <si>
    <t>062a009d-c73b-481b-ad7a-69e8c3256392</t>
  </si>
  <si>
    <t>3334230000</t>
  </si>
  <si>
    <t>5a3f0fd6-d74d-418b-8057-9579b2004481</t>
  </si>
  <si>
    <t>1190311000</t>
  </si>
  <si>
    <t>0fa753a5-1d28-4049-9701-8a548c7282b2</t>
  </si>
  <si>
    <t>1080686483</t>
  </si>
  <si>
    <t>8a3c20b9-8b69-4933-bd74-3f9bcb45d65e</t>
  </si>
  <si>
    <t>3107488641</t>
  </si>
  <si>
    <t>cb4ca23f-9031-4c69-8c03-2e22f98663b1</t>
  </si>
  <si>
    <t>4148665323</t>
  </si>
  <si>
    <t>ff20d536-3b17-4259-b0a8-88f629b82afe</t>
  </si>
  <si>
    <t>3166080000</t>
  </si>
  <si>
    <t>e402b5db-b218-490b-a999-4dbdfea62b55</t>
  </si>
  <si>
    <t>8641426607</t>
  </si>
  <si>
    <t>d359f60e-04ef-429b-9e1f-99b73ec23e31</t>
  </si>
  <si>
    <t>7220682240</t>
  </si>
  <si>
    <t>02dcb347-43a1-467e-85fa-3493e684b8f0</t>
  </si>
  <si>
    <t>5802184548</t>
  </si>
  <si>
    <t>75c1c054-8ded-440c-86a5-78e077a9ee41</t>
  </si>
  <si>
    <t>6838697128</t>
  </si>
  <si>
    <t>be2176bd-9d9f-4387-a609-4fa4180b430b</t>
  </si>
  <si>
    <t>7106518603</t>
  </si>
  <si>
    <t>700ae324-8d0a-4bb1-94bf-42f8daf29e0d</t>
  </si>
  <si>
    <t>3853770000</t>
  </si>
  <si>
    <t>7140f72d-11b0-4ebd-8423-69dac7d5106c</t>
  </si>
  <si>
    <t>0961541000</t>
  </si>
  <si>
    <t>e6b60bed-73e7-4fdf-9e64-f4d8406240f1</t>
  </si>
  <si>
    <t>5044377438</t>
  </si>
  <si>
    <t>e392aa15-1b39-4ec5-9c77-1fe9921d33ef</t>
  </si>
  <si>
    <t>0970302756</t>
  </si>
  <si>
    <t>79f2ac2d-b2d7-4cdf-92f4-145618d2943c</t>
  </si>
  <si>
    <t>2175301000</t>
  </si>
  <si>
    <t>65a98892-2efc-4081-b520-8255b6365bef</t>
  </si>
  <si>
    <t>7684247240</t>
  </si>
  <si>
    <t>5c755d6d-e7d7-4178-b440-fd85b8521c69</t>
  </si>
  <si>
    <t>7962260520</t>
  </si>
  <si>
    <t>36f7adcb-447c-4916-8efc-2ffd04f418b8</t>
  </si>
  <si>
    <t>0457800000</t>
  </si>
  <si>
    <t>6b77c3f3-48dd-4e76-8d9b-e80483ccc560</t>
  </si>
  <si>
    <t>7653281462</t>
  </si>
  <si>
    <t>d8c7271b-4def-4205-abd1-797f2e6d4fce</t>
  </si>
  <si>
    <t>7538194993</t>
  </si>
  <si>
    <t>a4e481d9-6451-4517-b382-5a5b96d81b01</t>
  </si>
  <si>
    <t>8063548465</t>
  </si>
  <si>
    <t>05a35b29-7ae1-4829-b562-a60973ccff98</t>
  </si>
  <si>
    <t>7376875088</t>
  </si>
  <si>
    <t>3d29f7ce-f047-4edd-883e-d3a4d407dc54</t>
  </si>
  <si>
    <t>9237480000</t>
  </si>
  <si>
    <t>a1f289d4-b304-4ce7-8a36-f888b24fd5b7</t>
  </si>
  <si>
    <t>0f203fb1-8f3b-43fb-bc2e-7bbd76635dd1</t>
  </si>
  <si>
    <t>3686490000</t>
  </si>
  <si>
    <t>2fa29dfe-a4e3-4b12-87da-f0513419e5b0</t>
  </si>
  <si>
    <t>7fe8de16-9d06-4363-a029-c37781146848</t>
  </si>
  <si>
    <t>4132830000</t>
  </si>
  <si>
    <t>361c1c18-eb9b-4724-a454-fafd5579f5f4</t>
  </si>
  <si>
    <t>9771481818</t>
  </si>
  <si>
    <t>640c2a38-668d-4014-a395-0c32e7687816</t>
  </si>
  <si>
    <t>1970970000</t>
  </si>
  <si>
    <t>61560dac-9131-4be7-80c4-5d05b71d6a1a</t>
  </si>
  <si>
    <t>1023732719</t>
  </si>
  <si>
    <t>629380da-8f91-4f35-b008-d2b89370e5b7</t>
  </si>
  <si>
    <t>7279540000</t>
  </si>
  <si>
    <t>99c06039-aa71-4b1b-a4ce-fc43c0c7eaba</t>
  </si>
  <si>
    <t>2697756949</t>
  </si>
  <si>
    <t>cbf090a0-68a5-4d88-954f-b2dbb16dccb8</t>
  </si>
  <si>
    <t>5a4f2c57-5cab-43f7-93fc-3fc1b433774e</t>
  </si>
  <si>
    <t>2159340000</t>
  </si>
  <si>
    <t>ef5f1b60-15bc-4c93-95b4-bbe6f4b69012</t>
  </si>
  <si>
    <t>1e35c285-8691-417d-b2c9-9cc575e0d633</t>
  </si>
  <si>
    <t>4a2a4e16-8754-44c1-8696-0e175aaacbfb</t>
  </si>
  <si>
    <t>8629551000</t>
  </si>
  <si>
    <t>4b147795-d355-45ec-aa01-e4b0af69a7d7</t>
  </si>
  <si>
    <t>0581519571</t>
  </si>
  <si>
    <t>220c02cb-1d3e-4b30-b36f-486cd87a540f</t>
  </si>
  <si>
    <t>5577998699</t>
  </si>
  <si>
    <t>65716ae6-1205-4d75-a785-b328a19f3ba5</t>
  </si>
  <si>
    <t>4523821000</t>
  </si>
  <si>
    <t>9956e916-147a-4150-95f9-19fee75663a2</t>
  </si>
  <si>
    <t>1237080000</t>
  </si>
  <si>
    <t>ba2e8739-09d0-4934-9320-879eadbe3fb8</t>
  </si>
  <si>
    <t>2047225462</t>
  </si>
  <si>
    <t>382b3fa4-f5af-49b1-bca6-caf7ee4d7885</t>
  </si>
  <si>
    <t>8793561000</t>
  </si>
  <si>
    <t>9cc03440-3048-4b98-8544-983ee87392cf</t>
  </si>
  <si>
    <t>9087250000</t>
  </si>
  <si>
    <t>b8732341-c538-4eaa-8e98-2954f9a19123</t>
  </si>
  <si>
    <t>3728125563</t>
  </si>
  <si>
    <t>5bfaf97c-3987-48ec-81dd-94fce3ea02fe</t>
  </si>
  <si>
    <t>9134311000</t>
  </si>
  <si>
    <t>4e6d09b7-2859-4cc2-a446-1b73efda2fac</t>
  </si>
  <si>
    <t>0099821000</t>
  </si>
  <si>
    <t>e4d08cb9-c8bb-480d-bf3a-c068b66c35e7</t>
  </si>
  <si>
    <t>2790610000</t>
  </si>
  <si>
    <t>e81b7625-f08e-4c6d-b848-7b9273cab468</t>
  </si>
  <si>
    <t>5972711000</t>
  </si>
  <si>
    <t>89cb6076-d9c4-412b-8de8-0081d44367d4</t>
  </si>
  <si>
    <t>9057041000</t>
  </si>
  <si>
    <t>0805e550-b080-4d04-8485-7b040416f96d</t>
  </si>
  <si>
    <t>3003812929</t>
  </si>
  <si>
    <t>12bae7cf-b8ae-49af-9694-ad120e2575de</t>
  </si>
  <si>
    <t>6676790000</t>
  </si>
  <si>
    <t>ff3782b0-61b9-4098-90a9-bb8c3a3f4ac1</t>
  </si>
  <si>
    <t>1728530000</t>
  </si>
  <si>
    <t>a455f174-5db6-4e93-86fe-0298e98ceae5</t>
  </si>
  <si>
    <t>2055710000</t>
  </si>
  <si>
    <t>b118e0c7-f1a0-49e3-8328-79104956994b</t>
  </si>
  <si>
    <t>8586855180</t>
  </si>
  <si>
    <t>4826d6dd-0073-49f2-8163-e59e013df730</t>
  </si>
  <si>
    <t>3536710738</t>
  </si>
  <si>
    <t>5e09ba94-7fc5-42d0-96b9-fa48b66bdd99</t>
  </si>
  <si>
    <t>0763016212</t>
  </si>
  <si>
    <t>9be63f34-7a79-4de7-a3c4-9e64ba669a36</t>
  </si>
  <si>
    <t>3879241000</t>
  </si>
  <si>
    <t>313c33d3-3aae-454c-98ee-a8f4327cc81e</t>
  </si>
  <si>
    <t>6221886781</t>
  </si>
  <si>
    <t>ddf3f914-a0a8-4253-b11d-0db03d4e09f6</t>
  </si>
  <si>
    <t>2933051000</t>
  </si>
  <si>
    <t>902fba66-a04d-495d-a0b3-2bbd43cf217d</t>
  </si>
  <si>
    <t>7244159793</t>
  </si>
  <si>
    <t>acda1aca-f373-4883-a781-3fb655279cf4</t>
  </si>
  <si>
    <t>0637500000</t>
  </si>
  <si>
    <t>82ce6dba-5fd0-4b06-9be7-19763e36314b</t>
  </si>
  <si>
    <t>2586710000</t>
  </si>
  <si>
    <t>00f59e03-9db2-443a-a14f-ddd49e3be56e</t>
  </si>
  <si>
    <t>3369131000</t>
  </si>
  <si>
    <t>8f9eccfa-f908-474c-9880-b9a21899bded</t>
  </si>
  <si>
    <t>7243260797</t>
  </si>
  <si>
    <t>92f7cbd7-577b-4fa1-8420-f0bb6ea04754</t>
  </si>
  <si>
    <t>4086961885</t>
  </si>
  <si>
    <t>0574f03e-99f5-400c-b059-f3c8e789d38b</t>
  </si>
  <si>
    <t>2127440000</t>
  </si>
  <si>
    <t>c8f16ffd-b4e8-40b2-a611-98ae5a829adf</t>
  </si>
  <si>
    <t>7215060777</t>
  </si>
  <si>
    <t>ce14a288-c2e1-4310-aec5-c4a6f134bf89</t>
  </si>
  <si>
    <t>3924500000</t>
  </si>
  <si>
    <t>2ba9394b-3fe7-4945-ba75-5ed2e8c66d93</t>
  </si>
  <si>
    <t>9914120000</t>
  </si>
  <si>
    <t>ff5305eb-b177-4de3-a949-fcd4c66c1a59</t>
  </si>
  <si>
    <t>1654610000</t>
  </si>
  <si>
    <t>bb4e8493-4309-4c17-85f7-b4f071805594</t>
  </si>
  <si>
    <t>5450260000</t>
  </si>
  <si>
    <t>2b071157-9f3c-4215-a2cc-26c110181b7f</t>
  </si>
  <si>
    <t>6975921000</t>
  </si>
  <si>
    <t>47f7fd36-0d3d-4a40-8f34-5abaa59b827e</t>
  </si>
  <si>
    <t>8004441000</t>
  </si>
  <si>
    <t>82212321-e7f0-44e4-9570-bf3447323908</t>
  </si>
  <si>
    <t>8540070000</t>
  </si>
  <si>
    <t>22b00919-c430-4f63-a54f-927506a271c0</t>
  </si>
  <si>
    <t>7277849791</t>
  </si>
  <si>
    <t>138458e7-ffd4-418a-b818-8ae02cecbf1c</t>
  </si>
  <si>
    <t>6316480000</t>
  </si>
  <si>
    <t>efbd24f1-0f6a-4685-8701-72be5cfe74ad</t>
  </si>
  <si>
    <t>9899890000</t>
  </si>
  <si>
    <t>398f57a8-9f64-49c6-b82a-532d019bbf32</t>
  </si>
  <si>
    <t>1675649579</t>
  </si>
  <si>
    <t>fc4470f4-a5c3-40b2-b59c-85b70f6889d5</t>
  </si>
  <si>
    <t>3421360000</t>
  </si>
  <si>
    <t>eaf0c402-9928-41e7-b5b6-d85752875d4b</t>
  </si>
  <si>
    <t>3493863264</t>
  </si>
  <si>
    <t>874e8f11-f002-48b1-ab23-d20e60408c03</t>
  </si>
  <si>
    <t>7082251000</t>
  </si>
  <si>
    <t>32f93b36-c836-43bb-ac40-2d3f03afe1fd</t>
  </si>
  <si>
    <t>3235933656</t>
  </si>
  <si>
    <t>55b65ff0-0041-458c-94b9-bf8c1eb5ddee</t>
  </si>
  <si>
    <t>1486220000</t>
  </si>
  <si>
    <t>5abe5301-9d1c-4f52-8aa3-7772b5a4badb</t>
  </si>
  <si>
    <t>6579001000</t>
  </si>
  <si>
    <t>713658f9-294b-48f9-a09c-fd809641da5c</t>
  </si>
  <si>
    <t>8135001000</t>
  </si>
  <si>
    <t>ad28b78b-d07b-48d5-a082-bbb5de324472</t>
  </si>
  <si>
    <t>2790433981</t>
  </si>
  <si>
    <t>a88bcc2e-fba0-4b55-a168-c2a30f7663f4</t>
  </si>
  <si>
    <t>5799850000</t>
  </si>
  <si>
    <t>4db6dd39-c9e5-4952-9c96-c3c0f5d8582c</t>
  </si>
  <si>
    <t>6626220000</t>
  </si>
  <si>
    <t>a8c43d33-ef5f-4153-af63-643f15fa16b3</t>
  </si>
  <si>
    <t>0050340630</t>
  </si>
  <si>
    <t>30f9684f-fbee-418b-8473-c4e29ab03baf</t>
  </si>
  <si>
    <t>0187524477</t>
  </si>
  <si>
    <t>NUMBER OUT OF SERVICE</t>
  </si>
  <si>
    <t>c72c42ab-3feb-4900-b9f5-0b2d38bea40a</t>
  </si>
  <si>
    <t>0644019886</t>
  </si>
  <si>
    <t>ACT 0644019886</t>
  </si>
  <si>
    <t>7567dd39-88b7-4bcc-ac71-25a9ac98efc0</t>
  </si>
  <si>
    <t>0799340889</t>
  </si>
  <si>
    <t>75d5f6bf-31fd-46ed-a5b2-c115daa8b9eb</t>
  </si>
  <si>
    <t>1147845609</t>
  </si>
  <si>
    <t>e7d34c60-dceb-4097-9dd8-67a09f4866c3</t>
  </si>
  <si>
    <t>1163301000</t>
  </si>
  <si>
    <t>CORE ON BB PROGRAM</t>
  </si>
  <si>
    <t>2d0ad24c-86c2-40eb-8a05-42d84825f44d</t>
  </si>
  <si>
    <t>1565756559</t>
  </si>
  <si>
    <t>IS ON DEMAND &amp; IS VERY HIGH</t>
  </si>
  <si>
    <t>ad25a115-39d0-4e4c-98a9-f3d71dc080cf</t>
  </si>
  <si>
    <t>1567963536</t>
  </si>
  <si>
    <t>b374afab-c2b3-4cc7-b202-94550e0b7fd6</t>
  </si>
  <si>
    <t>1717959515</t>
  </si>
  <si>
    <t>3d41c415-aad7-46b2-a9b9-9b02e30e25b8</t>
  </si>
  <si>
    <t>1742331189</t>
  </si>
  <si>
    <t>ON THE BEST PLAN</t>
  </si>
  <si>
    <t>34bdc1dd-3f67-49bb-ad74-38f9283c51e3</t>
  </si>
  <si>
    <t>2009184288</t>
  </si>
  <si>
    <t>DID TALK TO CORE OFFER TO REVIEW ACCT</t>
  </si>
  <si>
    <t>75f22cbd-4cea-4967-beb0-d8f76a04df5a</t>
  </si>
  <si>
    <t>2074850000</t>
  </si>
  <si>
    <t>DID TALK PHILLIPS,CRYSTAL OFFER REVIEW ACCT</t>
  </si>
  <si>
    <t>47eb584a-c784-4505-9edf-16b4b3a92c96</t>
  </si>
  <si>
    <t>2882986476</t>
  </si>
  <si>
    <t>0d43cd4a-ab29-4c55-b1b4-db55193f384d</t>
  </si>
  <si>
    <t>3405320000</t>
  </si>
  <si>
    <t>3d9e04ba-fbd2-4fbb-949f-ac4fd117686e</t>
  </si>
  <si>
    <t>3616936085</t>
  </si>
  <si>
    <t>78c2cc62-fbe1-4b88-bb44-0bf68477a92a</t>
  </si>
  <si>
    <t>3811821000</t>
  </si>
  <si>
    <t>VOICE MESSAGE</t>
  </si>
  <si>
    <t>355c757b-d01f-4602-8852-92501113a1f8</t>
  </si>
  <si>
    <t>4048489946</t>
  </si>
  <si>
    <t>TIME OF USE PLAN WITH DEMAND BEST PLAN</t>
  </si>
  <si>
    <t>1ed963e1-3a9d-4c51-8018-1adf2830503e</t>
  </si>
  <si>
    <t>4073651000</t>
  </si>
  <si>
    <t>solar acct////WILL CB TO REVIEW OPTION TO LOWER BILL</t>
  </si>
  <si>
    <t>00f70581-1c13-4a94-ab32-0b0985199380</t>
  </si>
  <si>
    <t>4220132529</t>
  </si>
  <si>
    <t>PA, ON BEST RATE PLAN</t>
  </si>
  <si>
    <t>77610b1b-c0b7-45ea-a57a-123f0d74ff76</t>
  </si>
  <si>
    <t>4262494925</t>
  </si>
  <si>
    <t>DID NOT WANT TO TALK / NOT ON BEST RATE PLAN</t>
  </si>
  <si>
    <t>713d063c-cb78-4e2c-9023-cfbee672c3d6</t>
  </si>
  <si>
    <t>4273250000</t>
  </si>
  <si>
    <t>VERY UP SET ABOUT THE RATES POSSIBLY GOING UP</t>
  </si>
  <si>
    <t>ef66d778-b43e-4f03-afa0-8468c706b048</t>
  </si>
  <si>
    <t>6799425771</t>
  </si>
  <si>
    <t>SENT E3</t>
  </si>
  <si>
    <t>9e131589-2c51-45ee-80a2-a54c744f9efb</t>
  </si>
  <si>
    <t>8991140195</t>
  </si>
  <si>
    <t>CLOSED ACCT 07/09/2015</t>
  </si>
  <si>
    <t>96cedebf-0a5d-4b4d-9f3c-20151eda6272</t>
  </si>
  <si>
    <t>6242500593</t>
  </si>
  <si>
    <t>0b27a0ad-b899-47b1-9d60-1a8f9d35fbe6</t>
  </si>
  <si>
    <t>7528633936</t>
  </si>
  <si>
    <t>REFUSED TOTAKE CALL HUNG UP</t>
  </si>
  <si>
    <t>0d93ab41-52f1-41b3-bad0-af6ddbe43d0a</t>
  </si>
  <si>
    <t>7980600000</t>
  </si>
  <si>
    <t>a27f4f56-d7aa-4de8-b793-04ba154a89ae</t>
  </si>
  <si>
    <t>9229380000</t>
  </si>
  <si>
    <t>89ca5a4a-8476-410a-bced-190236bcc1ae</t>
  </si>
  <si>
    <t>7150589750</t>
  </si>
  <si>
    <t>fb15c9af-15fc-4643-a80c-756b9bc6ce16</t>
  </si>
  <si>
    <t>8135798464</t>
  </si>
  <si>
    <t>b7fd8ad3-c6ff-430b-a6b7-f4912c645168</t>
  </si>
  <si>
    <t>5307300000</t>
  </si>
  <si>
    <t>WANTED INFO DATA CENTER RATES</t>
  </si>
  <si>
    <t>0e4847bc-648d-4da3-abf7-30d0e52ed3a8</t>
  </si>
  <si>
    <t>9376851000</t>
  </si>
  <si>
    <t>ON PA, DID ADVISE BB AFTER PA IS DONE</t>
  </si>
  <si>
    <t>278bad99-e69e-4d0b-b15f-4430c94a796d</t>
  </si>
  <si>
    <t>6584830202</t>
  </si>
  <si>
    <t>BETTER RATE TIME OF USE WITH DEMAND $1046</t>
  </si>
  <si>
    <t>51d5e7f4-65ec-41ff-ad7f-9e65eb97dd37</t>
  </si>
  <si>
    <t>5855923100</t>
  </si>
  <si>
    <t>39b41b87-3ba2-4525-add6-0be59ab0412b</t>
  </si>
  <si>
    <t>9505905227</t>
  </si>
  <si>
    <t>b3217109-cee5-4b38-b3a3-510463857fa3</t>
  </si>
  <si>
    <t>9462295527</t>
  </si>
  <si>
    <t>ea244b29-e122-4688-a5ea-e5b96ab148b1</t>
  </si>
  <si>
    <t>4436732938</t>
  </si>
  <si>
    <t>bc6c65c8-1a98-4125-a4a3-09436ea6320c</t>
  </si>
  <si>
    <t>4983424677</t>
  </si>
  <si>
    <t>TIME OF USE WITH DEMAND BEST PLAN</t>
  </si>
  <si>
    <t>b49ecdb9-a8a6-4b50-a6d4-87a819820bf1</t>
  </si>
  <si>
    <t>9474035507</t>
  </si>
  <si>
    <t>SOLAR, PA</t>
  </si>
  <si>
    <t>819f1c61-41ac-416d-8818-dcf7e24ac9d0</t>
  </si>
  <si>
    <t>6178141000</t>
  </si>
  <si>
    <t>5ad82537-95f6-4695-ad7c-ed696dee8992</t>
  </si>
  <si>
    <t>6230194725</t>
  </si>
  <si>
    <t>sent claim form to fill out updated contact#</t>
  </si>
  <si>
    <t>efeb3af3-265e-49af-9375-b2912774f161</t>
  </si>
  <si>
    <t>5494061000</t>
  </si>
  <si>
    <t>96398359-0d5b-4130-a170-9b2415199774</t>
  </si>
  <si>
    <t>4823746138</t>
  </si>
  <si>
    <t>f0de97ed-c063-4e4b-8c59-d5b536e93f02</t>
  </si>
  <si>
    <t>7938430000</t>
  </si>
  <si>
    <t>dc5df3a7-fadf-41c1-8c09-c552b2057538</t>
  </si>
  <si>
    <t>6601188228</t>
  </si>
  <si>
    <t>PHONE DISCONNECTED / NOT ON BEST PLAN</t>
  </si>
  <si>
    <t>b9036063-7151-4037-8078-3fc660e33a5a</t>
  </si>
  <si>
    <t>8302625379</t>
  </si>
  <si>
    <t>SOLAR</t>
  </si>
  <si>
    <t>0cd22aba-6b4b-4b41-92da-2bcce0ec7ff4</t>
  </si>
  <si>
    <t>RATE CASE OUTREACH — EXECUTIVE SUMMARY</t>
  </si>
  <si>
    <t>Total Docketed</t>
  </si>
  <si>
    <t>Callable</t>
  </si>
  <si>
    <t>Contacted</t>
  </si>
  <si>
    <t>Remaining</t>
  </si>
  <si>
    <t>Progress</t>
  </si>
  <si>
    <t>VMs Left</t>
  </si>
  <si>
    <t>Comments Filed</t>
  </si>
  <si>
    <t>Valid Customers</t>
  </si>
  <si>
    <t>Calls Made</t>
  </si>
  <si>
    <t>To Contact</t>
  </si>
  <si>
    <t>Completion</t>
  </si>
  <si>
    <t>Voicemails</t>
  </si>
  <si>
    <t>CUSTOMER INSIGHTS</t>
  </si>
  <si>
    <t>Not on MEP Left</t>
  </si>
  <si>
    <t>Payoff Balance Left</t>
  </si>
  <si>
    <t>On MEP</t>
  </si>
  <si>
    <t>Avg Calls/Week</t>
  </si>
  <si>
    <t>Unable to Locate</t>
  </si>
  <si>
    <t>Spoke With</t>
  </si>
  <si>
    <t>Currently Enrolled</t>
  </si>
  <si>
    <t>Per Week</t>
  </si>
  <si>
    <t>Removed from Queue</t>
  </si>
  <si>
    <t>Conversations</t>
  </si>
  <si>
    <t>WEEKLY PERFORMANCE</t>
  </si>
  <si>
    <t>Week Of</t>
  </si>
  <si>
    <t>Total Calls</t>
  </si>
  <si>
    <t>VMs</t>
  </si>
  <si>
    <t>Contacts</t>
  </si>
  <si>
    <t xml:space="preserve">Why </t>
  </si>
  <si>
    <t>ASSOCIATE PERFORMANCE</t>
  </si>
  <si>
    <t>CALL OUTCOMES</t>
  </si>
  <si>
    <t>Calls</t>
  </si>
  <si>
    <t>Count</t>
  </si>
  <si>
    <t>Total</t>
  </si>
  <si>
    <t>Other</t>
  </si>
  <si>
    <t>VM - No Answer</t>
  </si>
  <si>
    <t>Date</t>
  </si>
  <si>
    <t>Last Name</t>
  </si>
  <si>
    <t>First Name</t>
  </si>
  <si>
    <t>Zip code</t>
  </si>
  <si>
    <t>Issue_Complaint</t>
  </si>
  <si>
    <t>Docketed Consumer Comments</t>
  </si>
  <si>
    <t>Rate Plan</t>
  </si>
  <si>
    <t>MCP</t>
  </si>
  <si>
    <t>Cust on MEP</t>
  </si>
  <si>
    <t>PA</t>
  </si>
  <si>
    <t>Team Reviewed</t>
  </si>
  <si>
    <t>ResponseDate</t>
  </si>
  <si>
    <t>Last date of Account review</t>
  </si>
  <si>
    <t>ACC Inquiry Sent to CA</t>
  </si>
  <si>
    <t>APS CA Referral</t>
  </si>
  <si>
    <t>Comments</t>
  </si>
  <si>
    <t>Abidali</t>
  </si>
  <si>
    <t>Sanar</t>
  </si>
  <si>
    <t>Glendale</t>
  </si>
  <si>
    <t xml:space="preserve">Opposed </t>
  </si>
  <si>
    <t xml:space="preserve">https://images.edocket.azcc.gov/docketpdf/E000044112.pdf
</t>
  </si>
  <si>
    <t>Unable to Locate Acct</t>
  </si>
  <si>
    <t>f8c5b19f-756e-4258-a779-7a95a6c393a1</t>
  </si>
  <si>
    <t>Paulus</t>
  </si>
  <si>
    <t>Carl</t>
  </si>
  <si>
    <t>Unknown</t>
  </si>
  <si>
    <t>Opposed</t>
  </si>
  <si>
    <t>https://images.edocket.azcc.gov/docketpdf/E000044128.pdf</t>
  </si>
  <si>
    <t>c0fd2303-0cf2-4a18-ba99-03999c5105f2</t>
  </si>
  <si>
    <t>Wall</t>
  </si>
  <si>
    <t>Rae</t>
  </si>
  <si>
    <t>https://images.edocket.azcc.gov/docketpdf/E000044126.pdf</t>
  </si>
  <si>
    <t>R3-47</t>
  </si>
  <si>
    <t>N</t>
  </si>
  <si>
    <t>Also filed 6/10, 6/12, 6/16</t>
  </si>
  <si>
    <t>d6086f32-5368-4975-95c8-3d578378a9c9</t>
  </si>
  <si>
    <t>Gwiazda</t>
  </si>
  <si>
    <t>Patricia</t>
  </si>
  <si>
    <t>Youngtown</t>
  </si>
  <si>
    <t>https://images.edocket.azcc.gov/docketpdf/E000044147.pdf</t>
  </si>
  <si>
    <t>RCPw/RTOUE47</t>
  </si>
  <si>
    <t>No - MEP is R3-47 ($65.13)</t>
  </si>
  <si>
    <t xml:space="preserve">MEP Annual Savings - $67.68 - Didn't Contact </t>
  </si>
  <si>
    <t>8e92f3f2-0e85-469a-a1e4-87dddf0cd097</t>
  </si>
  <si>
    <t>Phillips</t>
  </si>
  <si>
    <t>Crystal</t>
  </si>
  <si>
    <t xml:space="preserve">Young </t>
  </si>
  <si>
    <t>343d0e67-49a8-40a8-8892-f22b656ff0a1</t>
  </si>
  <si>
    <t>Beame</t>
  </si>
  <si>
    <t>Sndney</t>
  </si>
  <si>
    <t>Opposed/Senior/fixed income</t>
  </si>
  <si>
    <t>https://images.edocket.azcc.gov/docketpdf/E000044169.pdf</t>
  </si>
  <si>
    <t>R-BASICL</t>
  </si>
  <si>
    <t>No - MEP R3-47 ($192.78)</t>
  </si>
  <si>
    <t>11/03 - Customer agreed to change to their MEP</t>
  </si>
  <si>
    <t>Estimated savings $225.94/12 = $18.82 potential monthly savings on MEP</t>
  </si>
  <si>
    <t>192e70ed-8912-47d4-9625-5c76b168d161</t>
  </si>
  <si>
    <t>Scoggins</t>
  </si>
  <si>
    <t>Troy</t>
  </si>
  <si>
    <t>Phoenix</t>
  </si>
  <si>
    <t>https://images.edocket.azcc.gov/docketpdf/E000044282.pdf</t>
  </si>
  <si>
    <t>Unable to locate account with name provided</t>
  </si>
  <si>
    <t>4b98ee81-2f08-4e82-b685-b39748d52ba3</t>
  </si>
  <si>
    <t>Nuccio</t>
  </si>
  <si>
    <t>Tina</t>
  </si>
  <si>
    <t>Cave Creek</t>
  </si>
  <si>
    <t>https://images.edocket.azcc.gov/docketpdf/E000044298.pdf</t>
  </si>
  <si>
    <t>1283aac8-4812-4a2d-8730-e38f93620e1a</t>
  </si>
  <si>
    <t>Henkel</t>
  </si>
  <si>
    <t>Dean</t>
  </si>
  <si>
    <t>https://images.edocket.azcc.gov/docketpdf/E000044312.pdf</t>
  </si>
  <si>
    <t>R-XS</t>
  </si>
  <si>
    <t>3306c60f-9118-4aa8-a2d7-b16233c0ded8</t>
  </si>
  <si>
    <t>Palmer</t>
  </si>
  <si>
    <t>William</t>
  </si>
  <si>
    <t>https://images.edocket.azcc.gov/docketpdf/E000044514.pdf</t>
  </si>
  <si>
    <t>Not able to locate specific account</t>
  </si>
  <si>
    <t>3ba5198a-32e8-4b2a-a786-b7a96b9fad0e</t>
  </si>
  <si>
    <t>Paulsen</t>
  </si>
  <si>
    <t>Jodi</t>
  </si>
  <si>
    <t>EPR-6w/ET-1</t>
  </si>
  <si>
    <t>Not able to Compare</t>
  </si>
  <si>
    <t>fe40d4e2-23ac-4b40-a5cb-858f6796fce5</t>
  </si>
  <si>
    <t>Berto</t>
  </si>
  <si>
    <t>Kim &amp; Dave</t>
  </si>
  <si>
    <t>Chino Valley</t>
  </si>
  <si>
    <t>https://images.edocket.azcc.gov/docketpdf/E000044536.pdf</t>
  </si>
  <si>
    <t>308bb4ff-df2a-422d-ab13-09afa68aea90</t>
  </si>
  <si>
    <t>Misamore</t>
  </si>
  <si>
    <t>Bruce</t>
  </si>
  <si>
    <t>Sedona</t>
  </si>
  <si>
    <t>Inactive Acct</t>
  </si>
  <si>
    <t>5ecf3329-bda2-4c16-a29c-02762957e90c</t>
  </si>
  <si>
    <t>Shroyer</t>
  </si>
  <si>
    <t>Mary Lynne</t>
  </si>
  <si>
    <t>Sun City</t>
  </si>
  <si>
    <t>https://images.edocket.azcc.gov/docketpdf/E000044648.pdf</t>
  </si>
  <si>
    <t>56e9545d-cde1-4d71-80af-31ba8153fbbf</t>
  </si>
  <si>
    <t>Driscoll</t>
  </si>
  <si>
    <t>David &amp; Donna</t>
  </si>
  <si>
    <t>https://images.edocket.azcc.gov/docketpdf/E000044766.pdf</t>
  </si>
  <si>
    <t xml:space="preserve"> No - MEP R3-47($151.35)</t>
  </si>
  <si>
    <t>Prior ACC Complaint customer - Solar customer does not want to be on demand rate.</t>
  </si>
  <si>
    <t>504fef6c-abd0-4a75-9d6e-93796fa7f5e3</t>
  </si>
  <si>
    <t>Hix</t>
  </si>
  <si>
    <t>Debbie</t>
  </si>
  <si>
    <t>https://images.edocket.azcc.gov/docketpdf/E000044775.pdf
https://images.edocket.azcc.gov/docketpdf/E000044791.pdf</t>
  </si>
  <si>
    <t>Filed 2x on 6/16 (Thompson and Myers), Not able to locate specific account</t>
  </si>
  <si>
    <t>626f0185-7496-4a03-ad7e-180e7aba9e5e</t>
  </si>
  <si>
    <t>Montana</t>
  </si>
  <si>
    <t>Casitas</t>
  </si>
  <si>
    <t>https://images.edocket.azcc.gov/docketpdf/E000044777.pdf</t>
  </si>
  <si>
    <t>df916d53-0948-4d44-8b47-daeaa11c3d38</t>
  </si>
  <si>
    <t>https://images.edocket.azcc.gov/docketpdf/E000044776.pdf</t>
  </si>
  <si>
    <t>Filed on 5/18 and 6/16</t>
  </si>
  <si>
    <t>9c31094a-6e46-4130-990c-e470bdfc73c5</t>
  </si>
  <si>
    <t>Carpio</t>
  </si>
  <si>
    <t>Tania</t>
  </si>
  <si>
    <t>Surprise</t>
  </si>
  <si>
    <t>https://images.edocket.azcc.gov/docketpdf/E000044799.pdf</t>
  </si>
  <si>
    <t>46c32767-fef4-4042-ac0e-e7db224862f2</t>
  </si>
  <si>
    <t>Mansour</t>
  </si>
  <si>
    <t>Joe</t>
  </si>
  <si>
    <t>21c04020-e651-4641-9f4e-1c9e10dc5c7d</t>
  </si>
  <si>
    <t xml:space="preserve">Neal </t>
  </si>
  <si>
    <t>e657f4f4-ae67-4c7e-b9ad-707b114a1cc8</t>
  </si>
  <si>
    <t>Couillard</t>
  </si>
  <si>
    <t>Andre</t>
  </si>
  <si>
    <t>https://images.edocket.azcc.gov/docketpdf/E000044842.pdf</t>
  </si>
  <si>
    <t>Filed 2x on 6/18</t>
  </si>
  <si>
    <t>19dbfa7b-7392-49f6-abf6-88d39ac29dd4</t>
  </si>
  <si>
    <t>Witte</t>
  </si>
  <si>
    <t>Jessica</t>
  </si>
  <si>
    <t>Scottsdale</t>
  </si>
  <si>
    <t>R-BASIC</t>
  </si>
  <si>
    <t>75ca9efc-286a-43d9-9237-fb10a82d8611</t>
  </si>
  <si>
    <t>Figueroa</t>
  </si>
  <si>
    <t>Enrique</t>
  </si>
  <si>
    <t>Gilbert</t>
  </si>
  <si>
    <t>dfd7fe1f-1c7b-4f82-ae98-9573aeb72c8e</t>
  </si>
  <si>
    <t>Wheatley</t>
  </si>
  <si>
    <t>Heather</t>
  </si>
  <si>
    <t>106f56b6-f5d5-433c-b7aa-ead12730af0e</t>
  </si>
  <si>
    <t>Millbranth</t>
  </si>
  <si>
    <t>Mark</t>
  </si>
  <si>
    <t>97b438fc-24aa-48c1-abf6-8c824ce3c1f0</t>
  </si>
  <si>
    <t>Wilson</t>
  </si>
  <si>
    <t>John</t>
  </si>
  <si>
    <t>Carefree</t>
  </si>
  <si>
    <t>https://images.edocket.azcc.gov/docketpdf/E000044846.pdf</t>
  </si>
  <si>
    <t>0e19f24b-dc68-41d0-9ce7-8749424fa835</t>
  </si>
  <si>
    <t>Geyer</t>
  </si>
  <si>
    <t>Jared</t>
  </si>
  <si>
    <t xml:space="preserve">No </t>
  </si>
  <si>
    <t>No MEP R3-47 ($36.88)</t>
  </si>
  <si>
    <t>Estimated savings $37.01/12 = $3.08 potential monthly savings on MEP</t>
  </si>
  <si>
    <t>83c0073f-4c30-4747-912a-0be52ce25446</t>
  </si>
  <si>
    <t>Snyder</t>
  </si>
  <si>
    <t>Steven</t>
  </si>
  <si>
    <t>No MEP R-XS ($110.29)</t>
  </si>
  <si>
    <t xml:space="preserve">11/03 - LM </t>
  </si>
  <si>
    <t>Estimated savings $43.66/12 = $3.63 potential monthly savings on MEP</t>
  </si>
  <si>
    <t>b0d07820-6003-41c8-aaf5-f38fab156a9a</t>
  </si>
  <si>
    <t>Buehler</t>
  </si>
  <si>
    <t>https://images.edocket.azcc.gov/docketpdf/E000044840.pdf</t>
  </si>
  <si>
    <t>fd358df4-22ab-445e-b593-5d09c1732e68</t>
  </si>
  <si>
    <t>Kaplan</t>
  </si>
  <si>
    <t>Wayne</t>
  </si>
  <si>
    <t>4484f131-c0cd-4022-91c4-0780b878f4d3</t>
  </si>
  <si>
    <t>Delgado</t>
  </si>
  <si>
    <t>Amber</t>
  </si>
  <si>
    <t>Changed rate to MEP on 10/6</t>
  </si>
  <si>
    <t>Estimated savings $68.27/12 - $5.69 potential monthly savings on MEP</t>
  </si>
  <si>
    <t>38b1751c-8434-43aa-a6e2-942be934af52</t>
  </si>
  <si>
    <t>Reyes</t>
  </si>
  <si>
    <t>ff6b9f03-4b7c-490f-9adb-208440a3391c</t>
  </si>
  <si>
    <t>Saporito</t>
  </si>
  <si>
    <t>Annette</t>
  </si>
  <si>
    <t xml:space="preserve">RTOUE47  </t>
  </si>
  <si>
    <t>No R3-47 ($439.74)</t>
  </si>
  <si>
    <t>Estimated savings $433.16/12 = $36.09 potential monthly savings on MEP</t>
  </si>
  <si>
    <t>0d11c2a1-e6c1-4862-a5c5-03a8f1518eb2</t>
  </si>
  <si>
    <t>Miller</t>
  </si>
  <si>
    <t>D</t>
  </si>
  <si>
    <t>Goodyear</t>
  </si>
  <si>
    <t>Opposed, thinks Budget billing is a scam</t>
  </si>
  <si>
    <t>https://images.edocket.azcc.gov/docketpdf/0000214768.pdf</t>
  </si>
  <si>
    <t>30241a46-6c7d-455b-93bb-b01051c9c706</t>
  </si>
  <si>
    <t>Gray</t>
  </si>
  <si>
    <t>Tim</t>
  </si>
  <si>
    <t>Buckeye</t>
  </si>
  <si>
    <t>https://images.edocket.azcc.gov/docketpdf/E000044863.pdf</t>
  </si>
  <si>
    <t>5bbcfc42-6aac-4224-9007-bfd488c36684</t>
  </si>
  <si>
    <t>Garcia</t>
  </si>
  <si>
    <t>Amy</t>
  </si>
  <si>
    <t>d4caa3b8-51e6-497f-8abc-0dcd7e2c19d5</t>
  </si>
  <si>
    <t>Merlino</t>
  </si>
  <si>
    <t>Teri</t>
  </si>
  <si>
    <t>01828d35-5c68-4b39-b5ed-64cf87b5195f</t>
  </si>
  <si>
    <t>Escamilla</t>
  </si>
  <si>
    <t>Nephesh</t>
  </si>
  <si>
    <t>https://images.edocket.azcc.gov/docketpdf/E000044866.pdf</t>
  </si>
  <si>
    <t>50a46d70-2f05-47de-97ff-0fd2b17c04ce</t>
  </si>
  <si>
    <t>van Dalen</t>
  </si>
  <si>
    <t>Danielle</t>
  </si>
  <si>
    <t>ef779ae4-b19a-49a0-8b0f-6d6fe3f4b8ba</t>
  </si>
  <si>
    <t>Crandall</t>
  </si>
  <si>
    <t>a4225595-53b6-4aa5-9491-91407fa2baf1</t>
  </si>
  <si>
    <t>Rodreguez</t>
  </si>
  <si>
    <t>Alexis</t>
  </si>
  <si>
    <t>850fa10d-fe26-4309-91aa-c22c331199b8</t>
  </si>
  <si>
    <t>Schilling</t>
  </si>
  <si>
    <t xml:space="preserve">David  </t>
  </si>
  <si>
    <t>No-Mep R3-47($87.55)</t>
  </si>
  <si>
    <t>011cb403-a0b7-4b8b-9572-649cd67ac56b</t>
  </si>
  <si>
    <t>Luther</t>
  </si>
  <si>
    <t>Jonathan</t>
  </si>
  <si>
    <t>RTOUE47</t>
  </si>
  <si>
    <t>No-MEP R3-47($5.29)</t>
  </si>
  <si>
    <t>1875f471-bb85-4e1c-81f3-957e0c0edfe0</t>
  </si>
  <si>
    <t>McKenzie</t>
  </si>
  <si>
    <t>Christine</t>
  </si>
  <si>
    <t>ac418f76-6dee-4b97-ab4d-95fc3d1c2779</t>
  </si>
  <si>
    <t>Porter</t>
  </si>
  <si>
    <t>Kristal</t>
  </si>
  <si>
    <t>Peoria</t>
  </si>
  <si>
    <t xml:space="preserve">Yes </t>
  </si>
  <si>
    <t>37e08610-c33f-4649-9bd5-a4e3cae3e071</t>
  </si>
  <si>
    <t>Fullerton</t>
  </si>
  <si>
    <t>Dale</t>
  </si>
  <si>
    <t>c799152b-1e61-4cad-b5b9-211ec3043029</t>
  </si>
  <si>
    <t>Gill</t>
  </si>
  <si>
    <t>Thomas</t>
  </si>
  <si>
    <t>Multiple Cust Found</t>
  </si>
  <si>
    <t>999111ce-7dce-44a1-ad5f-536ab2d98045</t>
  </si>
  <si>
    <t>McGibbon</t>
  </si>
  <si>
    <t>Charles</t>
  </si>
  <si>
    <t>https://images.edocket.azcc.gov/docketpdf/E000044947.pdf</t>
  </si>
  <si>
    <t>476e626d-ca2a-4ee7-b0a9-c53833e7b554</t>
  </si>
  <si>
    <t>Wolski</t>
  </si>
  <si>
    <t xml:space="preserve">Chris </t>
  </si>
  <si>
    <t>ff9d2a1a-f007-468e-a25d-20c3eb44fec9</t>
  </si>
  <si>
    <t>Ancha</t>
  </si>
  <si>
    <t>Bob</t>
  </si>
  <si>
    <t>https://images.edocket.azcc.gov/docketpdf/E000044979.pdf</t>
  </si>
  <si>
    <t>c37ad778-51f9-4765-9cdb-9bd0a713c795</t>
  </si>
  <si>
    <t>Sanchez</t>
  </si>
  <si>
    <t>Isabella</t>
  </si>
  <si>
    <t>https://images.edocket.azcc.gov/docketpdf/E000045059.pdf</t>
  </si>
  <si>
    <t>Estimated savings $42.27/12 = $3.52 potential monthly savings on MEP</t>
  </si>
  <si>
    <t>fbd88963-7f98-45d4-8d4b-1204f807b141</t>
  </si>
  <si>
    <t>Hardy</t>
  </si>
  <si>
    <t>James</t>
  </si>
  <si>
    <t>https://images.edocket.azcc.gov/docketpdf/E000045067.pdf</t>
  </si>
  <si>
    <t>eda420f0-57a5-422b-8a77-3bc385b6aba8</t>
  </si>
  <si>
    <t>Franklin</t>
  </si>
  <si>
    <t>Jeff</t>
  </si>
  <si>
    <t>ebc3f06b-7418-4c78-b252-a8f2b56ff034</t>
  </si>
  <si>
    <t>Hertzfield</t>
  </si>
  <si>
    <t>Carol</t>
  </si>
  <si>
    <t>https://images.edocket.azcc.gov/docketpdf/E000045130.pdf</t>
  </si>
  <si>
    <t>3e83972b-d34a-4233-8216-1fb3d7fa7596</t>
  </si>
  <si>
    <t>Beiser</t>
  </si>
  <si>
    <t>Antoinette</t>
  </si>
  <si>
    <t>https://images.edocket.azcc.gov/docketpdf/E000045169.pdf</t>
  </si>
  <si>
    <t>No MEP R3-47($267.12)</t>
  </si>
  <si>
    <t>11/03 - No answer and no voicemail</t>
  </si>
  <si>
    <t>b1a1b53a-39b3-43ed-acc9-85282160d206</t>
  </si>
  <si>
    <t>Underwood</t>
  </si>
  <si>
    <t>Revis</t>
  </si>
  <si>
    <t>Litchfield Park</t>
  </si>
  <si>
    <t>https://images.edocket.azcc.gov/docketpdf/E000045209.pdf</t>
  </si>
  <si>
    <t>EPR-6w/E-12</t>
  </si>
  <si>
    <t>Info Not Avail</t>
  </si>
  <si>
    <t>f6af276c-4ac3-40e0-a7a6-d4622d28ab03</t>
  </si>
  <si>
    <t>Hacker</t>
  </si>
  <si>
    <t>Dennis</t>
  </si>
  <si>
    <t>Pole Attachments</t>
  </si>
  <si>
    <t>https://images.edocket.azcc.gov/docketpdf/E000045207.pdf</t>
  </si>
  <si>
    <t>RCPw/R3-47</t>
  </si>
  <si>
    <t>156c56d2-39c8-4a90-88cd-b1c8b22b112b</t>
  </si>
  <si>
    <t>Dushoff</t>
  </si>
  <si>
    <t>Rachel</t>
  </si>
  <si>
    <t>Corrales, NM</t>
  </si>
  <si>
    <t>https://images.edocket.azcc.gov/docketpdf/E000045226.pdf</t>
  </si>
  <si>
    <t>8cfd4652-832e-4353-aebe-1d8e754ca78f</t>
  </si>
  <si>
    <t>Wiehl</t>
  </si>
  <si>
    <t>Sarah</t>
  </si>
  <si>
    <t>Opposed / Greed</t>
  </si>
  <si>
    <t>20ca0e64-c1c5-4202-b79c-6d69deed84f9</t>
  </si>
  <si>
    <t>Rizzi</t>
  </si>
  <si>
    <t>https://images.edocket.azcc.gov/docketpdf/E000045267.pdf</t>
  </si>
  <si>
    <t>AMI Opt Out</t>
  </si>
  <si>
    <t>9d099660-0cf1-4a5a-9f90-623cc5d638fd</t>
  </si>
  <si>
    <t>Prescott Valley</t>
  </si>
  <si>
    <t>4d815363-5b48-44e0-a29a-4bbf54853f55</t>
  </si>
  <si>
    <t>Starr</t>
  </si>
  <si>
    <t>Valerie</t>
  </si>
  <si>
    <t>Payson</t>
  </si>
  <si>
    <t>https://images.edocket.azcc.gov/docketpdf/E000045309.pdf</t>
  </si>
  <si>
    <t>No MEP R3-47 ($337.28)</t>
  </si>
  <si>
    <t>Estimated savings $432.84/12 = $36.07 potential monthly savings on MEP</t>
  </si>
  <si>
    <t>36dac94f-2b39-460b-ba0b-d35cdfe1b9c2</t>
  </si>
  <si>
    <t>Hill</t>
  </si>
  <si>
    <t>Teresa</t>
  </si>
  <si>
    <t>Senior/Fixed Income/ Data Centers</t>
  </si>
  <si>
    <t>https://images.edocket.azcc.gov/docketpdf/E000045376.pdf</t>
  </si>
  <si>
    <t>No MEP R-XS ($136.97)</t>
  </si>
  <si>
    <t>11/03 - Customer will callback at a more convenient time to discuss MEP</t>
  </si>
  <si>
    <t>f5c53c4d-69be-44ab-aef3-8ccc474f1623</t>
  </si>
  <si>
    <t>Seabrook</t>
  </si>
  <si>
    <t>https://images.edocket.azcc.gov/docketpdf/E000045426.pdf</t>
  </si>
  <si>
    <t>No MEP R-BASIC ($170.13)</t>
  </si>
  <si>
    <t>Will be automatically reassigned soon</t>
  </si>
  <si>
    <t>e120358d-965c-447c-a40e-9442e0663378</t>
  </si>
  <si>
    <t>Grube</t>
  </si>
  <si>
    <t>Get more nuclear online</t>
  </si>
  <si>
    <t>f60aa4f1-4a2b-4b86-b473-1cc0935beab4</t>
  </si>
  <si>
    <t>Sternberg</t>
  </si>
  <si>
    <t>Karen</t>
  </si>
  <si>
    <t>Comments are about water rates</t>
  </si>
  <si>
    <t>https://images.edocket.azcc.gov/docketpdf/E000045814.pdf</t>
  </si>
  <si>
    <t xml:space="preserve">R-XS </t>
  </si>
  <si>
    <t>Comments are about water rate increases</t>
  </si>
  <si>
    <t>ccf9c136-d582-4f87-892a-dc49d5d5f6d1</t>
  </si>
  <si>
    <t>Waterman</t>
  </si>
  <si>
    <t>Kathleen</t>
  </si>
  <si>
    <t>1750bb58-6f9e-459e-9703-1e3f17c77c11</t>
  </si>
  <si>
    <t>Coleman</t>
  </si>
  <si>
    <t>Maricopa</t>
  </si>
  <si>
    <t xml:space="preserve">Neutral </t>
  </si>
  <si>
    <t>https://images.edocket.azcc.gov/docketpdf/E000046007.pdf</t>
  </si>
  <si>
    <t>f50d21a1-0d6c-4bdb-9bc0-52c884ed3d43</t>
  </si>
  <si>
    <t>Hines</t>
  </si>
  <si>
    <t>Rohna</t>
  </si>
  <si>
    <t>https://images.edocket.azcc.gov/docketpdf/E000046100.pdf</t>
  </si>
  <si>
    <t>No MEP R-XS($77.28)</t>
  </si>
  <si>
    <t>d9b01052-6b8f-49ab-87d0-e95fb01563da</t>
  </si>
  <si>
    <t>Lovato</t>
  </si>
  <si>
    <t>Tiffany</t>
  </si>
  <si>
    <t>https://images.edocket.azcc.gov/docketpdf/E000046155.pdf</t>
  </si>
  <si>
    <t>ab71608a-b03e-4cfe-a5a0-315596d38e45</t>
  </si>
  <si>
    <t>DeLano</t>
  </si>
  <si>
    <t>opposed</t>
  </si>
  <si>
    <t>2bac1cc2-1042-4cd2-8f37-b37f1a6e64e2</t>
  </si>
  <si>
    <t>King</t>
  </si>
  <si>
    <t>Debra</t>
  </si>
  <si>
    <t>ea31d280-24df-4f84-bc8f-baf896348c20</t>
  </si>
  <si>
    <t>Wray</t>
  </si>
  <si>
    <t>Brett</t>
  </si>
  <si>
    <t>Form letter</t>
  </si>
  <si>
    <t>a3360b7b-d920-43ce-a758-fce2762b54a2</t>
  </si>
  <si>
    <t>Read</t>
  </si>
  <si>
    <t>David</t>
  </si>
  <si>
    <t xml:space="preserve">Peoria </t>
  </si>
  <si>
    <t>7763af9a-a9e4-40b6-841c-7a9854ae3518</t>
  </si>
  <si>
    <t>First</t>
  </si>
  <si>
    <t>Lakisha</t>
  </si>
  <si>
    <t>dcfdfb2e-47a3-4c21-8720-24ad6d563912</t>
  </si>
  <si>
    <t>Huynh</t>
  </si>
  <si>
    <t>Nam</t>
  </si>
  <si>
    <t>3b579d80-52f0-49f5-9e75-72651a6eb551</t>
  </si>
  <si>
    <t xml:space="preserve">Walker </t>
  </si>
  <si>
    <t>1433f506-e2b5-4f6b-931a-7892d00eeb90</t>
  </si>
  <si>
    <t>Simmons</t>
  </si>
  <si>
    <t>Jennifer</t>
  </si>
  <si>
    <t>No MEP R3-47 ($61.45)</t>
  </si>
  <si>
    <t>a3561058-c86e-4fcd-a96f-4e76b46456c5</t>
  </si>
  <si>
    <t>Wood</t>
  </si>
  <si>
    <t>Ethan</t>
  </si>
  <si>
    <t>dbbce74a-7375-49a5-bbd0-58fdc39bedc1</t>
  </si>
  <si>
    <t>Keller</t>
  </si>
  <si>
    <t>57986475-0e52-47c3-b2cd-b74a70554515</t>
  </si>
  <si>
    <t>Vint</t>
  </si>
  <si>
    <t>Shannon</t>
  </si>
  <si>
    <t>ab85b9a9-c731-4112-bde7-d5188a8eb9d1</t>
  </si>
  <si>
    <t>Corey</t>
  </si>
  <si>
    <t>No MEP R3-47 ($1,048.14)</t>
  </si>
  <si>
    <t xml:space="preserve">10/02 - LM </t>
  </si>
  <si>
    <t>7985705d-5d2d-4f7f-992c-5d33d496a17a</t>
  </si>
  <si>
    <t>Alexander</t>
  </si>
  <si>
    <t>Jacob</t>
  </si>
  <si>
    <t>0ada9b8e-144d-4d51-89b9-9eaa5a539cea</t>
  </si>
  <si>
    <t>Poe</t>
  </si>
  <si>
    <t>Leighton</t>
  </si>
  <si>
    <t>No MEP RTOUE47($74.06)</t>
  </si>
  <si>
    <t>b93315b3-6d38-4628-bc83-68f4fcf44fdc</t>
  </si>
  <si>
    <t>Charapata</t>
  </si>
  <si>
    <t>Maxwell</t>
  </si>
  <si>
    <t>No-MEP R3-47(23.66)</t>
  </si>
  <si>
    <t>b2b86708-d290-487b-91ae-5e482ed6d0c6</t>
  </si>
  <si>
    <t>Lafond</t>
  </si>
  <si>
    <t>Ciara</t>
  </si>
  <si>
    <t>610affaa-4482-4738-842d-8b24c93d9d2d</t>
  </si>
  <si>
    <t>O'Gorman</t>
  </si>
  <si>
    <t>Erin</t>
  </si>
  <si>
    <t>No-MEP R3-47($141.01)</t>
  </si>
  <si>
    <t>10819007-b150-40f3-ade3-24ace53b1611</t>
  </si>
  <si>
    <t>Lara</t>
  </si>
  <si>
    <t>Gerardo</t>
  </si>
  <si>
    <t>No MEP R3-47(249.30)</t>
  </si>
  <si>
    <t>10/02 - LM - COR initiated rate change to MEP on 10/23</t>
  </si>
  <si>
    <t>96719475-1db2-4471-8edd-4214d2e44b7c</t>
  </si>
  <si>
    <t>Howell</t>
  </si>
  <si>
    <t>Chris</t>
  </si>
  <si>
    <t>No MEP R3-47($2.91)</t>
  </si>
  <si>
    <t>3c6e1967-4193-4ea7-813b-eb8f08dafd2c</t>
  </si>
  <si>
    <t>Torres</t>
  </si>
  <si>
    <t>Kyle</t>
  </si>
  <si>
    <t>No MEP R3-47($18.99)</t>
  </si>
  <si>
    <t>13c7847c-8595-4c9f-a7ea-1c382dd4f96d</t>
  </si>
  <si>
    <t>Tighe</t>
  </si>
  <si>
    <t>Paul</t>
  </si>
  <si>
    <t>76819949-7056-41ff-acf0-e0b2be4da60c</t>
  </si>
  <si>
    <t>Ward</t>
  </si>
  <si>
    <t>75768338-a68b-4c64-8650-55b4063987b3</t>
  </si>
  <si>
    <t>Anderson</t>
  </si>
  <si>
    <t>2244a931-d5a9-441d-a0c6-59c904c6fec4</t>
  </si>
  <si>
    <t>Nash</t>
  </si>
  <si>
    <t>Destiny</t>
  </si>
  <si>
    <t>Chandler</t>
  </si>
  <si>
    <t>2b1ebd11-dbe7-4852-8a97-3d23b6109ae2</t>
  </si>
  <si>
    <t>Wilkymacky</t>
  </si>
  <si>
    <t>Abby</t>
  </si>
  <si>
    <t>7bed9fa0-a36e-4381-b9da-4d452fbad54e</t>
  </si>
  <si>
    <t>Melendez</t>
  </si>
  <si>
    <t>Jose</t>
  </si>
  <si>
    <t>No MEP R3-47 ($128.91)</t>
  </si>
  <si>
    <t>0b324a20-4546-440c-8608-a91d4a357dec</t>
  </si>
  <si>
    <t>Crosbie</t>
  </si>
  <si>
    <t>0372c5b4-16bf-4e5b-b943-0b4c7f7e5b28</t>
  </si>
  <si>
    <t>Kong</t>
  </si>
  <si>
    <t>Joseph</t>
  </si>
  <si>
    <t>f6b634d3-5650-41fd-acc5-f711793e79d7</t>
  </si>
  <si>
    <t>Tolinos</t>
  </si>
  <si>
    <t>Jacinta</t>
  </si>
  <si>
    <t>a760dccf-2a95-4f87-b176-d2d2b6128245</t>
  </si>
  <si>
    <t>Findley</t>
  </si>
  <si>
    <t>Moses</t>
  </si>
  <si>
    <t>Frozen Rate</t>
  </si>
  <si>
    <t>COR has spoken to CX several times in the last few weeks and been advised of assitance options and extended PA</t>
  </si>
  <si>
    <t>826fd15e-432e-4a37-bdaa-462a79e08210</t>
  </si>
  <si>
    <t>Schmidt</t>
  </si>
  <si>
    <t>Bryan</t>
  </si>
  <si>
    <t>1c47c321-81ef-45d7-92f5-66161f336936</t>
  </si>
  <si>
    <t>Bernardi</t>
  </si>
  <si>
    <t>Patrick</t>
  </si>
  <si>
    <t xml:space="preserve">Prescott  </t>
  </si>
  <si>
    <t>50d5b087-b368-42c6-97f0-2e2b805ecead</t>
  </si>
  <si>
    <t>Scharroo</t>
  </si>
  <si>
    <t>George</t>
  </si>
  <si>
    <t>Not eligible yet (needs 3 months)</t>
  </si>
  <si>
    <t>79bfdd27-4885-47c5-b874-8e620dd747be</t>
  </si>
  <si>
    <t>Nava</t>
  </si>
  <si>
    <t>Alfredo</t>
  </si>
  <si>
    <t>No MEP-R3-47($66.86)</t>
  </si>
  <si>
    <t>75ecdc7a-8f75-4dd4-8770-8f635762e187</t>
  </si>
  <si>
    <t>Hay</t>
  </si>
  <si>
    <t>Leanne</t>
  </si>
  <si>
    <t>No MEP R3-47($261.63)</t>
  </si>
  <si>
    <t>cc86ca8a-1dd3-43fc-a090-b5e44fc50107</t>
  </si>
  <si>
    <t>Harmon</t>
  </si>
  <si>
    <t>Austin</t>
  </si>
  <si>
    <t>Arizona City</t>
  </si>
  <si>
    <t>No MAEP R-BASIC($56.50)</t>
  </si>
  <si>
    <t>a0a3df5a-5e72-4271-9bf9-7f8b35ccb578</t>
  </si>
  <si>
    <t>Mangerie</t>
  </si>
  <si>
    <t>Chelsea</t>
  </si>
  <si>
    <t>EPR-6w/ET-2</t>
  </si>
  <si>
    <t>65ec68a3-060c-4c3d-95e5-a5b1407cc3ab</t>
  </si>
  <si>
    <t>Flores</t>
  </si>
  <si>
    <t>Ashley</t>
  </si>
  <si>
    <t>eccedf56-8ffe-447a-a1c3-ae9f75d3475d</t>
  </si>
  <si>
    <t>Farr</t>
  </si>
  <si>
    <t>Amanda</t>
  </si>
  <si>
    <t>No MEP R3-47(463.60)</t>
  </si>
  <si>
    <t>2aeb933a-b9d0-49b8-88b0-99ada796ac05</t>
  </si>
  <si>
    <t>Healey</t>
  </si>
  <si>
    <t>Patrizia</t>
  </si>
  <si>
    <t>252be80e-a754-4973-a6ff-6d0996897683</t>
  </si>
  <si>
    <t>Mateos</t>
  </si>
  <si>
    <t>Melissa</t>
  </si>
  <si>
    <t>El Mirage</t>
  </si>
  <si>
    <t>d43362bb-f738-4225-9bd8-c79c2578a5ec</t>
  </si>
  <si>
    <t>Strauss</t>
  </si>
  <si>
    <t xml:space="preserve">N </t>
  </si>
  <si>
    <t>c700805e-e0f5-4176-9487-39ef5d6d6d72</t>
  </si>
  <si>
    <t>Campbell</t>
  </si>
  <si>
    <t>a5d675ea-f930-45a6-858f-b30355b40359</t>
  </si>
  <si>
    <t>Bauman</t>
  </si>
  <si>
    <t>Raymie</t>
  </si>
  <si>
    <t>2565f694-90c0-48a4-b429-d7d1f10685c7</t>
  </si>
  <si>
    <t>Bradley</t>
  </si>
  <si>
    <t>4b663783-9d3f-4488-9adf-378795bd8b87</t>
  </si>
  <si>
    <t>Frazier</t>
  </si>
  <si>
    <t>Brandon</t>
  </si>
  <si>
    <t>83bedd09-e888-4ab9-aee5-0092bafa2e32</t>
  </si>
  <si>
    <t>Hale</t>
  </si>
  <si>
    <t>Catherine</t>
  </si>
  <si>
    <t>037120f4-68c2-4e08-8713-ae4d69b4ff0f</t>
  </si>
  <si>
    <t>Norton</t>
  </si>
  <si>
    <t>Colin</t>
  </si>
  <si>
    <t>No-MEP R3-47($453.80)</t>
  </si>
  <si>
    <t xml:space="preserve">10/2 Spoke with customer and provided information regarding MEP. He wanted to review the details online. Also provided the information is available on his bill each month. Offered our number if he had any questions. </t>
  </si>
  <si>
    <t>6a06cfcb-a587-41b5-a82c-96c8bac6b8c3</t>
  </si>
  <si>
    <t>Rogers</t>
  </si>
  <si>
    <t>Wittmann</t>
  </si>
  <si>
    <t>a5940403-0152-49f3-8190-db35b48322a9</t>
  </si>
  <si>
    <t>Lindsey</t>
  </si>
  <si>
    <t>821df9af-1c71-4ba2-bc90-b75d24a535e3</t>
  </si>
  <si>
    <t>Herrmann</t>
  </si>
  <si>
    <t>Jeremiah</t>
  </si>
  <si>
    <t>b8fce109-6a85-4eee-b86b-8a9ee28edf23</t>
  </si>
  <si>
    <t>Koduri</t>
  </si>
  <si>
    <t>Divya</t>
  </si>
  <si>
    <t>fb5c7437-3b88-48fb-b30f-12f1b5a2e73a</t>
  </si>
  <si>
    <t>Cody</t>
  </si>
  <si>
    <t>3a4334da-520e-4dbf-a496-5e89533d0532</t>
  </si>
  <si>
    <t>Lyngaas</t>
  </si>
  <si>
    <t>Owen</t>
  </si>
  <si>
    <t>210a2030-77ba-406d-8329-a4758f194e27</t>
  </si>
  <si>
    <t>Peluso</t>
  </si>
  <si>
    <t>526e1e80-ba8d-419d-a125-0c849f18b094</t>
  </si>
  <si>
    <t>Scaminaci</t>
  </si>
  <si>
    <t>Todd</t>
  </si>
  <si>
    <t>2565a347-cde9-451e-b5a5-5344dbbc98c9</t>
  </si>
  <si>
    <t>Edgar</t>
  </si>
  <si>
    <t>f3624802-3f76-4086-af18-0d77c687b444</t>
  </si>
  <si>
    <t>Bailey</t>
  </si>
  <si>
    <t>Isaiah</t>
  </si>
  <si>
    <t>9137609e-9cfd-4da0-9756-4d2be3fd34ee</t>
  </si>
  <si>
    <t>Nadolski</t>
  </si>
  <si>
    <t>Andrew</t>
  </si>
  <si>
    <t>2fa6aba8-15b2-4ca1-9c08-073bddf792f1</t>
  </si>
  <si>
    <t>Hernandex</t>
  </si>
  <si>
    <t>Aldo</t>
  </si>
  <si>
    <t>d161cc47-4dde-4fb5-b253-73446cecb798</t>
  </si>
  <si>
    <t>Vargo</t>
  </si>
  <si>
    <t xml:space="preserve">Daniel </t>
  </si>
  <si>
    <t>f5bf7f98-8c4c-4739-8ad9-a28ca5028e53</t>
  </si>
  <si>
    <t>Harding</t>
  </si>
  <si>
    <t>Anthony</t>
  </si>
  <si>
    <t>7e78c355-3b88-46b3-963b-457eba391368</t>
  </si>
  <si>
    <t>Wasserman</t>
  </si>
  <si>
    <t>Michael</t>
  </si>
  <si>
    <t>No MEP R3-47($123.47)</t>
  </si>
  <si>
    <t>10/9 - Left VM</t>
  </si>
  <si>
    <t>3ee0785a-972d-4761-bb72-25f8e339a208</t>
  </si>
  <si>
    <t>O'Toole</t>
  </si>
  <si>
    <t>Dan</t>
  </si>
  <si>
    <t>7187de6d-224e-45ae-a4d1-6169e976ac9b</t>
  </si>
  <si>
    <t>Nicosia</t>
  </si>
  <si>
    <t>Marcella</t>
  </si>
  <si>
    <t>3f3fe61e-e3b1-47b7-892b-a7cfca0022db</t>
  </si>
  <si>
    <t>Assaraf</t>
  </si>
  <si>
    <t>Sandy</t>
  </si>
  <si>
    <t>09703d72-1d84-424a-adc3-5488a9892f16</t>
  </si>
  <si>
    <t>Roudette</t>
  </si>
  <si>
    <t>Assistance?</t>
  </si>
  <si>
    <t>37137207-c684-4946-b2e9-7a053680dd07</t>
  </si>
  <si>
    <t>Knorr</t>
  </si>
  <si>
    <t>Tyler</t>
  </si>
  <si>
    <t>e181385e-e664-46ec-9b5d-ca2a95e646d6</t>
  </si>
  <si>
    <t>Jones-Weinert</t>
  </si>
  <si>
    <t>a19cd469-869a-420f-b452-93a6fe47e091</t>
  </si>
  <si>
    <t>Esho</t>
  </si>
  <si>
    <t>https://images.edocket.azcc.gov/docketpdf/0000215113.pdf</t>
  </si>
  <si>
    <t>41913f7b-0585-4a6f-904c-ba7df2de6fae</t>
  </si>
  <si>
    <t>Shuck</t>
  </si>
  <si>
    <t>Ken</t>
  </si>
  <si>
    <t>Flagstaff</t>
  </si>
  <si>
    <t>Would be a hardship</t>
  </si>
  <si>
    <t>https://images.edocket.azcc.gov/docketpdf/E000046190.pdf</t>
  </si>
  <si>
    <t>5b0f0346-f297-45da-b789-3fc2330aab81</t>
  </si>
  <si>
    <t>Gardner</t>
  </si>
  <si>
    <t>Karece</t>
  </si>
  <si>
    <t>No MEP R3-47($216.65)</t>
  </si>
  <si>
    <t>10/2 - Left VM</t>
  </si>
  <si>
    <t>f805210d-b4d8-4b1e-aec5-9ae82d916598</t>
  </si>
  <si>
    <t>Hampton</t>
  </si>
  <si>
    <t>6dc3aecb-819c-4529-8921-98483f09c587</t>
  </si>
  <si>
    <t>Premjee</t>
  </si>
  <si>
    <t>Jayesh</t>
  </si>
  <si>
    <t>Financial burden</t>
  </si>
  <si>
    <t>No MEP R3-47($176.22)</t>
  </si>
  <si>
    <t>Spoke w/customer- he will think about it and either call back or change online</t>
  </si>
  <si>
    <t>5989882b-1af7-42ee-80a8-aa52a1272d65</t>
  </si>
  <si>
    <t>Soledad</t>
  </si>
  <si>
    <t>Ramon</t>
  </si>
  <si>
    <t>Avondale</t>
  </si>
  <si>
    <t>Spanish preference customer</t>
  </si>
  <si>
    <t>20e2a8b2-f440-42e5-8bb7-08302d3f3c77</t>
  </si>
  <si>
    <t>Ramirez</t>
  </si>
  <si>
    <t>9b2d8870-23c4-46ab-91a1-7421927cfdc0</t>
  </si>
  <si>
    <t>Apodaca</t>
  </si>
  <si>
    <t>1c8e922d-8803-4767-add9-21d55397dbbc</t>
  </si>
  <si>
    <t>Simpson</t>
  </si>
  <si>
    <t>Adam</t>
  </si>
  <si>
    <t>cfb739b8-25e1-426c-a3c4-7148074f41c3</t>
  </si>
  <si>
    <t>Marr</t>
  </si>
  <si>
    <t>Michaela</t>
  </si>
  <si>
    <t>a5018fc2-4795-4348-b04a-d631d16102cb</t>
  </si>
  <si>
    <t>Hatch</t>
  </si>
  <si>
    <t>Geoffrey</t>
  </si>
  <si>
    <t>5a82511a-2546-4804-8a22-af28e2bc9097</t>
  </si>
  <si>
    <t>Sutton</t>
  </si>
  <si>
    <t>Terry</t>
  </si>
  <si>
    <t>Casa Grande</t>
  </si>
  <si>
    <t>R-2</t>
  </si>
  <si>
    <t>b56486df-b64c-41c9-85df-7d804f48aefa</t>
  </si>
  <si>
    <t>Klein</t>
  </si>
  <si>
    <t>Christian</t>
  </si>
  <si>
    <t>79f63488-b318-42db-9552-f66f0f6843d8</t>
  </si>
  <si>
    <t>Skinner</t>
  </si>
  <si>
    <t>Edward</t>
  </si>
  <si>
    <t>514b995e-42f4-4d10-93e4-5c0a2d3a6f00</t>
  </si>
  <si>
    <t>Desert</t>
  </si>
  <si>
    <t>Christopher</t>
  </si>
  <si>
    <t>96ba9649-083a-4b2c-9fda-09889e43a291</t>
  </si>
  <si>
    <t>Becker</t>
  </si>
  <si>
    <t>Nicholas</t>
  </si>
  <si>
    <t>6e68f675-2c1b-4b04-b862-f970b3a26a17</t>
  </si>
  <si>
    <t>Shoop</t>
  </si>
  <si>
    <t>Jordan</t>
  </si>
  <si>
    <t>6f84798a-1e74-410d-b326-b59d8644e0a9</t>
  </si>
  <si>
    <t>Reta</t>
  </si>
  <si>
    <t>Nikki</t>
  </si>
  <si>
    <t>dac003d4-3164-49be-93a8-7a61a64fa6e0</t>
  </si>
  <si>
    <t>Bednarz</t>
  </si>
  <si>
    <t>Taylor</t>
  </si>
  <si>
    <t>No MEP R3-47($129.92)</t>
  </si>
  <si>
    <t>Left VM 10/03/2025</t>
  </si>
  <si>
    <t>77c6a578-7a19-4b01-a8b5-2e2f51bbdf7c</t>
  </si>
  <si>
    <t>Kovar</t>
  </si>
  <si>
    <t>No rate hikes</t>
  </si>
  <si>
    <t>6f9cc063-dc41-42b9-a320-c481352f1c03</t>
  </si>
  <si>
    <t>Lamb</t>
  </si>
  <si>
    <t>cce3753d-7b53-4f3a-8b50-ab19b00a4cae</t>
  </si>
  <si>
    <t>Edwards</t>
  </si>
  <si>
    <t>Dylan</t>
  </si>
  <si>
    <t>05404701-fb3a-4fc8-881d-24a00522ee45</t>
  </si>
  <si>
    <t>Munuswamy</t>
  </si>
  <si>
    <t>Dinesh</t>
  </si>
  <si>
    <t>0518b584-d89b-431b-8c92-83a02dd5d597</t>
  </si>
  <si>
    <t>Mandloi</t>
  </si>
  <si>
    <t>Anurag</t>
  </si>
  <si>
    <t>7f6e76bc-702d-4d7f-b2c2-1dff6f1872f2</t>
  </si>
  <si>
    <t>Kelly</t>
  </si>
  <si>
    <t>bf69db77-cc48-46f0-9c41-188103d53b33</t>
  </si>
  <si>
    <t>Sahoo</t>
  </si>
  <si>
    <t>Prakash</t>
  </si>
  <si>
    <t>Does not support</t>
  </si>
  <si>
    <t>b2f18f12-5763-465e-96eb-043d3545ca17</t>
  </si>
  <si>
    <t>Lichtner</t>
  </si>
  <si>
    <t>No MEP R3-47($45.27)</t>
  </si>
  <si>
    <t>763413a9-b95c-4748-9c9f-03b23cbbe01f</t>
  </si>
  <si>
    <t>Linnane</t>
  </si>
  <si>
    <t>Betsy</t>
  </si>
  <si>
    <t>56307b3a-2dd6-40ab-9d39-bccada010a78</t>
  </si>
  <si>
    <t>Pela</t>
  </si>
  <si>
    <t>Allison</t>
  </si>
  <si>
    <t>Punishing solar customers</t>
  </si>
  <si>
    <t>497cf28a-6565-4484-95d1-6e0a800f53e0</t>
  </si>
  <si>
    <t>Elliston</t>
  </si>
  <si>
    <t>Juanita</t>
  </si>
  <si>
    <t>d21f1ce1-c640-4667-9da5-1263cb04ee32</t>
  </si>
  <si>
    <t>Kroytoro</t>
  </si>
  <si>
    <t>Eli</t>
  </si>
  <si>
    <t>cebe29bc-6e7c-4e94-a8ba-f27c117bb565</t>
  </si>
  <si>
    <t>McCallum</t>
  </si>
  <si>
    <t>Robert</t>
  </si>
  <si>
    <t xml:space="preserve">Cannot afford/retired </t>
  </si>
  <si>
    <t>ef2cdc7e-0f3f-47fa-918a-c3fbb0526f36</t>
  </si>
  <si>
    <t>Kontryn</t>
  </si>
  <si>
    <t xml:space="preserve">Sara </t>
  </si>
  <si>
    <t>No MEP R3-47($91.81)</t>
  </si>
  <si>
    <t>3a7c8e99-33e6-48f4-9f04-6bbdf4a81998</t>
  </si>
  <si>
    <t>Petersen</t>
  </si>
  <si>
    <t>9a83f5a6-1387-4a2b-aff0-5e0859122c8c</t>
  </si>
  <si>
    <t>Bergstrom</t>
  </si>
  <si>
    <t>Shailey</t>
  </si>
  <si>
    <t>Apt electric bill is as high as her parent home in Tucson</t>
  </si>
  <si>
    <t>No MEP R-BASIC(170.69)</t>
  </si>
  <si>
    <t>Left VM 10/03/2025 - Will be automatically reassigned to Tier 2 soon</t>
  </si>
  <si>
    <t>8c169ff8-eea7-4cbb-88a4-55ea76f092c6</t>
  </si>
  <si>
    <t>Richard</t>
  </si>
  <si>
    <t>No Multiple SAs not on MEP</t>
  </si>
  <si>
    <t>ecbf4123-3663-4060-8f5c-73d236da21a9</t>
  </si>
  <si>
    <t>Weaver</t>
  </si>
  <si>
    <t>Make data centers pay more not people who are struggling</t>
  </si>
  <si>
    <t>8ac1e73c-0eb3-403d-9e57-b2ab251e5852</t>
  </si>
  <si>
    <t>Gutierrez</t>
  </si>
  <si>
    <t>Francisco</t>
  </si>
  <si>
    <t>Yuma</t>
  </si>
  <si>
    <t>No MEP R3-47($92.74)</t>
  </si>
  <si>
    <t>Unable to leave VM- Mailbox full 10/03/25</t>
  </si>
  <si>
    <t>f282d46e-9c55-4523-96e7-56f152186f98</t>
  </si>
  <si>
    <t>Buros</t>
  </si>
  <si>
    <t>Nicole</t>
  </si>
  <si>
    <t>7dec0a01-2d1d-477c-b637-5e27727ae3a6</t>
  </si>
  <si>
    <t>Ramakrishnan</t>
  </si>
  <si>
    <t>Shyam Sundar</t>
  </si>
  <si>
    <t>Unnecessary financial strain</t>
  </si>
  <si>
    <t>7f1a8363-26dd-4a5f-8541-dc79dc097dc6</t>
  </si>
  <si>
    <t>Vandiver</t>
  </si>
  <si>
    <t>Kaneshea</t>
  </si>
  <si>
    <t>Already having a hard time affording electric bill</t>
  </si>
  <si>
    <t>c527fdf0-62f8-4e10-ad34-ac3394c2f9ce</t>
  </si>
  <si>
    <t>Martin-Pinon</t>
  </si>
  <si>
    <t>Olivia</t>
  </si>
  <si>
    <t>Tempe</t>
  </si>
  <si>
    <t>ca5e0cbf-4a08-4f91-85e8-6ab36b2efa0e</t>
  </si>
  <si>
    <t>Fajardo</t>
  </si>
  <si>
    <t>2f318704-a989-495e-a98e-7d545e95f9d8</t>
  </si>
  <si>
    <t>Mohapatra</t>
  </si>
  <si>
    <t>Sangram</t>
  </si>
  <si>
    <t>No MEP R3-47($197.05)</t>
  </si>
  <si>
    <t>03ad592d-5be4-4ebe-96bb-b1d25036b3e1</t>
  </si>
  <si>
    <t>Purohit</t>
  </si>
  <si>
    <t>Amit Kumar</t>
  </si>
  <si>
    <t>e6c128c0-a2c1-4dab-8c11-2eb36897abc0</t>
  </si>
  <si>
    <t>Valenzuela</t>
  </si>
  <si>
    <t>Elena</t>
  </si>
  <si>
    <t>c2e6a3af-3e9f-42d3-bf97-45c736880baf</t>
  </si>
  <si>
    <t>Theis</t>
  </si>
  <si>
    <t>Madison</t>
  </si>
  <si>
    <t>84ad1c28-97b6-47de-b063-f0ad9ac85f53</t>
  </si>
  <si>
    <t>Lee</t>
  </si>
  <si>
    <t>Have to choose between lights and groceries</t>
  </si>
  <si>
    <t>9cb78041-cf6f-4b26-98b4-e6325e882d9c</t>
  </si>
  <si>
    <t>Davis</t>
  </si>
  <si>
    <t>Lance</t>
  </si>
  <si>
    <t>7b5e4015-56c9-4793-a0dc-b185e077572d</t>
  </si>
  <si>
    <t>Hupka</t>
  </si>
  <si>
    <t>Tanner</t>
  </si>
  <si>
    <t>cb0278f0-f7c3-4a31-9b05-18bcec8a589b</t>
  </si>
  <si>
    <t>Lopez</t>
  </si>
  <si>
    <t>Brian</t>
  </si>
  <si>
    <t>Somerton</t>
  </si>
  <si>
    <t>Monopoly</t>
  </si>
  <si>
    <t>33db6dac-e5a9-4f88-9439-d266dd347b91</t>
  </si>
  <si>
    <t>Chacon</t>
  </si>
  <si>
    <t>Luis</t>
  </si>
  <si>
    <t>65daee10-24d9-4e84-83dd-dd031b34f256</t>
  </si>
  <si>
    <t>Dims</t>
  </si>
  <si>
    <t xml:space="preserve">Cannot afford </t>
  </si>
  <si>
    <t>57743353-6531-4d23-91ac-c925506097c6</t>
  </si>
  <si>
    <t>Coudriet</t>
  </si>
  <si>
    <t>Lise</t>
  </si>
  <si>
    <t xml:space="preserve">Will cause hardships </t>
  </si>
  <si>
    <t>No MEP R3-47(755.73)</t>
  </si>
  <si>
    <r>
      <t xml:space="preserve">Left VM 10/03/2025 - Initiated rate change to MEP on 10/10 </t>
    </r>
    <r>
      <rPr>
        <sz val="9"/>
        <color rgb="FFFF0000"/>
        <rFont val="Arial Nova Cond"/>
        <family val="2"/>
      </rPr>
      <t>- MAY NEED MORE ASSISTANCE</t>
    </r>
  </si>
  <si>
    <t>2157f3b2-26e7-4cc8-9ec6-522d7258b6f4</t>
  </si>
  <si>
    <t>Murillo</t>
  </si>
  <si>
    <t>88dc03db-87cc-4621-a70a-cba196e590a4</t>
  </si>
  <si>
    <t>Deep</t>
  </si>
  <si>
    <t>Varun</t>
  </si>
  <si>
    <t>8b05120c-ee10-447c-bd56-fdc8612825f7</t>
  </si>
  <si>
    <t>Skidmore</t>
  </si>
  <si>
    <t>Marie</t>
  </si>
  <si>
    <t>Not affordable</t>
  </si>
  <si>
    <t>413a4c08-a641-453d-a7fa-d10cbc801e1c</t>
  </si>
  <si>
    <t>Floyd</t>
  </si>
  <si>
    <t>Casey</t>
  </si>
  <si>
    <t>d86f956f-721d-40cc-8aad-7fa4c1482e1d</t>
  </si>
  <si>
    <t>Chandrasekaran</t>
  </si>
  <si>
    <t>Vamsikrishna</t>
  </si>
  <si>
    <t>Families struggling/APS strong profits</t>
  </si>
  <si>
    <t>817d57ea-ab96-4fb2-8f4e-4dfd3c25a5b5</t>
  </si>
  <si>
    <t>Jaime</t>
  </si>
  <si>
    <t>1c331f39-b83a-4e4b-a377-5c3ea8167940</t>
  </si>
  <si>
    <t>Johnson</t>
  </si>
  <si>
    <t>Rion</t>
  </si>
  <si>
    <t>27e349c1-99cf-47ad-9ace-e8e4c189e054</t>
  </si>
  <si>
    <t>Medeiros</t>
  </si>
  <si>
    <t>a54525aa-85f1-493b-988a-a15dd07f5672</t>
  </si>
  <si>
    <t>Morganstien</t>
  </si>
  <si>
    <t>Alan</t>
  </si>
  <si>
    <t>Citizens carrying cost of demand driven by data centers</t>
  </si>
  <si>
    <t>0bc80220-6d9e-4b38-b58f-7bc33719d5a1</t>
  </si>
  <si>
    <t xml:space="preserve">Gurram </t>
  </si>
  <si>
    <t>Tanooj Kumar Reddy</t>
  </si>
  <si>
    <t>No MEP R3-47($194.29)</t>
  </si>
  <si>
    <t>c2f31bb2-5f8d-4e9a-a9c9-a78b2c37be23</t>
  </si>
  <si>
    <t>Vogt</t>
  </si>
  <si>
    <t>Gary</t>
  </si>
  <si>
    <t>Sun City West</t>
  </si>
  <si>
    <t>APS profits high/fixed income, will strain budget</t>
  </si>
  <si>
    <t>aabfdc1b-ef52-40e9-badf-2634d097a689</t>
  </si>
  <si>
    <t>Edens</t>
  </si>
  <si>
    <t>Colleen</t>
  </si>
  <si>
    <t>Fixed income/don't raise it much</t>
  </si>
  <si>
    <t>fe2b0821-97f7-4087-8144-c07d387341c8</t>
  </si>
  <si>
    <t>McKnight</t>
  </si>
  <si>
    <t>81c730d0-d0a8-4416-a501-0d8026c5c372</t>
  </si>
  <si>
    <t>Joshua</t>
  </si>
  <si>
    <t>8458daa6-2dd7-4de6-aa63-a6360a1fbb84</t>
  </si>
  <si>
    <t>Heck</t>
  </si>
  <si>
    <t>Traci</t>
  </si>
  <si>
    <t>Paying $100s for house at 80 degrees</t>
  </si>
  <si>
    <t>715f4afb-83b9-4601-993a-8eef53c8def2</t>
  </si>
  <si>
    <t>Karna</t>
  </si>
  <si>
    <t>Easton</t>
  </si>
  <si>
    <t>Greedy / inflation outpaces income increases</t>
  </si>
  <si>
    <t>36f5b7df-dacd-49b0-b5e1-3a67dd9cd72c</t>
  </si>
  <si>
    <t>Dhamotharan</t>
  </si>
  <si>
    <t>Madhavan</t>
  </si>
  <si>
    <t>105cb8f7-8763-442b-a655-3226874d48a9</t>
  </si>
  <si>
    <t>Champion</t>
  </si>
  <si>
    <t>Vicki</t>
  </si>
  <si>
    <t>APS charges more than SRP</t>
  </si>
  <si>
    <t>Multiple Accounts</t>
  </si>
  <si>
    <t>RTOUE47//ET-2 W/EPR6</t>
  </si>
  <si>
    <t>No MEP R3-47 ($127.42)</t>
  </si>
  <si>
    <t>287299b6-fa46-4d0c-9879-1a3869ddb077</t>
  </si>
  <si>
    <t xml:space="preserve">Ty </t>
  </si>
  <si>
    <t>filed 2x on this day</t>
  </si>
  <si>
    <t>e9602cf1-7f86-4716-ad41-014e38b6bbb5</t>
  </si>
  <si>
    <t>Willett</t>
  </si>
  <si>
    <t>e28a10cc-502f-4f8f-a7dd-394f0d799e59</t>
  </si>
  <si>
    <t>Navarrette</t>
  </si>
  <si>
    <t>Adriana</t>
  </si>
  <si>
    <t>ce61b465-d027-49c1-b75c-9b559221677c</t>
  </si>
  <si>
    <t>Schwartz</t>
  </si>
  <si>
    <t>Doesn't deserve another rate increase</t>
  </si>
  <si>
    <t>bb3e5bfb-72eb-4a24-8e04-e4cecfdbd5b7</t>
  </si>
  <si>
    <t>Nance</t>
  </si>
  <si>
    <t>Stacy</t>
  </si>
  <si>
    <t>No more increases, already paycheck to paycheck</t>
  </si>
  <si>
    <t>141da8cc-0732-4b29-ae6d-2378a09ee566</t>
  </si>
  <si>
    <t>Beatty</t>
  </si>
  <si>
    <t>Cottonwood</t>
  </si>
  <si>
    <t>Unacceptable financial burden</t>
  </si>
  <si>
    <t>f3c39223-fb02-4029-b85c-4e5e69cec0dd</t>
  </si>
  <si>
    <t>Embrey</t>
  </si>
  <si>
    <t xml:space="preserve">Fixed income </t>
  </si>
  <si>
    <t>4219db8d-8ac3-46f3-a8c5-3603a5fd8766</t>
  </si>
  <si>
    <t>Oakley</t>
  </si>
  <si>
    <t>Abraham</t>
  </si>
  <si>
    <t>0c46bb5b-90de-4ed2-b47c-cf6ff23281c7</t>
  </si>
  <si>
    <t>Grow</t>
  </si>
  <si>
    <t>Scott</t>
  </si>
  <si>
    <t>Bill has gone up every year</t>
  </si>
  <si>
    <t>09013448-6945-480d-a291-4c8e168b364a</t>
  </si>
  <si>
    <t>Sillivan</t>
  </si>
  <si>
    <t>Negatively impact ability to pay bills</t>
  </si>
  <si>
    <t>87878621-b70b-493e-80b8-e4dfd874fe49</t>
  </si>
  <si>
    <t>Satawa</t>
  </si>
  <si>
    <t>fe9e1a61-dca9-4fc5-b5d7-26efaf89db67</t>
  </si>
  <si>
    <t>Portillo</t>
  </si>
  <si>
    <t>Jesus</t>
  </si>
  <si>
    <t>d5efb280-ce1e-4dad-a95c-bd73d105f74a</t>
  </si>
  <si>
    <t>Messner</t>
  </si>
  <si>
    <t>Matthew</t>
  </si>
  <si>
    <t>Data centers shouldn't be residents cross to bear</t>
  </si>
  <si>
    <t>12ea4959-ca74-4a7e-a543-db93c010acc8</t>
  </si>
  <si>
    <t>Megan</t>
  </si>
  <si>
    <t>Barely afford it now</t>
  </si>
  <si>
    <t>fc18d899-6a33-4e72-b962-8f5e5e1d0e3b</t>
  </si>
  <si>
    <t>Crowley</t>
  </si>
  <si>
    <t>Kendell</t>
  </si>
  <si>
    <t>N o MEP R-XS(136.68)</t>
  </si>
  <si>
    <t>Left VM 10/03/2025 - Initiated rate change on 10/19</t>
  </si>
  <si>
    <t>ea623433-cd54-4488-86c9-ab2e3e4cc9b8</t>
  </si>
  <si>
    <t>Wasylenko</t>
  </si>
  <si>
    <t>Emily</t>
  </si>
  <si>
    <t>9a9c908c-5ca2-44bc-bb0c-dd03c2871973</t>
  </si>
  <si>
    <t>Pernatozzi</t>
  </si>
  <si>
    <t>Lauren</t>
  </si>
  <si>
    <t xml:space="preserve">Data centers </t>
  </si>
  <si>
    <t>f8fb159e-ef28-41c6-8bd5-3c8d0b661557</t>
  </si>
  <si>
    <t>Hansen</t>
  </si>
  <si>
    <t>88e478a2-4ef0-4af9-b0f9-9366feb419b9</t>
  </si>
  <si>
    <t>Millwee</t>
  </si>
  <si>
    <t>Elizabeth</t>
  </si>
  <si>
    <t>9240700000</t>
  </si>
  <si>
    <t>abc5f009-2a9a-40f2-a949-1ae270784b2d</t>
  </si>
  <si>
    <t>Corona</t>
  </si>
  <si>
    <t>Samuel</t>
  </si>
  <si>
    <t>a2d78818-8740-4e81-be92-72866d75398a</t>
  </si>
  <si>
    <t>Reynnaud</t>
  </si>
  <si>
    <t xml:space="preserve">Gordon </t>
  </si>
  <si>
    <t>1b3f051d-96bd-4e4f-9552-339c8f0db118</t>
  </si>
  <si>
    <t>Martinez Valdez</t>
  </si>
  <si>
    <t>Diana</t>
  </si>
  <si>
    <t>Stop the rising prices</t>
  </si>
  <si>
    <t>3469ae25-3f00-4ae1-bd9a-13b91f596d13</t>
  </si>
  <si>
    <t>Salameh</t>
  </si>
  <si>
    <t>Samira</t>
  </si>
  <si>
    <t>af9bf88a-b66e-4f68-b4ac-e0ddf877c725</t>
  </si>
  <si>
    <t>Carter</t>
  </si>
  <si>
    <t>Katie</t>
  </si>
  <si>
    <t>Huge burden /  limited income</t>
  </si>
  <si>
    <t>acb6819f-c36b-43aa-bbe4-b2086b960c2c</t>
  </si>
  <si>
    <t>Kotagiri</t>
  </si>
  <si>
    <t>Sanjay</t>
  </si>
  <si>
    <t>4826470000</t>
  </si>
  <si>
    <t>d96b87af-7088-421c-9f4d-3b4bd0ff10fe</t>
  </si>
  <si>
    <t>Kanch</t>
  </si>
  <si>
    <t>Abhi</t>
  </si>
  <si>
    <t>c1cfa14f-2729-41cd-8a42-cc4d735913a8</t>
  </si>
  <si>
    <t>Benchwick</t>
  </si>
  <si>
    <t>Outrageous</t>
  </si>
  <si>
    <t>3d46ae5b-1a2d-45e2-8a2e-de3b0d1ec616</t>
  </si>
  <si>
    <t>Amoroso</t>
  </si>
  <si>
    <t>Terri</t>
  </si>
  <si>
    <t>b7069ccd-28fb-4836-9b60-3d7886e8fbbc</t>
  </si>
  <si>
    <t>Berumen</t>
  </si>
  <si>
    <t>Justice</t>
  </si>
  <si>
    <t xml:space="preserve">Outraged </t>
  </si>
  <si>
    <t>7700448567</t>
  </si>
  <si>
    <t>782b44c4-088f-4f3b-bfc1-a5f8261d15b7</t>
  </si>
  <si>
    <t>Michaud</t>
  </si>
  <si>
    <t>Nada</t>
  </si>
  <si>
    <t>Stop increasing rates</t>
  </si>
  <si>
    <t>a40e0545-1ea2-4ae2-9447-67248f46137a</t>
  </si>
  <si>
    <t>Wellen</t>
  </si>
  <si>
    <t>Bev</t>
  </si>
  <si>
    <t>No more rate hikes</t>
  </si>
  <si>
    <t>6608972636</t>
  </si>
  <si>
    <t>1c16c843-3388-4e10-84c4-a726f4774ed2</t>
  </si>
  <si>
    <t>Brutinel</t>
  </si>
  <si>
    <t>Shea</t>
  </si>
  <si>
    <t>Prescott</t>
  </si>
  <si>
    <t>5797101000</t>
  </si>
  <si>
    <t>a8c1c21a-23f6-44f2-811d-7f4bc86d6de2</t>
  </si>
  <si>
    <t>Lipfert</t>
  </si>
  <si>
    <t>9798231000</t>
  </si>
  <si>
    <t>3c689ac4-f36f-4c2c-b1ad-3a1a82f9bbb9</t>
  </si>
  <si>
    <t>Hozian</t>
  </si>
  <si>
    <t>Cathy</t>
  </si>
  <si>
    <t>APS is greedy and evil</t>
  </si>
  <si>
    <t>54c6e0ba-128d-4640-a63f-6686962f0b62</t>
  </si>
  <si>
    <t>Hendrickson</t>
  </si>
  <si>
    <t>Ria</t>
  </si>
  <si>
    <t>e4fc4080-68ad-42ba-aaac-8baa7eabe1df</t>
  </si>
  <si>
    <t>Romanek</t>
  </si>
  <si>
    <t>5257583600</t>
  </si>
  <si>
    <t>No MEP RTOUE ($45.35)</t>
  </si>
  <si>
    <t>4f1cfe01-5e20-4eba-a361-880efc651183</t>
  </si>
  <si>
    <t>Eddy</t>
  </si>
  <si>
    <t>Kaylah</t>
  </si>
  <si>
    <t>9beb3c09-0246-444f-8696-4ba26c73eec7</t>
  </si>
  <si>
    <t>Selvaraj</t>
  </si>
  <si>
    <t>2484289538</t>
  </si>
  <si>
    <t>235ea0da-9bb3-4af2-9210-3a3fe68b096e</t>
  </si>
  <si>
    <t>LaFevre</t>
  </si>
  <si>
    <t>Ryan</t>
  </si>
  <si>
    <t>2318631000</t>
  </si>
  <si>
    <t>ac6268da-50e8-48fd-8c81-0fc3cbcffe8f</t>
  </si>
  <si>
    <t>Patel</t>
  </si>
  <si>
    <t>Kevin</t>
  </si>
  <si>
    <t>2287263111</t>
  </si>
  <si>
    <t>No MEP R3-47($402.81)</t>
  </si>
  <si>
    <t>a5df7cae-2e78-4ef4-96d0-be0d05156b06</t>
  </si>
  <si>
    <t>Johnston</t>
  </si>
  <si>
    <t>Kendra</t>
  </si>
  <si>
    <t>4330169654</t>
  </si>
  <si>
    <t>b6c3675a-67bb-4d03-b4cc-9157c3d3481d</t>
  </si>
  <si>
    <t>Antonio</t>
  </si>
  <si>
    <t>7809411352</t>
  </si>
  <si>
    <t>89933fc9-5be3-4dd1-b36c-9dbb97c5cd5b</t>
  </si>
  <si>
    <t>Gross</t>
  </si>
  <si>
    <t>Cindy</t>
  </si>
  <si>
    <t>1901940000</t>
  </si>
  <si>
    <t>b7b48171-47e2-4153-a49a-ee06f960fda2</t>
  </si>
  <si>
    <t>Gomez</t>
  </si>
  <si>
    <t>Amias</t>
  </si>
  <si>
    <t>01fb8307-bfab-4c05-a81a-9b258105accc</t>
  </si>
  <si>
    <t>Dubner</t>
  </si>
  <si>
    <t>Daren</t>
  </si>
  <si>
    <t>Struggling to pay bills &amp; to find renters willing to pay rates</t>
  </si>
  <si>
    <t>2344543728</t>
  </si>
  <si>
    <t>f7dfa6f9-5c32-4bc4-8adc-c3de45228f38</t>
  </si>
  <si>
    <t>Schroeder</t>
  </si>
  <si>
    <t>People are suffering financially</t>
  </si>
  <si>
    <t>No MEP R3-47 ($369.17)</t>
  </si>
  <si>
    <t>COR made rate change on 9/18</t>
  </si>
  <si>
    <t>22ff5da9-df5c-4b77-b272-a2667317adfb</t>
  </si>
  <si>
    <t>De Fina</t>
  </si>
  <si>
    <t>Ellana</t>
  </si>
  <si>
    <t>4400568112</t>
  </si>
  <si>
    <t>No MEP R3-47($43.55)</t>
  </si>
  <si>
    <t>fcc8fab6-9024-4063-9cf1-5244c0657502</t>
  </si>
  <si>
    <t xml:space="preserve">Hays </t>
  </si>
  <si>
    <t>Timoth</t>
  </si>
  <si>
    <t>0337770119</t>
  </si>
  <si>
    <t>5ac61d9c-0bde-4e13-8b00-15b86e9f4534</t>
  </si>
  <si>
    <t>Ana</t>
  </si>
  <si>
    <t>Making it harder for middle class</t>
  </si>
  <si>
    <t>1084589454</t>
  </si>
  <si>
    <t>878774bf-7cb6-40a1-97e1-9906389b70b7</t>
  </si>
  <si>
    <t>Messmer</t>
  </si>
  <si>
    <t>Widow on limited income</t>
  </si>
  <si>
    <t>No MEP R3-47($87.48)</t>
  </si>
  <si>
    <t>a1c98e69-9ada-48ea-9f7f-27dbc7733e81</t>
  </si>
  <si>
    <t>Harmes</t>
  </si>
  <si>
    <t>Kim</t>
  </si>
  <si>
    <t>Fixed income and august bill was $588</t>
  </si>
  <si>
    <t>8809578171</t>
  </si>
  <si>
    <t>33459f5f-e308-41be-b68c-77548d2a0c78</t>
  </si>
  <si>
    <t>Crane</t>
  </si>
  <si>
    <t>Frank</t>
  </si>
  <si>
    <t>Anthem</t>
  </si>
  <si>
    <t>0138600000</t>
  </si>
  <si>
    <t>No MEP RTOUE47($28.13)</t>
  </si>
  <si>
    <t>e88aeb9f-a277-4381-ad37-f50a1b337e77</t>
  </si>
  <si>
    <t>McReynolds</t>
  </si>
  <si>
    <t>9851454126</t>
  </si>
  <si>
    <t>No MEP R3-47($158.60)</t>
  </si>
  <si>
    <t>479cdfc4-cc96-4a1c-b052-b05bd189c94d</t>
  </si>
  <si>
    <t>Meraz</t>
  </si>
  <si>
    <t>Victor</t>
  </si>
  <si>
    <t>Already expensive enough</t>
  </si>
  <si>
    <t>cec45e1a-d337-46e3-a1e6-1091ccf182e0</t>
  </si>
  <si>
    <t>Repaka</t>
  </si>
  <si>
    <t>Veerraju</t>
  </si>
  <si>
    <t>7113636850</t>
  </si>
  <si>
    <t>No MEP R3-47($18.51)</t>
  </si>
  <si>
    <t>6568ae56-4b49-4642-8445-569840ebd635</t>
  </si>
  <si>
    <t>Rood</t>
  </si>
  <si>
    <t>Families struggling</t>
  </si>
  <si>
    <t>8707818706</t>
  </si>
  <si>
    <t>0d3706db-2ca6-4a4a-accf-d67b295e8071</t>
  </si>
  <si>
    <t>Garrick</t>
  </si>
  <si>
    <t>Jacqueline</t>
  </si>
  <si>
    <t>3c2b5441-535a-4dac-9e16-4813530d8691</t>
  </si>
  <si>
    <t>Zack</t>
  </si>
  <si>
    <t>22b437cd-14ff-492a-abc9-d2a67a2a40a5</t>
  </si>
  <si>
    <t>Priess</t>
  </si>
  <si>
    <t>Felipe</t>
  </si>
  <si>
    <t>0014802989</t>
  </si>
  <si>
    <t>bf314e7b-1050-4fdd-8c31-ef258351fbaf</t>
  </si>
  <si>
    <t>Meyer</t>
  </si>
  <si>
    <t>Randell</t>
  </si>
  <si>
    <t>Opposed to FRM</t>
  </si>
  <si>
    <t>8729590000</t>
  </si>
  <si>
    <t>9e2fd854-5804-4291-b3f5-fb3821920906</t>
  </si>
  <si>
    <t>Wetch</t>
  </si>
  <si>
    <t>Kristine</t>
  </si>
  <si>
    <t>Cannot afford if the rates go higher</t>
  </si>
  <si>
    <t>4f8a7047-7eda-4cbe-a2de-df5a9912167a</t>
  </si>
  <si>
    <t>Farmer</t>
  </si>
  <si>
    <t>Eric</t>
  </si>
  <si>
    <t>5144511000</t>
  </si>
  <si>
    <t>cb188b0f-c110-414a-8857-5b43e694a103</t>
  </si>
  <si>
    <t>Deleon</t>
  </si>
  <si>
    <t>Doneen</t>
  </si>
  <si>
    <t>4233804978</t>
  </si>
  <si>
    <t>3890999c-9f1e-41d5-89bf-d7ad2fca2f4c</t>
  </si>
  <si>
    <t>Zuniga</t>
  </si>
  <si>
    <t>Dante</t>
  </si>
  <si>
    <t>c53199f0-1a99-4d03-84ae-ac7bbf12b7b2</t>
  </si>
  <si>
    <t>Hoffman</t>
  </si>
  <si>
    <t>Rebecca</t>
  </si>
  <si>
    <t>7b09e53f-2f43-4955-87da-ba6731c5e123</t>
  </si>
  <si>
    <t>Bambulum</t>
  </si>
  <si>
    <t>Grace</t>
  </si>
  <si>
    <t>Globe</t>
  </si>
  <si>
    <t>3487507055</t>
  </si>
  <si>
    <t>No MEP R-BASIC ($102.86)</t>
  </si>
  <si>
    <t>e834ee00-d50a-4767-86e2-7396a71c53ff</t>
  </si>
  <si>
    <t>Gonzalez</t>
  </si>
  <si>
    <t>Kadence</t>
  </si>
  <si>
    <t>1028298226</t>
  </si>
  <si>
    <t>No MEP R3-47($36.09)</t>
  </si>
  <si>
    <t>f0a23114-2b82-4098-b20e-dc1f499944ed</t>
  </si>
  <si>
    <t>Brown</t>
  </si>
  <si>
    <t>Theodore</t>
  </si>
  <si>
    <t>3000474278</t>
  </si>
  <si>
    <t>No MEP R-BASIC ($49.11)</t>
  </si>
  <si>
    <t>f0215411-3899-4538-bc35-753719dc47bb</t>
  </si>
  <si>
    <t>Cherukumilli</t>
  </si>
  <si>
    <t>Kameswar Naveen</t>
  </si>
  <si>
    <t>9689247354</t>
  </si>
  <si>
    <t>bcdef11a-3aef-41f2-9ad8-ecb56616eea1</t>
  </si>
  <si>
    <t>Clasby</t>
  </si>
  <si>
    <t>Brendan</t>
  </si>
  <si>
    <t>4535728753</t>
  </si>
  <si>
    <t>4639e85b-d367-4a5a-b40e-284828cf176a</t>
  </si>
  <si>
    <t>Roy</t>
  </si>
  <si>
    <t>Jackson</t>
  </si>
  <si>
    <t>6477491967</t>
  </si>
  <si>
    <t>331b594d-b806-42fb-a780-f82b6480915a</t>
  </si>
  <si>
    <t>Pranesh</t>
  </si>
  <si>
    <t>Vinay</t>
  </si>
  <si>
    <t>No MEP R-BASIC ($95.94)</t>
  </si>
  <si>
    <t>849b101a-4fbe-4fd6-bba7-725a9d143138</t>
  </si>
  <si>
    <t>Cunico</t>
  </si>
  <si>
    <t>Shayla</t>
  </si>
  <si>
    <t>1080436652</t>
  </si>
  <si>
    <t>dc195726-38e3-4354-9603-93557a5053d3</t>
  </si>
  <si>
    <t>Castre</t>
  </si>
  <si>
    <t>9868570000</t>
  </si>
  <si>
    <t>No MEP R3-47($63.87)</t>
  </si>
  <si>
    <t>81715c3d-afdd-4d3b-8355-3098f41f6f01</t>
  </si>
  <si>
    <t>39f342db-e39d-4bc5-aa05-90e6e9cd9dba</t>
  </si>
  <si>
    <t>Jade</t>
  </si>
  <si>
    <t>9812684449</t>
  </si>
  <si>
    <t>d38423fb-51a3-458b-89d2-3c79b1dcb81d</t>
  </si>
  <si>
    <t>Rumery</t>
  </si>
  <si>
    <t>Ashlee</t>
  </si>
  <si>
    <t>7263223413</t>
  </si>
  <si>
    <t>No MEP R3-47($20.52)</t>
  </si>
  <si>
    <t>5a83d168-97a3-44e8-b4c1-77a5babf4d92</t>
  </si>
  <si>
    <t>18880218-a26d-4a0c-a3c0-8ea051f47f91</t>
  </si>
  <si>
    <t>Tobey</t>
  </si>
  <si>
    <t>5323810000</t>
  </si>
  <si>
    <t>48f70c4a-e5c3-4d96-8331-e3e03da7a1f8</t>
  </si>
  <si>
    <t>Patino</t>
  </si>
  <si>
    <t>Sean</t>
  </si>
  <si>
    <t>6377618578</t>
  </si>
  <si>
    <t>ffa5c7e1-44f4-413f-bb8d-06465595ba88</t>
  </si>
  <si>
    <t>Pugliese</t>
  </si>
  <si>
    <t>Jeffrey</t>
  </si>
  <si>
    <t>5100177684</t>
  </si>
  <si>
    <t>c0887880-1fe9-44d0-a947-bcb4e3591bd8</t>
  </si>
  <si>
    <t>Kolli</t>
  </si>
  <si>
    <t>721c6c9c-9c01-444b-aecb-40d05d2b2cb2</t>
  </si>
  <si>
    <t>Raquel</t>
  </si>
  <si>
    <t>Too high</t>
  </si>
  <si>
    <t>34ffad52-a02e-4d86-abc9-17fcd18b09c2</t>
  </si>
  <si>
    <t>McChesney</t>
  </si>
  <si>
    <t>Unneeded money grab</t>
  </si>
  <si>
    <t>2213731000</t>
  </si>
  <si>
    <t>7a2dec97-9e66-4330-ad5b-081f19e769dd</t>
  </si>
  <si>
    <t>7194070000</t>
  </si>
  <si>
    <t>ab49ed07-c746-4a52-89d3-3f1b659be78a</t>
  </si>
  <si>
    <t>Rall</t>
  </si>
  <si>
    <t>Draeque</t>
  </si>
  <si>
    <t>3556070925</t>
  </si>
  <si>
    <t>No MEP R-XS($104.50)</t>
  </si>
  <si>
    <t>Left VM 10/03/2025 - Will be automatically reassigned to Tier 1 soon</t>
  </si>
  <si>
    <t>1638114a-16bb-44bf-bde3-40ae19cac182</t>
  </si>
  <si>
    <t>Dandasi</t>
  </si>
  <si>
    <t>9646530000</t>
  </si>
  <si>
    <t>fc4bf341-bfc0-46c7-8ea3-e1c4a8ce5020</t>
  </si>
  <si>
    <t>Fargher</t>
  </si>
  <si>
    <t>9467621419</t>
  </si>
  <si>
    <t>No MEP R-XS ($126.43)</t>
  </si>
  <si>
    <t>Will be automatically reassigned to Tier 1 soon</t>
  </si>
  <si>
    <t>40eee593-4d4a-4e0c-917e-5895820b4297</t>
  </si>
  <si>
    <t>Sutinen</t>
  </si>
  <si>
    <t>Family struggling to make ends meet</t>
  </si>
  <si>
    <t>dd538770-d7dc-4900-aa0d-4151f399d6a4</t>
  </si>
  <si>
    <t>8800511000</t>
  </si>
  <si>
    <t>a8c3f815-af91-4259-a10f-1a9ac14e62ac</t>
  </si>
  <si>
    <t>Fix</t>
  </si>
  <si>
    <t>58f3b010-8dc7-4220-acf1-411e900cb14a</t>
  </si>
  <si>
    <t>Cunningham</t>
  </si>
  <si>
    <t>Barbara</t>
  </si>
  <si>
    <t>Too much</t>
  </si>
  <si>
    <t>6965120000</t>
  </si>
  <si>
    <t>d5d191a1-aedf-4305-b146-3154919ce09f</t>
  </si>
  <si>
    <t>Rakesh</t>
  </si>
  <si>
    <t>22b1e5ec-2231-4a35-87c2-14d32cc9f93c</t>
  </si>
  <si>
    <t>4144330000</t>
  </si>
  <si>
    <t>589d39bf-dcac-4614-a295-f3622fdebf9c</t>
  </si>
  <si>
    <t>Priya</t>
  </si>
  <si>
    <t>Vishnu</t>
  </si>
  <si>
    <t>9e23e9e7-a584-44aa-a2e8-4a9df03b281d</t>
  </si>
  <si>
    <t>Renberg</t>
  </si>
  <si>
    <t>7638863637</t>
  </si>
  <si>
    <t>6d3deed4-ec06-4aca-adde-859e1d8aef45</t>
  </si>
  <si>
    <t>Pannila</t>
  </si>
  <si>
    <t>Samudi</t>
  </si>
  <si>
    <t>Stop being greedy</t>
  </si>
  <si>
    <t>8212166884</t>
  </si>
  <si>
    <t>No MEP R-XS ($22.77)</t>
  </si>
  <si>
    <t>6ce75664-6a77-4efd-b71c-402d579fc861</t>
  </si>
  <si>
    <t xml:space="preserve">Angelsante </t>
  </si>
  <si>
    <t>97d97074-891b-45e3-beea-ed0d78f03c9d</t>
  </si>
  <si>
    <t>Didier</t>
  </si>
  <si>
    <t>Laurel</t>
  </si>
  <si>
    <t>9811726626</t>
  </si>
  <si>
    <t>Solar Partner Program</t>
  </si>
  <si>
    <t>fa5a9076-ed23-48e9-83e3-097e9316df92</t>
  </si>
  <si>
    <t>Ranganathan</t>
  </si>
  <si>
    <t>Vengadesh</t>
  </si>
  <si>
    <t>2143830000</t>
  </si>
  <si>
    <t>daedd219-8b37-4237-bd75-f26dec8ab7d2</t>
  </si>
  <si>
    <t>S</t>
  </si>
  <si>
    <t>Ben</t>
  </si>
  <si>
    <t>f41b02fd-4dcb-4479-88df-7e9a04deed51</t>
  </si>
  <si>
    <t>e53056f1-9c54-4e26-84a8-f3e92e170502</t>
  </si>
  <si>
    <t>Czyzewicz</t>
  </si>
  <si>
    <t>Savannah</t>
  </si>
  <si>
    <t>9099805696</t>
  </si>
  <si>
    <t>68e3133e-9bd1-4692-872a-9ea46683d3d1</t>
  </si>
  <si>
    <t>Freeman</t>
  </si>
  <si>
    <t>Branden</t>
  </si>
  <si>
    <t>79c2b7f7-32e2-4865-b3a4-897f8af1e8c7</t>
  </si>
  <si>
    <t xml:space="preserve">Breining </t>
  </si>
  <si>
    <t>7750680041</t>
  </si>
  <si>
    <t>No MEP R-BASIC($196.33)</t>
  </si>
  <si>
    <t>Number not in service</t>
  </si>
  <si>
    <t>936a155b-5cc2-412f-a161-bf998d15bf99</t>
  </si>
  <si>
    <t>Rajkaran</t>
  </si>
  <si>
    <t>Rupesh</t>
  </si>
  <si>
    <t>7639960000</t>
  </si>
  <si>
    <t>No MEP R-XS(19.31)</t>
  </si>
  <si>
    <t>2 SAs on account should be automatically reassigned to Tier 1 soon</t>
  </si>
  <si>
    <t>d601941f-9fc7-452e-9fe5-5d8b23c0f691</t>
  </si>
  <si>
    <t>7997ecdd-38db-4b5a-80a0-46d9fbcdfe90</t>
  </si>
  <si>
    <t>Caldwell</t>
  </si>
  <si>
    <t>4834742574</t>
  </si>
  <si>
    <t>9050d62b-96b7-4c2a-8f8c-9e24f22f3ec0</t>
  </si>
  <si>
    <t>Ollerton</t>
  </si>
  <si>
    <t>Senior / Fixed Income</t>
  </si>
  <si>
    <t>3713921000</t>
  </si>
  <si>
    <t>888d2a72-39db-45b4-9a1b-49d8da3150db</t>
  </si>
  <si>
    <t>Ohare</t>
  </si>
  <si>
    <t>5283c541-cdb2-4909-836e-785a37e87569</t>
  </si>
  <si>
    <t>Nukala</t>
  </si>
  <si>
    <t>Vijay</t>
  </si>
  <si>
    <t>8169892620</t>
  </si>
  <si>
    <t>REV47</t>
  </si>
  <si>
    <t>91a692ec-38d2-45fa-bdb4-80ce9e8cfddf</t>
  </si>
  <si>
    <t>Virigineni</t>
  </si>
  <si>
    <t>Udayakumar</t>
  </si>
  <si>
    <t>0539435347</t>
  </si>
  <si>
    <t>439d3679-fa12-4d28-b75a-7bacf34fef14</t>
  </si>
  <si>
    <t>Carrillo</t>
  </si>
  <si>
    <t>5702540000</t>
  </si>
  <si>
    <t>9de2a616-1685-4f87-bce6-bac3af63c586</t>
  </si>
  <si>
    <t>Schmoldt</t>
  </si>
  <si>
    <t>Lia</t>
  </si>
  <si>
    <t>2813530000</t>
  </si>
  <si>
    <t>a87390a1-fa91-4f22-b398-b24c616975ce</t>
  </si>
  <si>
    <t>Reber</t>
  </si>
  <si>
    <t>Brad</t>
  </si>
  <si>
    <t>4260226461</t>
  </si>
  <si>
    <t>829c8fc9-860f-431c-bb4e-ba37c6f9b02c</t>
  </si>
  <si>
    <t>Sarocka</t>
  </si>
  <si>
    <t>Doninique</t>
  </si>
  <si>
    <t>Fountain Hills</t>
  </si>
  <si>
    <t>Greedy companies</t>
  </si>
  <si>
    <t>fc22c5c4-c744-4e2d-98cb-7ea8f62ae3a7</t>
  </si>
  <si>
    <t>Osteen</t>
  </si>
  <si>
    <t>7175791215</t>
  </si>
  <si>
    <t>No MEP R3-47($174.04)</t>
  </si>
  <si>
    <t xml:space="preserve">OBC 10/06/2025 COR declined changing to MEP </t>
  </si>
  <si>
    <t>874879db-cc5a-4b57-938e-b637943b4ea4</t>
  </si>
  <si>
    <t xml:space="preserve">Small </t>
  </si>
  <si>
    <t>Senior / everything is too much money</t>
  </si>
  <si>
    <t>4884885514</t>
  </si>
  <si>
    <t>2c9dab78-b8ba-4411-bcef-c75c9c79e0e8</t>
  </si>
  <si>
    <t>Swinson</t>
  </si>
  <si>
    <t>Tony</t>
  </si>
  <si>
    <t>6673831000</t>
  </si>
  <si>
    <t>b736d671-6bb8-47ee-8cda-260390761fd9</t>
  </si>
  <si>
    <t>Kote</t>
  </si>
  <si>
    <t>Raghavendra</t>
  </si>
  <si>
    <t>7999643303</t>
  </si>
  <si>
    <t>b1c22674-4fdd-40f8-a394-37e624b7071c</t>
  </si>
  <si>
    <t>Chakka</t>
  </si>
  <si>
    <t>Sriramulu</t>
  </si>
  <si>
    <t>5909021014</t>
  </si>
  <si>
    <t>No MEP R3-47(105.89)</t>
  </si>
  <si>
    <t>Left VM 10/06/2025// COR CB AND STATED HE WILL THINK ABOUT CHANGING PLANS</t>
  </si>
  <si>
    <t>ea880344-079d-4500-a794-c022d2409da1</t>
  </si>
  <si>
    <t>Vasanthakumar</t>
  </si>
  <si>
    <t>Amar</t>
  </si>
  <si>
    <t>1040821177</t>
  </si>
  <si>
    <t>Stopped services 10/27</t>
  </si>
  <si>
    <t>77e63be5-3f1e-4b60-bbed-a3806589961a</t>
  </si>
  <si>
    <t>Nunez</t>
  </si>
  <si>
    <t>Maria</t>
  </si>
  <si>
    <t>6593130000</t>
  </si>
  <si>
    <t>6aea5ae3-5072-4e61-999e-37e4c36cd7d6</t>
  </si>
  <si>
    <t>Calcaterra</t>
  </si>
  <si>
    <t>Drew</t>
  </si>
  <si>
    <t>3151454631</t>
  </si>
  <si>
    <t>4dd51a1a-9343-4cdf-982b-a918daee1410</t>
  </si>
  <si>
    <t>Jenkins</t>
  </si>
  <si>
    <t>Camille</t>
  </si>
  <si>
    <t>Spend more on electricity than food</t>
  </si>
  <si>
    <t>5982620000</t>
  </si>
  <si>
    <t>e359d2c6-17c4-4a8a-ab56-405d568790ea</t>
  </si>
  <si>
    <t>Lawler</t>
  </si>
  <si>
    <t>Donna</t>
  </si>
  <si>
    <t>9823890000</t>
  </si>
  <si>
    <t>74b5f5bb-ef72-4ef0-accf-4c6f31d72c6a</t>
  </si>
  <si>
    <t>Huskey</t>
  </si>
  <si>
    <t>5e454fdc-85f1-440a-a4a3-c42fbfc35d20</t>
  </si>
  <si>
    <t>Raymond</t>
  </si>
  <si>
    <t>Peter</t>
  </si>
  <si>
    <t>5408340000</t>
  </si>
  <si>
    <t>6ab13cb5-dc99-4141-b1af-90d1242b93f4</t>
  </si>
  <si>
    <t>Ikeler</t>
  </si>
  <si>
    <t>5195558690</t>
  </si>
  <si>
    <t>No MEP R-BASIC ($40.75)</t>
  </si>
  <si>
    <t>3af3556b-cd6c-4f60-a88b-7088b7feb4cb</t>
  </si>
  <si>
    <t>Samuels</t>
  </si>
  <si>
    <t>Shaun</t>
  </si>
  <si>
    <t>8384335318</t>
  </si>
  <si>
    <t>No MEP RTOUE ($2.35)</t>
  </si>
  <si>
    <t>5d5020f3-5a11-47d3-b9b8-b5807cf30eb5</t>
  </si>
  <si>
    <t>Bahoura</t>
  </si>
  <si>
    <t>Jayne</t>
  </si>
  <si>
    <t>6e578b89-7caf-4062-9149-1764fdf6650a</t>
  </si>
  <si>
    <t>Bolanos</t>
  </si>
  <si>
    <t>Irene</t>
  </si>
  <si>
    <t>Have to choose between eating every day or paying bills</t>
  </si>
  <si>
    <t>3edded88-d192-49e6-bd73-f8d40fba435e</t>
  </si>
  <si>
    <t>Zagoryanu</t>
  </si>
  <si>
    <t>Marius</t>
  </si>
  <si>
    <t>4708815097</t>
  </si>
  <si>
    <t>9c72eb63-319c-4767-a4da-8e3364880b5d</t>
  </si>
  <si>
    <t>Phan</t>
  </si>
  <si>
    <t>Detrimental to many households</t>
  </si>
  <si>
    <t>5c128252-a478-440a-a083-07bd6af971b8</t>
  </si>
  <si>
    <t>Porchia</t>
  </si>
  <si>
    <t>Dominic</t>
  </si>
  <si>
    <t>7568a273-b30e-44a6-94e5-ab407de09c52</t>
  </si>
  <si>
    <t>Josh</t>
  </si>
  <si>
    <t>Niles</t>
  </si>
  <si>
    <t>a3355d27-6c23-4fd3-b2a9-09d06e4a440d</t>
  </si>
  <si>
    <t>Romero</t>
  </si>
  <si>
    <t>Cristobal</t>
  </si>
  <si>
    <t>3555354916</t>
  </si>
  <si>
    <t>41b60bfd-3c54-4d1a-8acc-c33dedc8360a</t>
  </si>
  <si>
    <t>Chokkalingam</t>
  </si>
  <si>
    <t>Sankar</t>
  </si>
  <si>
    <t>Already paying huge amount</t>
  </si>
  <si>
    <t>1516066562</t>
  </si>
  <si>
    <t>1411f9c4-01c6-403a-ab04-f5a622421de3</t>
  </si>
  <si>
    <t>Khandelwal</t>
  </si>
  <si>
    <t>Vivek</t>
  </si>
  <si>
    <t>2602229474</t>
  </si>
  <si>
    <t>e96971ea-374e-4fd6-aaab-1507ab5e4c80</t>
  </si>
  <si>
    <t>Swanson</t>
  </si>
  <si>
    <t>Zachary</t>
  </si>
  <si>
    <t>4830007876</t>
  </si>
  <si>
    <t>1114b482-e4fc-40dd-8b87-2a01aff30032</t>
  </si>
  <si>
    <t>Vallinayagam</t>
  </si>
  <si>
    <t>Subramanian</t>
  </si>
  <si>
    <t>9391573388</t>
  </si>
  <si>
    <t>242e64d6-d0e9-4f7b-a285-3526c1924da7</t>
  </si>
  <si>
    <t>Vivekananthan</t>
  </si>
  <si>
    <t>Amarnath</t>
  </si>
  <si>
    <t>2436b36f-f76f-4135-9aed-f4fc8922ca1d</t>
  </si>
  <si>
    <t>Smith</t>
  </si>
  <si>
    <t>Greedy</t>
  </si>
  <si>
    <t>b0a5d184-e0c4-4305-a49c-b1ba44a3636c</t>
  </si>
  <si>
    <t>Nelson</t>
  </si>
  <si>
    <t>Opposed, struggling</t>
  </si>
  <si>
    <t>f259761f-9aef-467f-b3f8-0d9383081f5c</t>
  </si>
  <si>
    <t>Trudell</t>
  </si>
  <si>
    <t>Stephanie</t>
  </si>
  <si>
    <t>No rate increase</t>
  </si>
  <si>
    <t>5370a259-ad60-4f73-8666-8edc96ada747</t>
  </si>
  <si>
    <t>Scarano</t>
  </si>
  <si>
    <t>Nick</t>
  </si>
  <si>
    <t>5498445656</t>
  </si>
  <si>
    <t>8fd61b73-185f-4a51-a085-b4afcf111539</t>
  </si>
  <si>
    <t>Shaikh</t>
  </si>
  <si>
    <t>Mohammed</t>
  </si>
  <si>
    <t>aabf1853-eaf4-4f07-93f1-cbf74feb6045</t>
  </si>
  <si>
    <t>Ali</t>
  </si>
  <si>
    <t>7fa11680-1855-4832-a51b-7989f5c0f0fc</t>
  </si>
  <si>
    <t>Hawkins</t>
  </si>
  <si>
    <t>Sabrina</t>
  </si>
  <si>
    <t>Punishing residential property owners</t>
  </si>
  <si>
    <t>742ba9e7-c091-421b-89d7-5837bff1fc52</t>
  </si>
  <si>
    <t>Brahmecha</t>
  </si>
  <si>
    <t>Swapnil</t>
  </si>
  <si>
    <t>970a22b3-4a4b-4a47-91da-84fb190d6a54</t>
  </si>
  <si>
    <t>Ponnoli</t>
  </si>
  <si>
    <t>Rukmini</t>
  </si>
  <si>
    <t>Opposed to rate increase</t>
  </si>
  <si>
    <t>8225159115</t>
  </si>
  <si>
    <t>No MEP R3-47(226.25)</t>
  </si>
  <si>
    <t>Decided to change to R3-47</t>
  </si>
  <si>
    <t>908d7de3-d40c-42b8-b443-efc1cefa93cc</t>
  </si>
  <si>
    <t>Terwadkar</t>
  </si>
  <si>
    <t>Aniket</t>
  </si>
  <si>
    <t>4160660000</t>
  </si>
  <si>
    <t>26094249-ebba-4804-857c-151d80e78deb</t>
  </si>
  <si>
    <t>Thangavelu</t>
  </si>
  <si>
    <t>Nandha</t>
  </si>
  <si>
    <t>6149005878</t>
  </si>
  <si>
    <t>1d0d1178-9297-4ea2-9525-65e80a54adbb</t>
  </si>
  <si>
    <t>Ruiz</t>
  </si>
  <si>
    <t>Berenice</t>
  </si>
  <si>
    <t>Negatively impact customers</t>
  </si>
  <si>
    <t>9366820000</t>
  </si>
  <si>
    <t>No MEP R3-47 ($17.24)</t>
  </si>
  <si>
    <t>f1219a66-1120-4133-9954-0d08762067ea</t>
  </si>
  <si>
    <t>Ravikumar</t>
  </si>
  <si>
    <t>Vinoth Kumar</t>
  </si>
  <si>
    <t>Already suffering from job loss and tariff impact</t>
  </si>
  <si>
    <t>1735662106</t>
  </si>
  <si>
    <t>No MEP R3-47(220.87)</t>
  </si>
  <si>
    <t>10/06/2025 Left VM, cor  conf he wants to change plans, reviewed other resources- e3,crisis,liheap,project share</t>
  </si>
  <si>
    <t>0729656a-7e50-4f61-8a0d-161fc096f54c</t>
  </si>
  <si>
    <t>Dlugosz</t>
  </si>
  <si>
    <t>A</t>
  </si>
  <si>
    <t>0a6becbc-24ba-46d5-b10c-2f8d7faa4628</t>
  </si>
  <si>
    <t>Ganesan</t>
  </si>
  <si>
    <t>Mithu</t>
  </si>
  <si>
    <t>7495690000</t>
  </si>
  <si>
    <t>No MEP R3-47($10.65)</t>
  </si>
  <si>
    <t>0f12a2f3-9519-466d-a457-4f6b1cdd9567</t>
  </si>
  <si>
    <t>J</t>
  </si>
  <si>
    <t>Ramu</t>
  </si>
  <si>
    <t>No comment</t>
  </si>
  <si>
    <t>34d72dfc-700f-488c-b219-4b9b2ae24d0f</t>
  </si>
  <si>
    <t xml:space="preserve">Martinez  </t>
  </si>
  <si>
    <t>Hardship</t>
  </si>
  <si>
    <t>1165327687</t>
  </si>
  <si>
    <t>4d10979b-ea0d-4643-b144-e320222be508</t>
  </si>
  <si>
    <t>cfbe14dd-a508-4b0f-b3aa-70f14ec6c1ae</t>
  </si>
  <si>
    <t>Syed</t>
  </si>
  <si>
    <t>Meherudding</t>
  </si>
  <si>
    <t>22f48c60-3422-4a17-9093-aff8496ba23b</t>
  </si>
  <si>
    <t>Jimenez</t>
  </si>
  <si>
    <t>Arilene</t>
  </si>
  <si>
    <t>4057601000</t>
  </si>
  <si>
    <t>7adba0b1-8fd2-46f9-b84f-b4c1d846976b</t>
  </si>
  <si>
    <t>Singth</t>
  </si>
  <si>
    <t>Gaurav</t>
  </si>
  <si>
    <t>83932245-ab9f-4ec7-aaba-c6e88375e943</t>
  </si>
  <si>
    <t>Robinson</t>
  </si>
  <si>
    <t>4421402302</t>
  </si>
  <si>
    <t>964ac2cf-9d52-40e8-836b-a871990ee674</t>
  </si>
  <si>
    <t>Arfa</t>
  </si>
  <si>
    <t>Douglas</t>
  </si>
  <si>
    <t>Against any rate hike</t>
  </si>
  <si>
    <t>6442661000</t>
  </si>
  <si>
    <t>c24c7023-3498-4464-b643-28e4c7677e7a</t>
  </si>
  <si>
    <t>Kalkowsli</t>
  </si>
  <si>
    <t>f44bd230-1e4c-4e64-8579-f47b0c575e1c</t>
  </si>
  <si>
    <t>Chambers</t>
  </si>
  <si>
    <t>Dedra</t>
  </si>
  <si>
    <t>Waddell</t>
  </si>
  <si>
    <t>Greedy monopoly</t>
  </si>
  <si>
    <t>9399510000</t>
  </si>
  <si>
    <t>c10076b3-e652-4df1-bb9e-b577c5de29c1</t>
  </si>
  <si>
    <t>4029770000</t>
  </si>
  <si>
    <t>02f6779b-82a0-405e-a11c-ad5a8c4180c7</t>
  </si>
  <si>
    <t>Kalra</t>
  </si>
  <si>
    <t>Kamini</t>
  </si>
  <si>
    <t>4f799713-6764-4c6a-96d9-39ebc698f794</t>
  </si>
  <si>
    <t>Faulkner</t>
  </si>
  <si>
    <t>Retired/Fixed income</t>
  </si>
  <si>
    <t>8289821000</t>
  </si>
  <si>
    <t>33f9563d-48e9-49ba-b3e5-8eed6f6154e4</t>
  </si>
  <si>
    <t>Stephenson Nunes</t>
  </si>
  <si>
    <t>Heidi</t>
  </si>
  <si>
    <t>Households can't afford this</t>
  </si>
  <si>
    <t>4197620114</t>
  </si>
  <si>
    <t>No MEP R3-47($104.12)</t>
  </si>
  <si>
    <t>10/06/2025 Left Vm</t>
  </si>
  <si>
    <t>7c25967a-74fa-4ec8-88ed-49426aa5439b</t>
  </si>
  <si>
    <t>Babcock</t>
  </si>
  <si>
    <t>Kristen</t>
  </si>
  <si>
    <t>5575896939</t>
  </si>
  <si>
    <t>2daf6428-0255-49ed-a5f1-59fcf5b92f50</t>
  </si>
  <si>
    <t>Welch</t>
  </si>
  <si>
    <t>Arthur</t>
  </si>
  <si>
    <t>Commercial users in data space should take on increase</t>
  </si>
  <si>
    <t>3482449172</t>
  </si>
  <si>
    <t>0d1c61d8-3226-4af3-888d-9b4687391d1c</t>
  </si>
  <si>
    <t>Langdon</t>
  </si>
  <si>
    <t>Jamie</t>
  </si>
  <si>
    <t>7095896229</t>
  </si>
  <si>
    <t>No MEP R3-47 (50.52</t>
  </si>
  <si>
    <t>Requiested rate change online 11/1</t>
  </si>
  <si>
    <t>799aa21d-b0c6-449f-8480-2df3b1b07457</t>
  </si>
  <si>
    <t>Damm-O'Donnell</t>
  </si>
  <si>
    <t>Suzanne</t>
  </si>
  <si>
    <t>d2514a06-b335-448d-98fa-dfd13420322e</t>
  </si>
  <si>
    <t>Cather</t>
  </si>
  <si>
    <t>6996682837</t>
  </si>
  <si>
    <t>No MEP R3-47($163.02)</t>
  </si>
  <si>
    <t>10/06/2025Left VM -COR initiated rate change online 10/6</t>
  </si>
  <si>
    <t>108c5d64-048d-4e07-9989-ffe838be4fd8</t>
  </si>
  <si>
    <t>Pfeil</t>
  </si>
  <si>
    <t>Carole</t>
  </si>
  <si>
    <t>Beyond what is affordable</t>
  </si>
  <si>
    <t>8783763808</t>
  </si>
  <si>
    <t>6384a2b1-9dc0-45be-9fa2-441381e80908</t>
  </si>
  <si>
    <t>Walsh</t>
  </si>
  <si>
    <t>Richell</t>
  </si>
  <si>
    <t>4613459862</t>
  </si>
  <si>
    <t>No MEP R3-47($98.19)</t>
  </si>
  <si>
    <t>10/06/2025 Left VM</t>
  </si>
  <si>
    <t>1043286e-f759-40e1-8838-74199c61b3d2</t>
  </si>
  <si>
    <t>Dicerni</t>
  </si>
  <si>
    <t>e01aa97a-91df-4714-b5dc-07040426889d</t>
  </si>
  <si>
    <t>Nguyen</t>
  </si>
  <si>
    <t>Minh</t>
  </si>
  <si>
    <t>8501883965</t>
  </si>
  <si>
    <t>e9c7d5e9-6c3b-4933-b735-aed617c79a21</t>
  </si>
  <si>
    <t>Nacim</t>
  </si>
  <si>
    <t>3248157690</t>
  </si>
  <si>
    <t>No MEP R3-47($184.81)</t>
  </si>
  <si>
    <t>9d7716e7-0c4a-498a-834a-a5085514efb6</t>
  </si>
  <si>
    <t>8215139884</t>
  </si>
  <si>
    <t>No MEP R3-47($80.80)</t>
  </si>
  <si>
    <t>962b9fbf-d4d1-445c-8d09-6f8760dc0598</t>
  </si>
  <si>
    <t>Valencia</t>
  </si>
  <si>
    <t>5372451122</t>
  </si>
  <si>
    <t>No MEP R-BASIC ($11.26)</t>
  </si>
  <si>
    <t>b06fc8db-c124-4e94-96d6-24c61d6672ee</t>
  </si>
  <si>
    <t>Junior</t>
  </si>
  <si>
    <t>Barton</t>
  </si>
  <si>
    <t>Bill $700 a month with AC at 83 right now</t>
  </si>
  <si>
    <t>3204790000</t>
  </si>
  <si>
    <t>Filed ACC complaint regarding unbundled charges in 2021</t>
  </si>
  <si>
    <t>b238dc97-baad-4e0f-8cd2-f791f9313163</t>
  </si>
  <si>
    <t>Obe</t>
  </si>
  <si>
    <t>0c49de65-544a-4a84-a5ec-9d907566c7ba</t>
  </si>
  <si>
    <t>Tirupati</t>
  </si>
  <si>
    <t>Kiran</t>
  </si>
  <si>
    <t>59df45a1-80e2-41b9-ab96-600dd8e0787e</t>
  </si>
  <si>
    <t>Maleno</t>
  </si>
  <si>
    <t>Ysbeck</t>
  </si>
  <si>
    <t>f6582879-420c-4cd7-a5cf-a865e9460045</t>
  </si>
  <si>
    <t>Katherine</t>
  </si>
  <si>
    <t>It is hard enough right now</t>
  </si>
  <si>
    <t>6591101000</t>
  </si>
  <si>
    <t>a9ea8038-69ca-409e-9918-df3206ca0e96</t>
  </si>
  <si>
    <t>Barnes</t>
  </si>
  <si>
    <t xml:space="preserve">Need to manage their costs </t>
  </si>
  <si>
    <t>7295561000</t>
  </si>
  <si>
    <t>f61523bd-e494-4935-addd-e6a422b92e80</t>
  </si>
  <si>
    <t>Sawant</t>
  </si>
  <si>
    <t>Ajay</t>
  </si>
  <si>
    <t>6697601000</t>
  </si>
  <si>
    <t>7dfadbed-0f9c-478e-8878-0fe7be9597e8</t>
  </si>
  <si>
    <t>Dautia</t>
  </si>
  <si>
    <t>Lark</t>
  </si>
  <si>
    <t>Can't afford high electric bills</t>
  </si>
  <si>
    <t>a38cf70b-a18e-469f-88cd-a0711c1b5b62</t>
  </si>
  <si>
    <t>Samora</t>
  </si>
  <si>
    <t>8065380000</t>
  </si>
  <si>
    <t>2b3b194c-1e2d-4406-a28d-07481d7072c0</t>
  </si>
  <si>
    <t>Layne</t>
  </si>
  <si>
    <t>Monopoly, break up company</t>
  </si>
  <si>
    <t>5257261000</t>
  </si>
  <si>
    <t>ea252a47-5ad0-4c66-b109-5441ba979bee</t>
  </si>
  <si>
    <t>Degado</t>
  </si>
  <si>
    <t>Bill is already high enough</t>
  </si>
  <si>
    <t>1461856288</t>
  </si>
  <si>
    <t>6d4d4c63-e29c-4b39-aa5d-4ea8ebbaafd9</t>
  </si>
  <si>
    <t>Edala</t>
  </si>
  <si>
    <t>Suneel</t>
  </si>
  <si>
    <t>d0a3825a-15e4-4bee-b63b-e26de97a9924</t>
  </si>
  <si>
    <t>Bonnett</t>
  </si>
  <si>
    <t>9378830912</t>
  </si>
  <si>
    <t>7553b0c7-8db0-48aa-9e0f-bbe8e95275c9</t>
  </si>
  <si>
    <t>Ebel</t>
  </si>
  <si>
    <t>Lawrence</t>
  </si>
  <si>
    <t>5843594786</t>
  </si>
  <si>
    <t>No MEP R3-47($216.68)</t>
  </si>
  <si>
    <t>Cor will review comp tool online and decide later</t>
  </si>
  <si>
    <t>279c1c6e-0c05-4b5c-8656-6782f519f0f9</t>
  </si>
  <si>
    <t>Covarrubias</t>
  </si>
  <si>
    <t>Natalia</t>
  </si>
  <si>
    <t>San Luis</t>
  </si>
  <si>
    <t>14574656-b43d-4e4d-878d-4f00ec1b8714</t>
  </si>
  <si>
    <t>Murphy</t>
  </si>
  <si>
    <t xml:space="preserve">Charles </t>
  </si>
  <si>
    <t>Wickenburg</t>
  </si>
  <si>
    <t>7667970000</t>
  </si>
  <si>
    <t>71307a9b-d629-49cb-b6d8-bbb547ffce8e</t>
  </si>
  <si>
    <t>Merkle</t>
  </si>
  <si>
    <t>e385ef5f-0174-4009-b945-15aafaea3e02</t>
  </si>
  <si>
    <t>Fielder</t>
  </si>
  <si>
    <t>Veronica</t>
  </si>
  <si>
    <t>6947951000</t>
  </si>
  <si>
    <t>E3 questions?</t>
  </si>
  <si>
    <t>cef51e06-2e55-4e8f-a724-c5f119151365</t>
  </si>
  <si>
    <t>Habrouck</t>
  </si>
  <si>
    <t>Candace</t>
  </si>
  <si>
    <t>d0775a33-8d6b-42f9-b8c6-0b5c6e517c97</t>
  </si>
  <si>
    <t>Robyn</t>
  </si>
  <si>
    <t>3660458784</t>
  </si>
  <si>
    <t>No MEP R-BASIC ($33.40)</t>
  </si>
  <si>
    <t>9048e722-302a-46ec-bee1-6afc92acea33</t>
  </si>
  <si>
    <t>Wells</t>
  </si>
  <si>
    <t>Bill already too high</t>
  </si>
  <si>
    <t>0519511958</t>
  </si>
  <si>
    <t>041ad5cd-939e-4fa8-89ca-b7ebaba474a0</t>
  </si>
  <si>
    <t>Huston</t>
  </si>
  <si>
    <t>9840231734</t>
  </si>
  <si>
    <t>10/3 requested rate change to REV</t>
  </si>
  <si>
    <t>2a5f3091-d525-4541-bca6-28341c029017</t>
  </si>
  <si>
    <t>Sobarzo</t>
  </si>
  <si>
    <t>April</t>
  </si>
  <si>
    <t>28755f1c-ba61-4870-8589-68607913354f</t>
  </si>
  <si>
    <t>Moinet</t>
  </si>
  <si>
    <t>Alyssa</t>
  </si>
  <si>
    <t>Opposed (page 288)</t>
  </si>
  <si>
    <t>6393049300</t>
  </si>
  <si>
    <t>1da34219-8065-4017-be14-98c34ee9a768</t>
  </si>
  <si>
    <t>MacPherson</t>
  </si>
  <si>
    <t>Denis</t>
  </si>
  <si>
    <t>5751430000</t>
  </si>
  <si>
    <t>2f529eec-a255-4332-88bb-8b36b49c52aa</t>
  </si>
  <si>
    <t>https://images.edocket.azcc.gov/docketpdf/E000046204.pdf</t>
  </si>
  <si>
    <t>4ba86af2-878c-49e9-9248-2e2e4e60298f</t>
  </si>
  <si>
    <t xml:space="preserve">Z </t>
  </si>
  <si>
    <t>Stebe</t>
  </si>
  <si>
    <t>6fb57291-8085-4641-8f31-c14939ef2c68</t>
  </si>
  <si>
    <t>Osorio</t>
  </si>
  <si>
    <t>Juan E &amp; Helen</t>
  </si>
  <si>
    <t>Retired/Hurt Financially</t>
  </si>
  <si>
    <t>bfa40a00-3e6c-4d29-903c-0bddd8fb841e</t>
  </si>
  <si>
    <t>Gregersen</t>
  </si>
  <si>
    <t>c1006bb4-85e6-4bcb-aad7-cb0fc556738d</t>
  </si>
  <si>
    <t>Hileman</t>
  </si>
  <si>
    <t>55bb3665-7562-401d-8d06-574b958e26c9</t>
  </si>
  <si>
    <t>Townsend</t>
  </si>
  <si>
    <t>Shawna</t>
  </si>
  <si>
    <t>7ed38c0e-4e85-4840-889d-e2f2db51a2e8</t>
  </si>
  <si>
    <t>Darfus</t>
  </si>
  <si>
    <t xml:space="preserve">Doug </t>
  </si>
  <si>
    <t>Strain on family</t>
  </si>
  <si>
    <t>bad1119d-a7e3-40d7-a9da-c4b85b3b4ed3</t>
  </si>
  <si>
    <t>Whitney</t>
  </si>
  <si>
    <t>1fac907e-f122-46eb-a769-d02a1b3ec135</t>
  </si>
  <si>
    <t>Berkowitz</t>
  </si>
  <si>
    <t>Lynn</t>
  </si>
  <si>
    <t>4bd7fee2-d93d-47e7-aef8-75244c230d3f</t>
  </si>
  <si>
    <t>Haslett</t>
  </si>
  <si>
    <t>4eef389d-634b-45cb-a464-f9fefeec3f73</t>
  </si>
  <si>
    <t>Pamela</t>
  </si>
  <si>
    <t>cf306b01-e57b-4e7b-9173-ad006dff8096</t>
  </si>
  <si>
    <t>Sanders</t>
  </si>
  <si>
    <t>b3185aa3-6dab-4e98-a08e-794f4342e38c</t>
  </si>
  <si>
    <t>Cagle</t>
  </si>
  <si>
    <t>a8180ade-295e-4aaa-ac22-5973bc36e565</t>
  </si>
  <si>
    <t>Duell</t>
  </si>
  <si>
    <t>7b4151f3-d430-4a6b-be6b-b7a6c46fcf4c</t>
  </si>
  <si>
    <t>Roberts</t>
  </si>
  <si>
    <t>Aria</t>
  </si>
  <si>
    <t>b0560b93-ac5e-4eff-bd3d-c27038c1ab8f</t>
  </si>
  <si>
    <t>Schuit</t>
  </si>
  <si>
    <t>bd7e0b81-a337-49c2-a64f-4d998478fae3</t>
  </si>
  <si>
    <t>Zinn</t>
  </si>
  <si>
    <t>Extortion/Monopoly</t>
  </si>
  <si>
    <t>327e1525-c076-4242-9411-7f5bd61ef3c7</t>
  </si>
  <si>
    <t>Zick-Heath</t>
  </si>
  <si>
    <t>Kathy</t>
  </si>
  <si>
    <t>b64d357c-8de0-4b30-a676-b07c62c7a031</t>
  </si>
  <si>
    <t>Wolfe</t>
  </si>
  <si>
    <t>Phillip</t>
  </si>
  <si>
    <t>0451d010-705e-432d-b5ed-7ee772c2e475</t>
  </si>
  <si>
    <t>Losty</t>
  </si>
  <si>
    <t>Sheila</t>
  </si>
  <si>
    <t>996eda19-b4b1-4e24-8f60-d8b57e442467</t>
  </si>
  <si>
    <t>Marz</t>
  </si>
  <si>
    <t>Illene</t>
  </si>
  <si>
    <t>f7b8c733-ed00-4120-a070-3440e17e0381</t>
  </si>
  <si>
    <t>Buruato</t>
  </si>
  <si>
    <t>Tolleson</t>
  </si>
  <si>
    <t>5619362b-4094-40e6-9705-7af11be50131</t>
  </si>
  <si>
    <t>Fajaddo</t>
  </si>
  <si>
    <t>5405618b-5ded-4ef5-ad4a-f5f41d111cc4</t>
  </si>
  <si>
    <t>B</t>
  </si>
  <si>
    <t>Noelle</t>
  </si>
  <si>
    <t>b4ed8335-e608-473c-8d30-16b1daa6de02</t>
  </si>
  <si>
    <t>Kukkapalli</t>
  </si>
  <si>
    <t>Vasu</t>
  </si>
  <si>
    <t>N MEP TOU-E ($165.17)</t>
  </si>
  <si>
    <t xml:space="preserve">COR switched to suggest RTOUE47 </t>
  </si>
  <si>
    <t>0dd668ca-0ba9-42b3-816d-53e9544c771b</t>
  </si>
  <si>
    <t>Sangeetha</t>
  </si>
  <si>
    <t>ddadd290-31de-4faf-bae0-9acc2ae011c2</t>
  </si>
  <si>
    <t>Jaiswal</t>
  </si>
  <si>
    <t>Karishma</t>
  </si>
  <si>
    <t>32aa45ee-c01b-4433-ab4f-84ff32a5b903</t>
  </si>
  <si>
    <t>Gottipati</t>
  </si>
  <si>
    <t>Srinivasa</t>
  </si>
  <si>
    <t>No MEP R3-47 ($295.59)</t>
  </si>
  <si>
    <t>cbacf5ad-7563-411c-bb14-2c906079177d</t>
  </si>
  <si>
    <t>Penny</t>
  </si>
  <si>
    <t>Leigh</t>
  </si>
  <si>
    <t>850bfde6-1589-455c-81dd-682065f66096</t>
  </si>
  <si>
    <t>Krishnamoorthy</t>
  </si>
  <si>
    <t>Prabhu</t>
  </si>
  <si>
    <t>557e9359-fd92-4e05-9780-83655e32f811</t>
  </si>
  <si>
    <t>Kilcup</t>
  </si>
  <si>
    <t>Myckenzie</t>
  </si>
  <si>
    <t>35839688-4d11-4d59-9e8a-12da5f72ae77</t>
  </si>
  <si>
    <t>Koripella</t>
  </si>
  <si>
    <t>Ravi</t>
  </si>
  <si>
    <t>09ea18cf-9c7c-427a-8273-116b66777e3a</t>
  </si>
  <si>
    <t>8fd4d2e3-0fcf-41ee-a6db-b13bb7322082</t>
  </si>
  <si>
    <t>Kuppuswamy</t>
  </si>
  <si>
    <t>Balaji</t>
  </si>
  <si>
    <t>Not available yet</t>
  </si>
  <si>
    <t>COR requested rate change to R3-47 on 10/1</t>
  </si>
  <si>
    <t>c4c43260-383f-4c5a-b78f-070d5ebf9f91</t>
  </si>
  <si>
    <t>Reddy</t>
  </si>
  <si>
    <t>Pavan</t>
  </si>
  <si>
    <t>8bcc12da-40e0-4660-b6b4-f13f3cadf7b3</t>
  </si>
  <si>
    <t>Ziller</t>
  </si>
  <si>
    <t>No MEP R3-47 ($90.87)</t>
  </si>
  <si>
    <t>eb3a2f6d-73c5-4861-8ef7-c4101318aaf8</t>
  </si>
  <si>
    <t>Rajasekharan</t>
  </si>
  <si>
    <t>Girish</t>
  </si>
  <si>
    <t>1e0558a3-8313-4ae6-b380-7f39065d2b83</t>
  </si>
  <si>
    <t>Rajan</t>
  </si>
  <si>
    <t>NA</t>
  </si>
  <si>
    <t>MEP does not appear on bill due to 'flagged for irregular usage' - Ashley is looking into it.</t>
  </si>
  <si>
    <t>4272c8cf-80d6-4d72-b43f-b128f64b29d8</t>
  </si>
  <si>
    <t>Vanos</t>
  </si>
  <si>
    <t>Kimberly</t>
  </si>
  <si>
    <t>afaf7502-39d1-4cbb-a783-3ecb99d7dd62</t>
  </si>
  <si>
    <t>Arrowsmith</t>
  </si>
  <si>
    <t>Kelsey</t>
  </si>
  <si>
    <t>No MEP R3-47 ($701.02)</t>
  </si>
  <si>
    <t>10/6 Left VM</t>
  </si>
  <si>
    <t>71fa3287-e350-4bd4-bb15-b201f200330d</t>
  </si>
  <si>
    <t>Hina</t>
  </si>
  <si>
    <t>378b7962-47d6-449b-8e1d-d7c0710ee87b</t>
  </si>
  <si>
    <t>Yadav</t>
  </si>
  <si>
    <t>Ashish</t>
  </si>
  <si>
    <t>d5f16995-2de9-425f-840c-cee171b1158f</t>
  </si>
  <si>
    <t>Ahmad</t>
  </si>
  <si>
    <t>Ammara</t>
  </si>
  <si>
    <t>No MEP R3-47 ($55.98)</t>
  </si>
  <si>
    <t>08cf6291-9d08-479d-86b5-ce6e388735ec</t>
  </si>
  <si>
    <t>Chinta</t>
  </si>
  <si>
    <t>Bhavanishankar</t>
  </si>
  <si>
    <t>746f9350-a15f-4715-bf89-8f6d47c7b7b2</t>
  </si>
  <si>
    <t>Rauschkolb</t>
  </si>
  <si>
    <t>No MEP R3-47 ($30.33)</t>
  </si>
  <si>
    <t>a556705d-55e1-4462-92ac-c13e8c696596</t>
  </si>
  <si>
    <t>Justin</t>
  </si>
  <si>
    <t>9e5ecb15-6ce3-4add-84cf-4003d47a76cc</t>
  </si>
  <si>
    <t>Fugiel</t>
  </si>
  <si>
    <t>Kirsten</t>
  </si>
  <si>
    <t>7adc21bd-e857-481d-8b3d-fda2f8b15e41</t>
  </si>
  <si>
    <t>63c1a7eb-e859-45fe-962b-8085faed3efc</t>
  </si>
  <si>
    <t>Brower</t>
  </si>
  <si>
    <t>Randall</t>
  </si>
  <si>
    <t>db2adaed-87ff-402d-9b8b-890fdd9dc8be</t>
  </si>
  <si>
    <t>Willems</t>
  </si>
  <si>
    <t>28ee7844-1f08-4bdd-b1d4-0a97ce3a9039</t>
  </si>
  <si>
    <t>Shivachalianda Vijayakumar</t>
  </si>
  <si>
    <t>Pooja Ponnamma</t>
  </si>
  <si>
    <t>ff633c0a-8970-4c9c-9776-6ea3da854364</t>
  </si>
  <si>
    <t>Panda</t>
  </si>
  <si>
    <t>Nishnu Prasad</t>
  </si>
  <si>
    <t>060ac7ec-fb1f-4c34-b982-a36f491ec454</t>
  </si>
  <si>
    <t>Anna</t>
  </si>
  <si>
    <t>Pradeep</t>
  </si>
  <si>
    <t>a01dd1d8-e3f5-4037-8e9a-2be7ea80c6d1</t>
  </si>
  <si>
    <t>Albrecht</t>
  </si>
  <si>
    <t>43ce7a63-2e77-4f96-8b17-f47064f4a341</t>
  </si>
  <si>
    <t>Rivarde</t>
  </si>
  <si>
    <t>Renee</t>
  </si>
  <si>
    <t>1e118dd9-b5d2-452b-85db-3a567891908f</t>
  </si>
  <si>
    <t>Beierle</t>
  </si>
  <si>
    <t>e3550d44-f663-4515-9b5f-787146f1770f</t>
  </si>
  <si>
    <t>Vladut</t>
  </si>
  <si>
    <t>9d0b1f24-1b0b-4e4d-9901-2319288894f7</t>
  </si>
  <si>
    <t xml:space="preserve">White </t>
  </si>
  <si>
    <t>d30a5b93-3340-42b8-a757-ccb72727be2f</t>
  </si>
  <si>
    <t>Vidyasahar</t>
  </si>
  <si>
    <t>Prasad</t>
  </si>
  <si>
    <t>c2a5bb9c-d876-4e94-9764-a0e51beeb409</t>
  </si>
  <si>
    <t>Boersma</t>
  </si>
  <si>
    <t>Patti</t>
  </si>
  <si>
    <t>6476260b-6468-4a78-81ac-c5d3b4d1064e</t>
  </si>
  <si>
    <t>Arpaia</t>
  </si>
  <si>
    <t>Mary</t>
  </si>
  <si>
    <t>No MEP R3-47 ($165.42)</t>
  </si>
  <si>
    <t>4b83e426-fee8-47b6-946f-2be9cd56d7c1</t>
  </si>
  <si>
    <t>Pandit</t>
  </si>
  <si>
    <t>Najaraj</t>
  </si>
  <si>
    <t>b84e6e22-563e-49a6-ad04-a2e6c462f1e9</t>
  </si>
  <si>
    <t>Erra</t>
  </si>
  <si>
    <t>Mohan</t>
  </si>
  <si>
    <t>No MEP R3-47 ($86.44)</t>
  </si>
  <si>
    <t>0f697520-6442-4b53-b2bd-e009906a2be2</t>
  </si>
  <si>
    <t>Mallory</t>
  </si>
  <si>
    <t>Evan</t>
  </si>
  <si>
    <t>RCPw/R-2</t>
  </si>
  <si>
    <t>b6eff27b-fa85-4d9e-9da4-34c505593f38</t>
  </si>
  <si>
    <t>Stanley</t>
  </si>
  <si>
    <t>Alesia</t>
  </si>
  <si>
    <t>8c78b9dd-03c2-4eee-8f2c-b6b171c298c8</t>
  </si>
  <si>
    <t>No MEP R3-47 ($159.25)</t>
  </si>
  <si>
    <t>2b1b4719-9367-4964-9312-4240e24d4d87</t>
  </si>
  <si>
    <t>Kuri</t>
  </si>
  <si>
    <t>084e81e7-2a60-4013-a034-920c663e7a3a</t>
  </si>
  <si>
    <t>Gonuguntla</t>
  </si>
  <si>
    <t>Gopinath</t>
  </si>
  <si>
    <t>6a122c24-e9fa-4469-aa9a-6964baf575ae</t>
  </si>
  <si>
    <t>Mahato</t>
  </si>
  <si>
    <t>Partha</t>
  </si>
  <si>
    <t>7dade5c7-4ac2-423a-b11d-c7098c7451a2</t>
  </si>
  <si>
    <t>Klug</t>
  </si>
  <si>
    <t>Cameron</t>
  </si>
  <si>
    <t>4027f521-ff8e-487d-967e-def8e664bd26</t>
  </si>
  <si>
    <t>Cuadras</t>
  </si>
  <si>
    <t>JoVon</t>
  </si>
  <si>
    <t>No MEP R3-47 ($348.67)</t>
  </si>
  <si>
    <t>10/6 Spoke with customer, he's interested to learn more and wanted to review his online account. Offered our phone number if he'd like to discuss it further.</t>
  </si>
  <si>
    <t>a3c7d215-5851-4c1b-87ac-612a13105467</t>
  </si>
  <si>
    <t>Monteleone</t>
  </si>
  <si>
    <t>Opposed/will cause hardships</t>
  </si>
  <si>
    <t>N MEP R3-47 ($273.17)</t>
  </si>
  <si>
    <t>b3a6fae1-9cc8-489f-91f7-dbb476ebc68e</t>
  </si>
  <si>
    <t>Moosman</t>
  </si>
  <si>
    <t>4b8865b4-60dd-4a80-8e78-2b47b46a621d</t>
  </si>
  <si>
    <t>Louis-Jacques</t>
  </si>
  <si>
    <t>Melanie</t>
  </si>
  <si>
    <t>c08f8b4f-c39c-496f-a182-466ce0a3db89</t>
  </si>
  <si>
    <t>Pahuja</t>
  </si>
  <si>
    <t>Himanshu</t>
  </si>
  <si>
    <t>No MEP R3-47 ($461.51)</t>
  </si>
  <si>
    <t>f36e5437-7a6c-4ddd-aa7d-8fcc90ade884</t>
  </si>
  <si>
    <t>Bedadala</t>
  </si>
  <si>
    <t>Harinatha</t>
  </si>
  <si>
    <t>1d3a4f6c-779f-4b99-b4f4-2d80676710f0</t>
  </si>
  <si>
    <t>Clow</t>
  </si>
  <si>
    <t>No MEP R3-47 ($517.20)</t>
  </si>
  <si>
    <t>10/6 Tried to leave VM - mailbox full, 11/12 tried again and number is not in service</t>
  </si>
  <si>
    <t>ee689daf-0df8-4337-9899-cb6c8892e7e2</t>
  </si>
  <si>
    <t>Chintalapuri</t>
  </si>
  <si>
    <t>0616290000</t>
  </si>
  <si>
    <t>RCPw/REV47</t>
  </si>
  <si>
    <t>2e76142e-fbdf-43b8-be9f-a6077554ddd5</t>
  </si>
  <si>
    <t xml:space="preserve">Ram </t>
  </si>
  <si>
    <t>Ajit Kumar</t>
  </si>
  <si>
    <t>2174790000</t>
  </si>
  <si>
    <t>f494131e-525d-4b61-ab55-71c092c15b4f</t>
  </si>
  <si>
    <t>Jaycox</t>
  </si>
  <si>
    <t>Sharon</t>
  </si>
  <si>
    <t>Opposed/Households struggling</t>
  </si>
  <si>
    <t>1040090000</t>
  </si>
  <si>
    <t>dff9db6b-a6b1-44bd-9d1a-d7b3847d4572</t>
  </si>
  <si>
    <t>Noriega</t>
  </si>
  <si>
    <t>Mario</t>
  </si>
  <si>
    <t>Opposed/pure greed</t>
  </si>
  <si>
    <t>2426870000</t>
  </si>
  <si>
    <t>4d61e1a8-71e4-4587-a1f1-f95b83f3cd0b</t>
  </si>
  <si>
    <t>Hogan</t>
  </si>
  <si>
    <t>7393110000</t>
  </si>
  <si>
    <t>30006813-7543-4fe4-aff1-8fe56415613a</t>
  </si>
  <si>
    <t>Sonnentag</t>
  </si>
  <si>
    <t xml:space="preserve">Shawn </t>
  </si>
  <si>
    <t>Peeples Valley</t>
  </si>
  <si>
    <t>1130640000</t>
  </si>
  <si>
    <t>d74a029b-f8f9-456e-925b-1266f023cff3</t>
  </si>
  <si>
    <t>Stenzel</t>
  </si>
  <si>
    <t>LeRoy</t>
  </si>
  <si>
    <t>4161750000</t>
  </si>
  <si>
    <t>c4d7c73d-64a8-47c7-800b-ca26b79802d5</t>
  </si>
  <si>
    <t>Ellis</t>
  </si>
  <si>
    <t>Strongly against</t>
  </si>
  <si>
    <t>027bc7d1-909d-47fa-8d7d-353958065364</t>
  </si>
  <si>
    <t>McDonale</t>
  </si>
  <si>
    <t>Ellyn</t>
  </si>
  <si>
    <t>Form Letter</t>
  </si>
  <si>
    <t>750a104e-b773-4018-8fa4-384ce4a624c5</t>
  </si>
  <si>
    <t>Neukom</t>
  </si>
  <si>
    <t xml:space="preserve">David </t>
  </si>
  <si>
    <t xml:space="preserve">Senior/Fixed Income </t>
  </si>
  <si>
    <t>9230683411</t>
  </si>
  <si>
    <t>No MEP R3-47($173.42)</t>
  </si>
  <si>
    <t>9ebd700f-3412-48c8-8208-21347e9d0772</t>
  </si>
  <si>
    <t>Niehaus</t>
  </si>
  <si>
    <t>8465277693</t>
  </si>
  <si>
    <t>No MEP R3-47($281.20)</t>
  </si>
  <si>
    <t>2c47c1e1-6067-43db-bb6c-e0c8423f4b06</t>
  </si>
  <si>
    <t>Carlson</t>
  </si>
  <si>
    <t>Lorri</t>
  </si>
  <si>
    <t>2414554339</t>
  </si>
  <si>
    <t>2e4ef505-d313-4ca3-9e93-c517037b28f9</t>
  </si>
  <si>
    <t>Sather</t>
  </si>
  <si>
    <t>Vance</t>
  </si>
  <si>
    <t>6810195712</t>
  </si>
  <si>
    <t>1c89f6c4-8fb1-4d86-af24-01a1b934a966</t>
  </si>
  <si>
    <t>Prather</t>
  </si>
  <si>
    <t>0800411000</t>
  </si>
  <si>
    <t>1adfc759-dbf9-497d-af1b-30e220081862</t>
  </si>
  <si>
    <t>Maldonado</t>
  </si>
  <si>
    <t>Sebastian</t>
  </si>
  <si>
    <t>7131023762</t>
  </si>
  <si>
    <t>No MEP R-BASIC($219.04)</t>
  </si>
  <si>
    <t>3730662a-c54e-4830-bc51-324b0f8de004</t>
  </si>
  <si>
    <t>Sidney</t>
  </si>
  <si>
    <t>1733200000</t>
  </si>
  <si>
    <t>R-2 SOLAR PARTNER</t>
  </si>
  <si>
    <t>af18168d-d197-4321-a1b5-9bad7871f91d</t>
  </si>
  <si>
    <t>Benkert</t>
  </si>
  <si>
    <t>Jess</t>
  </si>
  <si>
    <t>9697522299</t>
  </si>
  <si>
    <t>7aedf210-7362-4b59-a88e-3aeada2a7770</t>
  </si>
  <si>
    <t>Lukson</t>
  </si>
  <si>
    <t>Fred &amp; Carolyn</t>
  </si>
  <si>
    <t>02988ca7-50d9-4b3b-9400-ea017d3a940e</t>
  </si>
  <si>
    <t>Williams</t>
  </si>
  <si>
    <t>Nichole</t>
  </si>
  <si>
    <t>Y</t>
  </si>
  <si>
    <t>fe9863b2-29b1-43b8-a456-baeff225ae30</t>
  </si>
  <si>
    <t>Malladi</t>
  </si>
  <si>
    <t>Ravindranath</t>
  </si>
  <si>
    <t>73df4761-6462-49ca-a2e3-07a99079c86f</t>
  </si>
  <si>
    <t>Padurang</t>
  </si>
  <si>
    <t>Sainath</t>
  </si>
  <si>
    <t>440bb44a-b0a9-4701-bb72-5c07b358df04</t>
  </si>
  <si>
    <t>Falkenberg</t>
  </si>
  <si>
    <t>https://images.edocket.azcc.gov/docketpdf/E000046206.pdf</t>
  </si>
  <si>
    <t>6512865567</t>
  </si>
  <si>
    <t>66265e4b-9c5c-4896-8de0-e4a2776cbf8d</t>
  </si>
  <si>
    <t>Bucklin</t>
  </si>
  <si>
    <t>Kathryn</t>
  </si>
  <si>
    <t>6910890000</t>
  </si>
  <si>
    <t>9dc627c9-9ca2-42f3-a3df-d3ad1aa89794</t>
  </si>
  <si>
    <t>f83d2e60-7a03-4790-80c7-6b41c75380a1</t>
  </si>
  <si>
    <t>Nordhaugen</t>
  </si>
  <si>
    <t>Kristian</t>
  </si>
  <si>
    <t>3995860000</t>
  </si>
  <si>
    <t>No MEP R3-47($65.32)</t>
  </si>
  <si>
    <t>4297c8ef-5d0a-48e6-9e3a-3dc062aa813a</t>
  </si>
  <si>
    <t>Tridle</t>
  </si>
  <si>
    <t>Opposed/fixed income</t>
  </si>
  <si>
    <t>7251710000</t>
  </si>
  <si>
    <t>8ac71dc7-4ab1-42bd-aa28-f0254a14d604</t>
  </si>
  <si>
    <t>Nathaniel</t>
  </si>
  <si>
    <t>e3eca370-1009-41a1-8e01-9681f1927689</t>
  </si>
  <si>
    <t>Adler</t>
  </si>
  <si>
    <t>Outlandish/Opposed</t>
  </si>
  <si>
    <t>1346040000</t>
  </si>
  <si>
    <t>128bc094-f819-48e3-b630-30d4c81fa709</t>
  </si>
  <si>
    <t>Hollander</t>
  </si>
  <si>
    <t>4329109684</t>
  </si>
  <si>
    <t>No MEP R3-47($10.54)</t>
  </si>
  <si>
    <t>3040e2ca-6543-4fca-a733-240feba4186c</t>
  </si>
  <si>
    <t>86096892-9488-4f87-9371-5c620e98c4eb</t>
  </si>
  <si>
    <t>Granado</t>
  </si>
  <si>
    <t>Isabel</t>
  </si>
  <si>
    <t>Eloy</t>
  </si>
  <si>
    <t>62fa8759-0e84-4554-b50d-aa54042b40da</t>
  </si>
  <si>
    <t>Horta</t>
  </si>
  <si>
    <t>Emilio</t>
  </si>
  <si>
    <t>8400273014</t>
  </si>
  <si>
    <t>d9d7b7b2-d6d2-4991-936f-7a1a885dc56b</t>
  </si>
  <si>
    <t>Tremblay</t>
  </si>
  <si>
    <t>No MEP R-XS ($209.15)</t>
  </si>
  <si>
    <t xml:space="preserve">10/10 - Spoke to customer about MEP - will review online before deciding to switch </t>
  </si>
  <si>
    <t>63fdd405-1353-42f7-9f00-0ed644f95f4e</t>
  </si>
  <si>
    <t>Skiff</t>
  </si>
  <si>
    <t>Alaura</t>
  </si>
  <si>
    <t>Opposed, just had a rate increase</t>
  </si>
  <si>
    <t>4420690000</t>
  </si>
  <si>
    <t>fbb2e3ae-60af-40e7-9d63-fdc3001f09e1</t>
  </si>
  <si>
    <t>Bates</t>
  </si>
  <si>
    <t>788451d1-4947-4f6a-8dbf-f979bfee1f86</t>
  </si>
  <si>
    <t>DeFilippo</t>
  </si>
  <si>
    <t>Michele</t>
  </si>
  <si>
    <t>43a6a4ff-18f8-47e7-b76f-69ccc53d26e2</t>
  </si>
  <si>
    <t>Householder</t>
  </si>
  <si>
    <t>Too high of an increase</t>
  </si>
  <si>
    <t>1367611000</t>
  </si>
  <si>
    <t>No MEP R-BASIC($60.78)</t>
  </si>
  <si>
    <t>212e1cb8-85a6-44ea-b2c9-6fc331d15a0d</t>
  </si>
  <si>
    <t>Macias</t>
  </si>
  <si>
    <t>Alicia</t>
  </si>
  <si>
    <t>Rates high enough</t>
  </si>
  <si>
    <t>ed482020-00a3-4e86-a834-8a6101e8acf4</t>
  </si>
  <si>
    <t>Cyr</t>
  </si>
  <si>
    <t>Malachi</t>
  </si>
  <si>
    <t>4feccdbb-8a81-486b-b395-370f67b01e03</t>
  </si>
  <si>
    <t>Krogmann</t>
  </si>
  <si>
    <t>Rachael</t>
  </si>
  <si>
    <t>2508401000</t>
  </si>
  <si>
    <t>ef5e194d-4c03-40d3-b77b-1d9f76278b93</t>
  </si>
  <si>
    <t>5c61de90-3a0a-482c-8fad-5dd8807ca25f</t>
  </si>
  <si>
    <t>Marvella</t>
  </si>
  <si>
    <t>5865680000</t>
  </si>
  <si>
    <t>41426db5-8f40-452f-b4d4-c64ad19fdcda</t>
  </si>
  <si>
    <t>Springer</t>
  </si>
  <si>
    <t>5145361000</t>
  </si>
  <si>
    <t>9fba59e5-93fa-467d-87e3-36dae627a515</t>
  </si>
  <si>
    <t>Gillihan</t>
  </si>
  <si>
    <t>Julie</t>
  </si>
  <si>
    <t>2236812917</t>
  </si>
  <si>
    <t>9f225218-a2e0-4aec-935b-a6f3d6a3c6e7</t>
  </si>
  <si>
    <t>Frances</t>
  </si>
  <si>
    <t>3472511000</t>
  </si>
  <si>
    <t>7082c1ba-8ce9-4897-98c4-353007bb33ac</t>
  </si>
  <si>
    <t>Srinivasan</t>
  </si>
  <si>
    <t>Karthikeyan</t>
  </si>
  <si>
    <t>5649900000</t>
  </si>
  <si>
    <t>No MEP R3-47($156.54)</t>
  </si>
  <si>
    <t>10/9 - Account  has already been changed to MEP before call was made</t>
  </si>
  <si>
    <t>206bda4b-6aee-46e5-aa21-a8d333254a17</t>
  </si>
  <si>
    <t>Powers</t>
  </si>
  <si>
    <t>114255d5-b9ce-4a4e-bffd-749523c42ad9</t>
  </si>
  <si>
    <t>cbb434bc-6ac4-4b1c-828f-a913a6ec9aa1</t>
  </si>
  <si>
    <t>Fox</t>
  </si>
  <si>
    <t>Noah</t>
  </si>
  <si>
    <t>5729136090</t>
  </si>
  <si>
    <t>07b20356-2f77-4db3-9a68-17d79c6b5f53</t>
  </si>
  <si>
    <t>Ahern</t>
  </si>
  <si>
    <t>Devin</t>
  </si>
  <si>
    <t>4235588313</t>
  </si>
  <si>
    <t>25bf4e28-7ac5-4e1e-8973-832435db0323</t>
  </si>
  <si>
    <t>Parsons</t>
  </si>
  <si>
    <t>2531312124</t>
  </si>
  <si>
    <t>dfaeef82-269a-4867-8f74-e5a95b781c84</t>
  </si>
  <si>
    <t>Gervasio</t>
  </si>
  <si>
    <t>Pedro</t>
  </si>
  <si>
    <t>1657964605</t>
  </si>
  <si>
    <t>3cd3b4b9-9b03-497e-b61b-cf979806dc99</t>
  </si>
  <si>
    <t>Aboud</t>
  </si>
  <si>
    <t>7283731000</t>
  </si>
  <si>
    <t>b2b57b1e-66d5-4fa5-81af-75cf40fe57d7</t>
  </si>
  <si>
    <t>Pederson</t>
  </si>
  <si>
    <t>Halie</t>
  </si>
  <si>
    <t>150b12e5-b3cc-4cc6-abfe-d76e4e8ae68e</t>
  </si>
  <si>
    <t>Swift</t>
  </si>
  <si>
    <t>Bill</t>
  </si>
  <si>
    <t>88c06a53-baa9-49e5-97c1-d68a8253e2ff</t>
  </si>
  <si>
    <t>Stinson</t>
  </si>
  <si>
    <t>5106490000</t>
  </si>
  <si>
    <t>Assistance</t>
  </si>
  <si>
    <t>6fa46191-0c99-4686-8e72-bbe170f1c466</t>
  </si>
  <si>
    <t>Bishop</t>
  </si>
  <si>
    <t>8b481b97-c431-464d-8dc0-2de083d43d42</t>
  </si>
  <si>
    <t>Rebert</t>
  </si>
  <si>
    <t>No MEP R-XS( $250.58)</t>
  </si>
  <si>
    <t>55d93ceb-f38d-4b09-9caa-c67af7adf577</t>
  </si>
  <si>
    <t>Gram</t>
  </si>
  <si>
    <t>Multiple SAs</t>
  </si>
  <si>
    <t>423ff3db-93fa-4f04-b1f0-12d19788729b</t>
  </si>
  <si>
    <t>Marshall</t>
  </si>
  <si>
    <t>Allen</t>
  </si>
  <si>
    <t>No MEP R3-47($36.70)</t>
  </si>
  <si>
    <t>c5bccf83-ef0e-4cd1-8511-a7c9d21b0456</t>
  </si>
  <si>
    <t>Liddell</t>
  </si>
  <si>
    <t>Lianne</t>
  </si>
  <si>
    <t>4fbca59d-b085-4e36-86c8-93f6bf9398ed</t>
  </si>
  <si>
    <t>Vestl</t>
  </si>
  <si>
    <t xml:space="preserve">Sun City </t>
  </si>
  <si>
    <t>627e99c4-f0b6-4d85-ab71-f6241ea5ca53</t>
  </si>
  <si>
    <t>Rees</t>
  </si>
  <si>
    <t>d45ce458-302d-4b31-adf8-11600e51c4bf</t>
  </si>
  <si>
    <t>Vestal</t>
  </si>
  <si>
    <t>daf5f35b-dbbc-4815-9d60-f7b61656ed64</t>
  </si>
  <si>
    <t>Opposed, usage is not high, it is normal in AZ extreme climate</t>
  </si>
  <si>
    <t>No MEP R3-47 ($888.73)</t>
  </si>
  <si>
    <t>580c4696-5287-413c-8dce-4f9c3c2e982c</t>
  </si>
  <si>
    <t>Coble</t>
  </si>
  <si>
    <t>https://images.edocket.azcc.gov/docketpdf/E000046198.pdf</t>
  </si>
  <si>
    <t>d17a5ad6-6bd5-4f16-8dc0-ab941c95a554</t>
  </si>
  <si>
    <t>Wallace</t>
  </si>
  <si>
    <t>Raetta</t>
  </si>
  <si>
    <t>https://images.edocket.azcc.gov/docketpdf/E000046196.pdf</t>
  </si>
  <si>
    <t>a4d722ef-53eb-459b-ae38-3f773c71bc43</t>
  </si>
  <si>
    <t>Moore</t>
  </si>
  <si>
    <t>Mike</t>
  </si>
  <si>
    <t>8c515523-7850-415d-85da-293ef10525de</t>
  </si>
  <si>
    <t>Alvarez</t>
  </si>
  <si>
    <t>Melody</t>
  </si>
  <si>
    <t>4de6488d-de53-42ba-b4ae-c348f96645da</t>
  </si>
  <si>
    <t>Woehl</t>
  </si>
  <si>
    <t>Timothy</t>
  </si>
  <si>
    <t>No MEP R3-47(630.50)</t>
  </si>
  <si>
    <t>cfb14256-897c-43f1-bfe1-043602fe063e</t>
  </si>
  <si>
    <t>Belt</t>
  </si>
  <si>
    <t>Steve</t>
  </si>
  <si>
    <t>1ac923e3-01e5-45d2-8b4d-a87a91bad224</t>
  </si>
  <si>
    <t>Beall</t>
  </si>
  <si>
    <t>Gus</t>
  </si>
  <si>
    <t>Also filed this notice https://images.edocket.azcc.gov/docketpdf/E000046202.pdf</t>
  </si>
  <si>
    <t>6ead5160-e2e1-4095-996a-fe0b16d93a04</t>
  </si>
  <si>
    <t>McLeod</t>
  </si>
  <si>
    <t>Hereford</t>
  </si>
  <si>
    <t>97693d6c-e348-4e5d-9709-9900c1e64cd1</t>
  </si>
  <si>
    <t>Manning</t>
  </si>
  <si>
    <t>https://images.edocket.azcc.gov/docketpdf/E000046212.pdf</t>
  </si>
  <si>
    <t>67c7faed-85cc-4e87-a81d-e5aaac09e429</t>
  </si>
  <si>
    <t>Mannella</t>
  </si>
  <si>
    <t>https://images.edocket.azcc.gov/docketpdf/E000046230.pdf</t>
  </si>
  <si>
    <t>35c5904e-54e6-4ade-85cc-65ee934d7b1f</t>
  </si>
  <si>
    <t>Monaco</t>
  </si>
  <si>
    <t>155e7971-dfd5-4bb2-9d0d-9fd8bcac528d</t>
  </si>
  <si>
    <t>Carpenter</t>
  </si>
  <si>
    <t>Bonny</t>
  </si>
  <si>
    <t>Out of hand</t>
  </si>
  <si>
    <t>da91b7e9-5e57-4413-852f-c9b6a19d4123</t>
  </si>
  <si>
    <t>Delaney</t>
  </si>
  <si>
    <t>No MEP R-BASIC(110.71)</t>
  </si>
  <si>
    <t>10/06/2025 left VM</t>
  </si>
  <si>
    <t>0bb7f38f-25a9-4150-bead-c5f52df855b8</t>
  </si>
  <si>
    <t>Price</t>
  </si>
  <si>
    <t>No MEP R-BASIC(31.45)</t>
  </si>
  <si>
    <t>bc6d5773-422f-4d70-9dba-eed382f0379f</t>
  </si>
  <si>
    <t>Votypka</t>
  </si>
  <si>
    <t>Lindsay</t>
  </si>
  <si>
    <t>No MEP R-BASIC($19.26)</t>
  </si>
  <si>
    <t>3b872440-ceef-43af-b05e-772f802d9d60</t>
  </si>
  <si>
    <t>Glanzer</t>
  </si>
  <si>
    <t>Addison</t>
  </si>
  <si>
    <t>Facing financial hardship</t>
  </si>
  <si>
    <t>06313e0c-b510-4ebf-a825-75fabf7a6227</t>
  </si>
  <si>
    <t>Sundarachar</t>
  </si>
  <si>
    <t>Hema</t>
  </si>
  <si>
    <t>No MEP R3-47(3.29)</t>
  </si>
  <si>
    <t>d10e07da-6c47-43bc-8432-0e4a5ec60065</t>
  </si>
  <si>
    <t>Stecker</t>
  </si>
  <si>
    <t>Stacey</t>
  </si>
  <si>
    <t>706c9b4d-1afc-4ce6-8722-17e07ecedbdd</t>
  </si>
  <si>
    <t>ada2beba-4cb9-4542-bebc-b6a45d0db886</t>
  </si>
  <si>
    <t>Shank</t>
  </si>
  <si>
    <t>Judd</t>
  </si>
  <si>
    <t>5418f5d1-abc4-4557-a58a-e84e5a77051b</t>
  </si>
  <si>
    <t>Short</t>
  </si>
  <si>
    <t>Gregory</t>
  </si>
  <si>
    <t>8a150981-e617-410d-aaae-61636a4b3cad</t>
  </si>
  <si>
    <t>Kom</t>
  </si>
  <si>
    <t>Venu</t>
  </si>
  <si>
    <t>b865eb46-d272-4d88-acad-e17f6afb87ba</t>
  </si>
  <si>
    <t>Flam</t>
  </si>
  <si>
    <t>Sara</t>
  </si>
  <si>
    <t>000dc34d-72e6-45e1-b7b0-11fbee0c248b</t>
  </si>
  <si>
    <t>Laszczak</t>
  </si>
  <si>
    <t>No R-XS($56.43)</t>
  </si>
  <si>
    <t>94a41a56-4abb-415a-9e20-8e08928fb0b9</t>
  </si>
  <si>
    <t>Lewis</t>
  </si>
  <si>
    <t>c975ac81-8feb-409d-a067-363b09abd1bf</t>
  </si>
  <si>
    <t>Blocker</t>
  </si>
  <si>
    <t>No MEP R3-47(439.76)</t>
  </si>
  <si>
    <t>COR will review with his wife before changing the rate plan - 11/3 Customer initiated rate change</t>
  </si>
  <si>
    <t>5e25c8ca-734b-4c8f-87ee-22ea329a9286</t>
  </si>
  <si>
    <t>Kwon</t>
  </si>
  <si>
    <t>8fb3efd6-bdc1-4996-914e-acb6e4395f61</t>
  </si>
  <si>
    <t>Sacrison</t>
  </si>
  <si>
    <t>3207210000</t>
  </si>
  <si>
    <t>No MEP R3-47($221.11)</t>
  </si>
  <si>
    <t>88ee57ee-2eae-4947-9848-a61685d0485b</t>
  </si>
  <si>
    <t>Edalski</t>
  </si>
  <si>
    <t>7e90e6ea-a8fa-45fb-b549-adf80d8d81e1</t>
  </si>
  <si>
    <t>Hernandez</t>
  </si>
  <si>
    <t xml:space="preserve">Monopoly,  </t>
  </si>
  <si>
    <t>09e73543-ce19-4df2-9b3d-720ccf735516</t>
  </si>
  <si>
    <t>Pierce</t>
  </si>
  <si>
    <t>Coleen</t>
  </si>
  <si>
    <t>1e774424-5407-41da-995a-355dc8e5f3f3</t>
  </si>
  <si>
    <t>Sedillo</t>
  </si>
  <si>
    <t>NO MEP R-BASICL ($75.86)</t>
  </si>
  <si>
    <t>2382901d-ebf9-4da1-9bc1-1a4364817819</t>
  </si>
  <si>
    <t>Joe Anthony</t>
  </si>
  <si>
    <t>5a27ddea-2ca9-438a-946d-7f5896d8de7f</t>
  </si>
  <si>
    <t>1440430000</t>
  </si>
  <si>
    <t>4517ea2a-739c-42f0-ba95-16450ddd0762</t>
  </si>
  <si>
    <t>Roe</t>
  </si>
  <si>
    <t>11f7b988-ac32-47a0-878f-649e2efdb41e</t>
  </si>
  <si>
    <t>Richey</t>
  </si>
  <si>
    <t>Getting ridiculous</t>
  </si>
  <si>
    <t>7721fd20-5fe5-41a8-af75-0ea26eb6ef33</t>
  </si>
  <si>
    <t>Esman</t>
  </si>
  <si>
    <t>Dava</t>
  </si>
  <si>
    <t>Unfair and discriminatory</t>
  </si>
  <si>
    <t>cf07f8e4-b29e-430a-970c-d366816c3008</t>
  </si>
  <si>
    <t xml:space="preserve">He </t>
  </si>
  <si>
    <t>Luke</t>
  </si>
  <si>
    <t>b83cfb55-c71d-4cb8-ac1c-a42e59f8d93c</t>
  </si>
  <si>
    <t>Duensing</t>
  </si>
  <si>
    <t>036a4530-3ce8-441f-a73e-79e5e923cc04</t>
  </si>
  <si>
    <t>00482a86-0a2b-4de2-873c-465bf5a75246</t>
  </si>
  <si>
    <t>Naik</t>
  </si>
  <si>
    <t>Pradad</t>
  </si>
  <si>
    <t>173c30d7-5ca4-4d76-918f-4fb8509fe7e1</t>
  </si>
  <si>
    <t>Day</t>
  </si>
  <si>
    <t>Ravyn</t>
  </si>
  <si>
    <t>cae3d5f8-e941-4e6c-a871-dd35563a43e0</t>
  </si>
  <si>
    <t>Larry</t>
  </si>
  <si>
    <t>00e57306-3ad7-4ed7-a79c-9ee4f10a29b2</t>
  </si>
  <si>
    <t>Mahony</t>
  </si>
  <si>
    <t>Monica</t>
  </si>
  <si>
    <t>1a8fd554-ead8-41ff-970f-9cb7298b57f4</t>
  </si>
  <si>
    <t>Jara</t>
  </si>
  <si>
    <t>283812b3-f626-41e6-bb7d-0116ff6d1b72</t>
  </si>
  <si>
    <t>Briney</t>
  </si>
  <si>
    <t>Dave</t>
  </si>
  <si>
    <t>89fd7306-021f-47f4-bbe3-24df4f42ef88</t>
  </si>
  <si>
    <t>Daniel</t>
  </si>
  <si>
    <t>No MEP R3-47($82.55)</t>
  </si>
  <si>
    <t>53b694b0-019a-4974-b4d5-3f2c76bf3151</t>
  </si>
  <si>
    <t>Nabity</t>
  </si>
  <si>
    <t>Mariah</t>
  </si>
  <si>
    <t>8e4c5ade-f4b7-4df4-842a-04f217b905d7</t>
  </si>
  <si>
    <t>No MEP R-XS ($43.07)</t>
  </si>
  <si>
    <t>68dc2026-6e5e-4493-8f1f-b336ffc02c1c</t>
  </si>
  <si>
    <t>Lund</t>
  </si>
  <si>
    <t>Jason</t>
  </si>
  <si>
    <t>c80983c9-de1a-4fa1-8404-218f1e268a71</t>
  </si>
  <si>
    <t>Scheigert</t>
  </si>
  <si>
    <t>afea4ca9-6415-42ea-b744-8a872f3b7344</t>
  </si>
  <si>
    <t>Turner-Warren</t>
  </si>
  <si>
    <t>Tenneh</t>
  </si>
  <si>
    <t>0362190628</t>
  </si>
  <si>
    <t>f105fb5b-e20f-4384-bca7-f0a34bcfd41b</t>
  </si>
  <si>
    <t>Zeman</t>
  </si>
  <si>
    <t>Cher</t>
  </si>
  <si>
    <t>9651100000</t>
  </si>
  <si>
    <t>83b92252-0b9e-44fa-bb87-1c3763addcbc</t>
  </si>
  <si>
    <t>Scheele</t>
  </si>
  <si>
    <t>dc353d5d-4ab4-4451-b288-b2eb999d010f</t>
  </si>
  <si>
    <t>Geiger</t>
  </si>
  <si>
    <t>0355d8b9-1a17-4f34-8c44-c02606c044d4</t>
  </si>
  <si>
    <t>McGehean</t>
  </si>
  <si>
    <t>09f55593-8d91-44dd-919b-c38cb4452b37</t>
  </si>
  <si>
    <t xml:space="preserve">Singh </t>
  </si>
  <si>
    <t>Soni</t>
  </si>
  <si>
    <t>Too high already, opposed</t>
  </si>
  <si>
    <t>f4538f06-0858-4c86-8072-6df7bd0784d2</t>
  </si>
  <si>
    <t>Lyell</t>
  </si>
  <si>
    <t>Kasha</t>
  </si>
  <si>
    <t>Insane increase</t>
  </si>
  <si>
    <t>3f018838-cc02-4e68-866c-227764abd850</t>
  </si>
  <si>
    <t>Pratik</t>
  </si>
  <si>
    <t>Rahul</t>
  </si>
  <si>
    <t>a8a32693-07a4-4244-ac1b-cc474bfe96e4</t>
  </si>
  <si>
    <t>Bodempudi</t>
  </si>
  <si>
    <t>Vinod</t>
  </si>
  <si>
    <t>dda0ce22-65a7-467a-a029-34a9e882ec09</t>
  </si>
  <si>
    <t>Corianne</t>
  </si>
  <si>
    <t>a9630aef-0482-44a9-ac86-1024b5a02065</t>
  </si>
  <si>
    <t>Syring</t>
  </si>
  <si>
    <t>Lani</t>
  </si>
  <si>
    <t>2ac969df-eb78-44fd-a052-dccc2cb0641f</t>
  </si>
  <si>
    <t>Van Marter</t>
  </si>
  <si>
    <t>6cb10bac-f811-4314-996c-cc62ab087496</t>
  </si>
  <si>
    <t>Gulotta</t>
  </si>
  <si>
    <t>944ee11e-0797-446d-9b28-9f6a4c5dad23</t>
  </si>
  <si>
    <t>Caballero Sosa</t>
  </si>
  <si>
    <t>Gabriel</t>
  </si>
  <si>
    <t>626f3f96-4304-4cb0-a310-9ece7596d0c5</t>
  </si>
  <si>
    <t>Harrison</t>
  </si>
  <si>
    <t>Chelsie</t>
  </si>
  <si>
    <t>Detrimental to our financial stability</t>
  </si>
  <si>
    <t>3fae103d-aad5-4cf5-a9fe-d222968152a6</t>
  </si>
  <si>
    <t>C</t>
  </si>
  <si>
    <t>49d121e4-a906-45eb-8a5d-6179c87818fc</t>
  </si>
  <si>
    <t>Casas</t>
  </si>
  <si>
    <t>Nidya</t>
  </si>
  <si>
    <t>5d505448-497a-4230-b7ab-2a1034f734b0</t>
  </si>
  <si>
    <t>Disabled veteran on fixed income</t>
  </si>
  <si>
    <t>48b22ad0-1735-4fa4-9e76-6a5d06585c57</t>
  </si>
  <si>
    <t>Berry</t>
  </si>
  <si>
    <t>Mason</t>
  </si>
  <si>
    <t>No MEP R3-47 ($90.56)</t>
  </si>
  <si>
    <t>24d6732d-a5ef-441e-ac8f-bfdd63cb97f4</t>
  </si>
  <si>
    <t>Bartley</t>
  </si>
  <si>
    <t>Leslie</t>
  </si>
  <si>
    <t xml:space="preserve">Unfair  </t>
  </si>
  <si>
    <t>3fe12c2d-e748-4c37-9fda-a80858de346c</t>
  </si>
  <si>
    <t>Lawson</t>
  </si>
  <si>
    <t>20a836cb-cdf4-4df8-a2a2-e9ed8a765587</t>
  </si>
  <si>
    <t>Ficarra</t>
  </si>
  <si>
    <t>No MEP R-XS ($58.00)</t>
  </si>
  <si>
    <t>679c2b26-0bd3-4aed-b5dd-bb172e1fc7e2</t>
  </si>
  <si>
    <t>Ramos</t>
  </si>
  <si>
    <t>No MEP R3-47($230.57)</t>
  </si>
  <si>
    <t>Spanish CX Team Lead attempted to call customer with number on file, number is no longer in service</t>
  </si>
  <si>
    <t>52c61604-e2a9-4744-899d-9ec1b54d6673</t>
  </si>
  <si>
    <t>Ismail</t>
  </si>
  <si>
    <t>Zakaria</t>
  </si>
  <si>
    <t>1f22017e-b90a-4702-8723-10c68799d66f</t>
  </si>
  <si>
    <t>Quain-Kollar</t>
  </si>
  <si>
    <t>R3-47//R-XS</t>
  </si>
  <si>
    <t>3820261d-9eb2-4246-b84c-16f503df6e96</t>
  </si>
  <si>
    <t>Carson</t>
  </si>
  <si>
    <t>Loren</t>
  </si>
  <si>
    <t>Opposed, already paying grid access</t>
  </si>
  <si>
    <t>7287e445-54c4-4c90-9588-15063f2d2646</t>
  </si>
  <si>
    <t>Hanel</t>
  </si>
  <si>
    <t>Beverly</t>
  </si>
  <si>
    <t>Data centers pay less that residential</t>
  </si>
  <si>
    <t>f02d423a-2a37-4ca5-a0af-a0c39c82c011</t>
  </si>
  <si>
    <t>Cross</t>
  </si>
  <si>
    <t>No MEP R3-47($32.46)</t>
  </si>
  <si>
    <t>1fb5c4af-9fce-445e-8cb8-8710d697cfb0</t>
  </si>
  <si>
    <t>Hermida</t>
  </si>
  <si>
    <t>Anne</t>
  </si>
  <si>
    <t>cbde16ce-61a7-4391-b1f1-524a0a07279a</t>
  </si>
  <si>
    <t>Matelski</t>
  </si>
  <si>
    <t>No MEP R3-47($149.40)</t>
  </si>
  <si>
    <t>ff96933a-d566-40fe-ad0d-0773175b2838</t>
  </si>
  <si>
    <t>Brooksby</t>
  </si>
  <si>
    <t>Impossible to keep up with</t>
  </si>
  <si>
    <t>871ec506-b3cf-441f-8203-885e5518df24</t>
  </si>
  <si>
    <t>Humphrey</t>
  </si>
  <si>
    <t>Talon</t>
  </si>
  <si>
    <t>5e23bdb2-83f3-4d76-805f-36eaef5c1c6a</t>
  </si>
  <si>
    <t>3f1d24f5-49f2-494b-acea-c39edd92169a</t>
  </si>
  <si>
    <t>70025832-b228-43fb-9256-79bec78df286</t>
  </si>
  <si>
    <t>Erickson</t>
  </si>
  <si>
    <t>Caitlin</t>
  </si>
  <si>
    <t>Mesa</t>
  </si>
  <si>
    <t>35fa205e-591e-488f-858e-202b4e29530d</t>
  </si>
  <si>
    <t>Scallorns</t>
  </si>
  <si>
    <t>Melodie</t>
  </si>
  <si>
    <t>1299d277-2eb6-42cc-9150-a0f952901bbf</t>
  </si>
  <si>
    <t>Hoffa</t>
  </si>
  <si>
    <t>Geoffery</t>
  </si>
  <si>
    <t>95219402-1710-4057-8a49-a40cee38ca70</t>
  </si>
  <si>
    <t>Testo</t>
  </si>
  <si>
    <t>No MEP R-XS ($49.64)</t>
  </si>
  <si>
    <t>7300ee45-9df9-4e93-ad2a-fbe188fa07cd</t>
  </si>
  <si>
    <t>McAdams</t>
  </si>
  <si>
    <t>Levi</t>
  </si>
  <si>
    <t>e1862134-5dc5-4295-a33e-d5b7bc757eb4</t>
  </si>
  <si>
    <t>Brunetti</t>
  </si>
  <si>
    <t>Unfair</t>
  </si>
  <si>
    <t>No MEP R-BASIC($187.87)</t>
  </si>
  <si>
    <t>10/06/2025 Number is not in service - Initiated rate change on 10/17</t>
  </si>
  <si>
    <t>3e8bbe30-9932-412e-a027-8fdc6d001e58</t>
  </si>
  <si>
    <t>Court</t>
  </si>
  <si>
    <t>Charge companies running massive data centers instead</t>
  </si>
  <si>
    <t>5d5e3e9b-eb04-4982-b2c1-b877b0ccbade</t>
  </si>
  <si>
    <t>Pera</t>
  </si>
  <si>
    <t>Natalie</t>
  </si>
  <si>
    <t>No MEP R3-47 ($108.13)</t>
  </si>
  <si>
    <t>Rate change already in place as of 9/18</t>
  </si>
  <si>
    <t>be658117-67da-4edb-9b8f-ded793c0b6ad</t>
  </si>
  <si>
    <t>Stroup</t>
  </si>
  <si>
    <t>0de0898a-e00e-4334-b07b-907620245fec</t>
  </si>
  <si>
    <t>Fortson</t>
  </si>
  <si>
    <t>1815329b-afd3-4ca4-80f5-21517daab1de</t>
  </si>
  <si>
    <t>Walker</t>
  </si>
  <si>
    <t>Clint</t>
  </si>
  <si>
    <t>1b41071b-2335-4d94-b19e-84f80e63aadf</t>
  </si>
  <si>
    <t>Glass</t>
  </si>
  <si>
    <t>Louis</t>
  </si>
  <si>
    <t>974f552a-ec7e-4ba3-9243-ab189c1b0f60</t>
  </si>
  <si>
    <t>Beltz</t>
  </si>
  <si>
    <t>Sherri</t>
  </si>
  <si>
    <t>Strongly opposed</t>
  </si>
  <si>
    <t>71060080-9868-4b5e-bb07-446f051b5f04</t>
  </si>
  <si>
    <t>Sies</t>
  </si>
  <si>
    <t>Negative impact on our household</t>
  </si>
  <si>
    <t>8394a83c-ade7-464d-9e6f-11e9979d04aa</t>
  </si>
  <si>
    <t>Fatima</t>
  </si>
  <si>
    <t>9b4cc5cc-ce7a-47f4-81a5-baf19623b606</t>
  </si>
  <si>
    <t>ec9d4fe8-4f58-4111-88a9-7ccd5055ac5e</t>
  </si>
  <si>
    <t>Out of line</t>
  </si>
  <si>
    <t>0b2f6cdf-8ddc-4ad0-8748-b865ea6855a1</t>
  </si>
  <si>
    <t>Unjustified, unethical and unnecessary</t>
  </si>
  <si>
    <t>9e61d46d-29db-4cfb-869f-9a2df84f04db</t>
  </si>
  <si>
    <t>Pennington</t>
  </si>
  <si>
    <t>Maurice</t>
  </si>
  <si>
    <t>0af6e1cf-3231-4bc0-914f-b506b3ce93a2</t>
  </si>
  <si>
    <t>Devarapu</t>
  </si>
  <si>
    <t>Kondal</t>
  </si>
  <si>
    <t>be6114c4-d3e5-4437-96b1-467a92652a96</t>
  </si>
  <si>
    <t>Kennedy</t>
  </si>
  <si>
    <t>No MEP R-XS ($287.81)</t>
  </si>
  <si>
    <t>COR initiated rate change on 11/2</t>
  </si>
  <si>
    <t>07f928c6-904a-4422-8cd6-0ae12597610d</t>
  </si>
  <si>
    <t>Spicola</t>
  </si>
  <si>
    <t>Opposed, will worsen financial stress</t>
  </si>
  <si>
    <t>07ba125e-7273-4212-8e58-bca5249eccee</t>
  </si>
  <si>
    <t>Enough with the rate hikes</t>
  </si>
  <si>
    <t>No MEP R3-47($271.50)</t>
  </si>
  <si>
    <t>COR will check aps.com comp tool and potentially change plans there</t>
  </si>
  <si>
    <t>0c644f21-70ad-4bba-bd99-78ca30cd446b</t>
  </si>
  <si>
    <t>Anbakagan</t>
  </si>
  <si>
    <t>Dharmaraja</t>
  </si>
  <si>
    <t>7f8a8dec-57fd-4356-b999-226cfc22785d</t>
  </si>
  <si>
    <t>Maheshwari</t>
  </si>
  <si>
    <t>Vishal</t>
  </si>
  <si>
    <t>3070c036-dbd8-4f86-85c7-19ccae5fb0d7</t>
  </si>
  <si>
    <t>Abitz</t>
  </si>
  <si>
    <t>Enough is enough</t>
  </si>
  <si>
    <t>No MEP R3-47($426.81)</t>
  </si>
  <si>
    <t>10/6/2025 left vm</t>
  </si>
  <si>
    <t>61b61332-b810-46bf-8403-229276b2a778</t>
  </si>
  <si>
    <t>Chaffin</t>
  </si>
  <si>
    <t>Dustin</t>
  </si>
  <si>
    <t>Not a good economic decision</t>
  </si>
  <si>
    <t>2991d9f7-54d2-4738-860f-c8680b91c24f</t>
  </si>
  <si>
    <t>Henderson</t>
  </si>
  <si>
    <t>No MEP R-BASIC($140.27)</t>
  </si>
  <si>
    <t xml:space="preserve">Cor will review w/aps comp tool online and decided </t>
  </si>
  <si>
    <t>38215750-e4a9-4e40-8517-f84e1b79d585</t>
  </si>
  <si>
    <t>Feldman</t>
  </si>
  <si>
    <t>Opposed, abusing their power</t>
  </si>
  <si>
    <t>69c548c2-d6b5-469a-91b1-a54e85c16700</t>
  </si>
  <si>
    <t>Siddavatam</t>
  </si>
  <si>
    <t>Govardhan Reddy</t>
  </si>
  <si>
    <t>No MEP R3-47($305.79)</t>
  </si>
  <si>
    <t>COR will think about it and potentially change plans if he decides to he will cb</t>
  </si>
  <si>
    <t>0e826a37-fedf-4185-b291-8a2a44f0d14e</t>
  </si>
  <si>
    <t>Zohn</t>
  </si>
  <si>
    <t>Not good</t>
  </si>
  <si>
    <t>No MEP R-XS($38.65)</t>
  </si>
  <si>
    <t>4531e8c4-3010-4f49-a181-2d05d080dffb</t>
  </si>
  <si>
    <t>Welsch</t>
  </si>
  <si>
    <t>1714040979</t>
  </si>
  <si>
    <t>6f1acb48-9164-44a8-b713-bc56c0faa688</t>
  </si>
  <si>
    <t>60d90c3c-733d-4773-be0a-d69c0e5a15e6</t>
  </si>
  <si>
    <t>Hanshew</t>
  </si>
  <si>
    <t>94c939e8-c48d-473d-91ee-889c4ccac528</t>
  </si>
  <si>
    <t>Royster</t>
  </si>
  <si>
    <t>Aaron</t>
  </si>
  <si>
    <t>No MEP R3-47 ($130.61)</t>
  </si>
  <si>
    <t>10/06/2025 left vm</t>
  </si>
  <si>
    <t>4d94f43c-7ff9-4d21-970a-dff00f713748</t>
  </si>
  <si>
    <t>German</t>
  </si>
  <si>
    <t>a7258413-ec6d-497d-b56e-ef2d89916087</t>
  </si>
  <si>
    <t>Reynolds</t>
  </si>
  <si>
    <t>Opposed, discourages solar</t>
  </si>
  <si>
    <t>b63d2d46-30a2-4aa6-beae-f0c99c8cb0d2</t>
  </si>
  <si>
    <t>Gorman</t>
  </si>
  <si>
    <t>bc03f636-6dd8-47e5-8541-57c6646faa1c</t>
  </si>
  <si>
    <t>Macagni</t>
  </si>
  <si>
    <t>No MEP R3-47($392.95)</t>
  </si>
  <si>
    <t>a4e536b6-a577-4bca-abf2-d6d6c8dd58ed</t>
  </si>
  <si>
    <t>Killingsworth</t>
  </si>
  <si>
    <t>Ellen</t>
  </si>
  <si>
    <t>19ebacb9-9e37-45b3-bcbb-85806167c8b0</t>
  </si>
  <si>
    <t>9160ee2f-e2bd-4b3a-83fd-ed72fe1edd92</t>
  </si>
  <si>
    <t>06fc3890-24f1-4eea-88a7-9c626d7f9f6b</t>
  </si>
  <si>
    <t>Blue</t>
  </si>
  <si>
    <t>No MEP R-BASIC(149.26)</t>
  </si>
  <si>
    <t>Cor will discuss with his partner about rate change - 10/17 RATE CHANGE ONLINE</t>
  </si>
  <si>
    <t>f02e72ef-c712-4e9d-bdd2-b2602963f20c</t>
  </si>
  <si>
    <t>Ionova</t>
  </si>
  <si>
    <t>Cynthia</t>
  </si>
  <si>
    <t>bd715d05-aecf-454b-8dd3-80be4e96a2be</t>
  </si>
  <si>
    <t>Saraniero</t>
  </si>
  <si>
    <t>8493970000</t>
  </si>
  <si>
    <t>404f95be-0457-43a9-bf7a-34132a8ba0ee</t>
  </si>
  <si>
    <t>870b1e52-1dc0-4cca-aabe-547d58fa6f09</t>
  </si>
  <si>
    <t>Daniels</t>
  </si>
  <si>
    <t>42a01cd1-653f-4a19-9ac7-123c205ef57a</t>
  </si>
  <si>
    <t>Heiser</t>
  </si>
  <si>
    <t>Morgan</t>
  </si>
  <si>
    <t>No MEP R-XS($171.24)</t>
  </si>
  <si>
    <t>1b93e3e4-d0bf-4c02-85c1-45a8e4329c37</t>
  </si>
  <si>
    <t>Michels</t>
  </si>
  <si>
    <t>Aleshia</t>
  </si>
  <si>
    <t>Mayer</t>
  </si>
  <si>
    <t>4b5e097a-0848-4fc8-80d4-e4fb45554948</t>
  </si>
  <si>
    <t>Phipps</t>
  </si>
  <si>
    <t>Opposed, out of control</t>
  </si>
  <si>
    <t>No MEP R3-47($1.24)</t>
  </si>
  <si>
    <t>6937d7dc-767e-49c7-9e20-b56bc7ffd2ba</t>
  </si>
  <si>
    <t>Claire</t>
  </si>
  <si>
    <t>d61051dc-9871-41eb-ad49-944a47cbda6e</t>
  </si>
  <si>
    <t>Albers</t>
  </si>
  <si>
    <t xml:space="preserve">Ann </t>
  </si>
  <si>
    <t>2a728cb3-b9fd-49c7-bf18-4aa22dac9ac4</t>
  </si>
  <si>
    <t>Montes</t>
  </si>
  <si>
    <t>b7a0ff35-b96a-4883-8f47-00b4d1ddb77a</t>
  </si>
  <si>
    <t>Velazquez</t>
  </si>
  <si>
    <t>Torri</t>
  </si>
  <si>
    <t>93abe734-ebbf-4230-b4a3-c20e9edffcbb</t>
  </si>
  <si>
    <t>Calvert</t>
  </si>
  <si>
    <t>Tess</t>
  </si>
  <si>
    <t>Barely afford now</t>
  </si>
  <si>
    <t>9093518390</t>
  </si>
  <si>
    <t>No MEP R3-47(517.75)</t>
  </si>
  <si>
    <t>COR will think about potentially changing to MEP- cor is upset at potentiall rate changes in the future - 10/15 COR MADE RATE CHANGE ONLINE</t>
  </si>
  <si>
    <t>f8983811-8aaf-4475-b996-2c5c5a95d2bf</t>
  </si>
  <si>
    <t>Rick</t>
  </si>
  <si>
    <t>eff4a74b-e29b-4ade-b338-594e7c9c35e2</t>
  </si>
  <si>
    <t>Hurd</t>
  </si>
  <si>
    <t>Middle class are suffering enough</t>
  </si>
  <si>
    <t>8365380635</t>
  </si>
  <si>
    <t>93f96ea0-8ef8-4daf-9422-b8f2ad6e32c3</t>
  </si>
  <si>
    <t>Li</t>
  </si>
  <si>
    <t>Duo</t>
  </si>
  <si>
    <t>80e472e8-41c0-46c1-87c4-5ababe782972</t>
  </si>
  <si>
    <t>Pereluka</t>
  </si>
  <si>
    <t>Vasyl</t>
  </si>
  <si>
    <t>not interested in paying more</t>
  </si>
  <si>
    <t>ee2e288b-a721-4f6c-9737-b2e56f97a94c</t>
  </si>
  <si>
    <t>Wagner</t>
  </si>
  <si>
    <t>10/9 changed rate to REV</t>
  </si>
  <si>
    <t>5f3d52f0-be68-4aa1-a6bd-ac6ca09743e2</t>
  </si>
  <si>
    <t>Jordon</t>
  </si>
  <si>
    <t>No MEP R3-47($694.71)</t>
  </si>
  <si>
    <t>479ba388-1d91-4e5a-8761-7ec00e8c01f4</t>
  </si>
  <si>
    <t>Hanson</t>
  </si>
  <si>
    <t>Opposed, APS runs a monopoly</t>
  </si>
  <si>
    <t>16780147-d998-404c-a179-a1113e63e5e3</t>
  </si>
  <si>
    <t>Long</t>
  </si>
  <si>
    <t>Dana</t>
  </si>
  <si>
    <t>2fd80c5c-db5f-4119-9204-cbd64799cfb5</t>
  </si>
  <si>
    <t>3fa82bc9-5cf4-4e78-8b70-a149146ec229</t>
  </si>
  <si>
    <t>Duncan</t>
  </si>
  <si>
    <t>No call, will be reassigned next month but total energy usage might keep COR on Tier 2</t>
  </si>
  <si>
    <t>2deccedc-8a8b-481a-9387-3693d3b9e188</t>
  </si>
  <si>
    <t>Sommer</t>
  </si>
  <si>
    <t>Bryce</t>
  </si>
  <si>
    <t>Horrible policy</t>
  </si>
  <si>
    <t>No MEP R-XS(125.13)</t>
  </si>
  <si>
    <t>66582e58-588b-4674-be33-b5dea0a2bc5d</t>
  </si>
  <si>
    <t>d307ef8c-cf2f-4e4b-a5ac-67c72b963903</t>
  </si>
  <si>
    <t>Increase outpaces inflation</t>
  </si>
  <si>
    <t>dc737d2f-18e7-4605-870a-79de79c3681e</t>
  </si>
  <si>
    <t>Kaples</t>
  </si>
  <si>
    <t>Kameron</t>
  </si>
  <si>
    <t>Coolidge</t>
  </si>
  <si>
    <t>APS is predatory</t>
  </si>
  <si>
    <t>baa20550-9c7c-452d-aa6e-1660bdd7a904</t>
  </si>
  <si>
    <t>Duffy</t>
  </si>
  <si>
    <t>Dewey</t>
  </si>
  <si>
    <t>ab7083f4-4375-48f9-92e1-232b05492257</t>
  </si>
  <si>
    <t>Opposed, unjust and wrong</t>
  </si>
  <si>
    <t>No MEP R3-47(145.00)</t>
  </si>
  <si>
    <t>COR will check aps.com comp tool and potentially change plans there - MADE A RATE CHANGE ON 10/7</t>
  </si>
  <si>
    <t>f652e060-7e19-484f-837c-941c42fc6bc9</t>
  </si>
  <si>
    <t>Chrico</t>
  </si>
  <si>
    <t>Matt</t>
  </si>
  <si>
    <t>opposed, too greedy</t>
  </si>
  <si>
    <t>547b1c7a-d9d4-4175-bc21-4c322e321202</t>
  </si>
  <si>
    <t>Keehn</t>
  </si>
  <si>
    <t>17dc5856-f8a2-4197-9b17-8a72fa96ca42</t>
  </si>
  <si>
    <t>Pham</t>
  </si>
  <si>
    <t>Opposed (included news story of indoor heat deaths)</t>
  </si>
  <si>
    <t>No MEP R-BASIC($135.72)</t>
  </si>
  <si>
    <t>Should automatically be reassigned soon</t>
  </si>
  <si>
    <t>07fea5a5-2a22-4feb-b7db-9e1eb917eadc</t>
  </si>
  <si>
    <t>Stefan</t>
  </si>
  <si>
    <t>No MEP R-BASIC ($0.57)</t>
  </si>
  <si>
    <t>7bca536f-4633-4f00-a2e4-13ae7d301d48</t>
  </si>
  <si>
    <t>Ruth</t>
  </si>
  <si>
    <t>Unnecessary</t>
  </si>
  <si>
    <t>https://docket.images.azcc.gov/E000046235.pdf</t>
  </si>
  <si>
    <t>6e1256ec-2fbf-4e08-9d00-45eb53d426d4</t>
  </si>
  <si>
    <t>Willits</t>
  </si>
  <si>
    <t>0501f616-1555-457f-b46a-446579f29968</t>
  </si>
  <si>
    <t>Grassi</t>
  </si>
  <si>
    <t>Benjamin</t>
  </si>
  <si>
    <t>e0e22e43-4e30-402c-8000-344cdd5dfec7</t>
  </si>
  <si>
    <t>1669bc67-881e-4000-bcec-6999024e8fe5</t>
  </si>
  <si>
    <t>Herrin</t>
  </si>
  <si>
    <t xml:space="preserve">Dani </t>
  </si>
  <si>
    <t>824a8750-5cd6-44e3-a43e-e277b06936f6</t>
  </si>
  <si>
    <t>Bandy</t>
  </si>
  <si>
    <t>21f04eb8-77f6-48a9-9fa9-1ed0cfae9293</t>
  </si>
  <si>
    <t>Rascon</t>
  </si>
  <si>
    <t>Diego</t>
  </si>
  <si>
    <t>5bd664ce-b67b-4351-98d3-a477fcc414d0</t>
  </si>
  <si>
    <t>De Simone</t>
  </si>
  <si>
    <t>No MEP R-BASIC($60.32)</t>
  </si>
  <si>
    <t>374f2194-a8d0-4b2a-b1be-9432b0680547</t>
  </si>
  <si>
    <t>Jerome</t>
  </si>
  <si>
    <t>0ccaa241-dec1-45b1-b115-b2cb52682ec3</t>
  </si>
  <si>
    <t>Mongini</t>
  </si>
  <si>
    <t>Joey</t>
  </si>
  <si>
    <t>e449ab38-631d-406a-bc37-1eac363e4665</t>
  </si>
  <si>
    <t>Frey</t>
  </si>
  <si>
    <t>ee65eb8e-6321-4208-bc0a-80738219c179</t>
  </si>
  <si>
    <t>Siegel</t>
  </si>
  <si>
    <t>5cb63c7f-aff9-46a0-a5b2-7413f6a09a2c</t>
  </si>
  <si>
    <t>Harjeet</t>
  </si>
  <si>
    <t>90274b18-e82f-45c0-a3f1-3214fe5c7281</t>
  </si>
  <si>
    <t>Hepler</t>
  </si>
  <si>
    <t>Cassie</t>
  </si>
  <si>
    <t>8c7b625f-aaed-4247-84d7-e5237b042408</t>
  </si>
  <si>
    <t>Klemm</t>
  </si>
  <si>
    <t>Unacceptable and wrong</t>
  </si>
  <si>
    <t>2445041000</t>
  </si>
  <si>
    <t>304dc162-72f6-4aea-b0ef-bd1fa8077277</t>
  </si>
  <si>
    <t>Mesch</t>
  </si>
  <si>
    <t xml:space="preserve">Strongly against </t>
  </si>
  <si>
    <t>02301c51-9492-42c7-bf5e-1262737bbf52</t>
  </si>
  <si>
    <t>McWilliams</t>
  </si>
  <si>
    <t>Jesse</t>
  </si>
  <si>
    <t>No MEP R3-47($631.55)</t>
  </si>
  <si>
    <t>11/10 Left VM regarding MEP</t>
  </si>
  <si>
    <t>802962b7-d49c-47fb-9aa1-20929b6c9b70</t>
  </si>
  <si>
    <t>Quine</t>
  </si>
  <si>
    <t>3d6bfbbf-129d-4062-b271-88d482cf7a2d</t>
  </si>
  <si>
    <t>Montano</t>
  </si>
  <si>
    <t>Sierra</t>
  </si>
  <si>
    <t>00ff2382-df2b-4cf8-a0bd-6983a7ed5b21</t>
  </si>
  <si>
    <t>Wadsworth</t>
  </si>
  <si>
    <t>987ba47e-7a5c-45ba-980a-deb1c7ecf190</t>
  </si>
  <si>
    <t>Bowen</t>
  </si>
  <si>
    <t>Sunsarae</t>
  </si>
  <si>
    <t>4a83de95-3385-41ae-91e4-51281eef921a</t>
  </si>
  <si>
    <t>Irwin</t>
  </si>
  <si>
    <t>4fbff4cd-a4e6-4ac0-9c5e-f701535a2aa7</t>
  </si>
  <si>
    <t>DeMelo</t>
  </si>
  <si>
    <t>Marc</t>
  </si>
  <si>
    <t>Blatant gouging</t>
  </si>
  <si>
    <t>1e313fcf-be11-46ad-8641-b219d504876a</t>
  </si>
  <si>
    <t>Bryant</t>
  </si>
  <si>
    <t>Shelby</t>
  </si>
  <si>
    <t>Opposed, unfair burden on families and seniors</t>
  </si>
  <si>
    <t>No MEP R3-47(28.19)</t>
  </si>
  <si>
    <t>741496b4-ba79-45c4-821d-6702960aee04</t>
  </si>
  <si>
    <t>Sidebottom</t>
  </si>
  <si>
    <t>fe9e92e1-441a-4f12-96d8-0508f90eac19</t>
  </si>
  <si>
    <t>Perelman</t>
  </si>
  <si>
    <t>Increase will be very onerous for those on fixed income</t>
  </si>
  <si>
    <t>No MEP R-BSIC(32.84)</t>
  </si>
  <si>
    <t>5952226e-c5ee-44ad-b2b3-74bf60f09827</t>
  </si>
  <si>
    <t>McKinney</t>
  </si>
  <si>
    <t>5ced17fd-ab1a-4cdb-9f92-ba3ef550cd05</t>
  </si>
  <si>
    <t>Vontran</t>
  </si>
  <si>
    <t>Brady</t>
  </si>
  <si>
    <t>89c20122-0d9e-48ca-9b2a-af1ab09f00b7</t>
  </si>
  <si>
    <t>Ingraham</t>
  </si>
  <si>
    <t>44330c37-84a9-4bab-a5b7-4bdd188e1194</t>
  </si>
  <si>
    <t>Briden</t>
  </si>
  <si>
    <t>Increase will break many fixed income seniors</t>
  </si>
  <si>
    <t>6085118737</t>
  </si>
  <si>
    <t>250f9ecb-8306-4f5d-9f3c-95dd73b670f7</t>
  </si>
  <si>
    <t>Leal</t>
  </si>
  <si>
    <t>No MEP RTOUE47($18.11)</t>
  </si>
  <si>
    <t>3d339ea2-5c7f-441a-8039-949a11d3e0bb</t>
  </si>
  <si>
    <t>Lakshmipathy</t>
  </si>
  <si>
    <t>Arunkumar</t>
  </si>
  <si>
    <t>No MEP R3-47($52.51)</t>
  </si>
  <si>
    <t>Filed 2x on this day</t>
  </si>
  <si>
    <t>090e465f-8eed-44a5-bab6-e2c15b102d38</t>
  </si>
  <si>
    <t>Lengowski</t>
  </si>
  <si>
    <t>7209213637</t>
  </si>
  <si>
    <t>33e9f7b5-ea7f-48b8-9f57-39416cc386d8</t>
  </si>
  <si>
    <t>Greenfield</t>
  </si>
  <si>
    <t>Ronald</t>
  </si>
  <si>
    <t>3903a2e3-4350-4703-95f8-55e5247ac260</t>
  </si>
  <si>
    <t>V</t>
  </si>
  <si>
    <t>b119733e-856d-4871-99f8-5d6f3cb691a2</t>
  </si>
  <si>
    <t>Duclos</t>
  </si>
  <si>
    <t>0aa68e3a-17f5-4106-9bf9-5a9ce7c90350</t>
  </si>
  <si>
    <t>Santoyo</t>
  </si>
  <si>
    <t>No MEP R3-47($153.61)</t>
  </si>
  <si>
    <r>
      <t xml:space="preserve">COR will remain on current serv plan, </t>
    </r>
    <r>
      <rPr>
        <sz val="9"/>
        <color rgb="FFFF0000"/>
        <rFont val="Arial Nova Cond"/>
        <family val="2"/>
      </rPr>
      <t>Assistance?</t>
    </r>
  </si>
  <si>
    <t>8147b735-fa5c-423f-bdad-3ab09f4dec59</t>
  </si>
  <si>
    <t>Guerin</t>
  </si>
  <si>
    <t>Ajo</t>
  </si>
  <si>
    <t>422b5a60-cbbc-4ccd-a668-3dd4f2d08d08</t>
  </si>
  <si>
    <t>Kevin Jr</t>
  </si>
  <si>
    <t>107bfba3-0172-4a95-8673-64b04d9b79f3</t>
  </si>
  <si>
    <t>Bello</t>
  </si>
  <si>
    <t>Ridiculously high</t>
  </si>
  <si>
    <t>02693582-2a7f-40d8-b49d-da0d53a1e644</t>
  </si>
  <si>
    <t>Copeland</t>
  </si>
  <si>
    <t>Joen</t>
  </si>
  <si>
    <t>No MEP R3-47(498.46)</t>
  </si>
  <si>
    <t>COR conf she wanted to change to R3-47Rate changed per request</t>
  </si>
  <si>
    <t>0a3529be-142b-4477-b029-b8a62c797a3b</t>
  </si>
  <si>
    <t>Fransen</t>
  </si>
  <si>
    <t>58528d8b-5dc4-4e9f-ba8b-48ba0cc42430</t>
  </si>
  <si>
    <t>Alba</t>
  </si>
  <si>
    <t>db8a945d-6fff-4094-88ce-63fe8f46a00b</t>
  </si>
  <si>
    <t>Willer</t>
  </si>
  <si>
    <t>can't afford</t>
  </si>
  <si>
    <t>3fdbfcec-4cf3-4ee9-b488-c1d6c82e490b</t>
  </si>
  <si>
    <t>519ba091-7a3f-42c8-b45c-28caa91b211e</t>
  </si>
  <si>
    <t>Rothen</t>
  </si>
  <si>
    <t>d6c2a379-a840-41fa-a1cf-741188bbdd35</t>
  </si>
  <si>
    <t>Ling</t>
  </si>
  <si>
    <t>Against rate hike</t>
  </si>
  <si>
    <t>edfd3858-96b9-4ef7-8fd2-5c8cb330f2e6</t>
  </si>
  <si>
    <t>Alcantar</t>
  </si>
  <si>
    <t>Outrageously greedy</t>
  </si>
  <si>
    <t>cb3789a2-72bf-43d2-8196-5d92a73f8b27</t>
  </si>
  <si>
    <t>Callahan</t>
  </si>
  <si>
    <t>Kurtis</t>
  </si>
  <si>
    <t>f4456827-6c86-47e5-add4-2c7c3d7356e0</t>
  </si>
  <si>
    <t>db18d116-e19a-4a84-82b7-370c47599e8b</t>
  </si>
  <si>
    <t>Bate</t>
  </si>
  <si>
    <t>5b5e1b09-65bf-4535-a603-a1a7f0832750</t>
  </si>
  <si>
    <t>Noel</t>
  </si>
  <si>
    <t>88e2ea61-101a-4e5c-a790-39f0bbac3b8d</t>
  </si>
  <si>
    <t xml:space="preserve">Lim </t>
  </si>
  <si>
    <t>Jaclyn</t>
  </si>
  <si>
    <t>0342680000</t>
  </si>
  <si>
    <t>dc5baf48-4a73-4981-ad23-f8c753e20feb</t>
  </si>
  <si>
    <t>Mroczek</t>
  </si>
  <si>
    <t>Rayanne</t>
  </si>
  <si>
    <t>Bisbee</t>
  </si>
  <si>
    <t>bec94bd3-71c3-45bb-b22a-f6f2f06f583b</t>
  </si>
  <si>
    <t>M</t>
  </si>
  <si>
    <t xml:space="preserve">Karthik </t>
  </si>
  <si>
    <t>53f67517-e72c-47fe-a989-80b997ac3c24</t>
  </si>
  <si>
    <t>Bracken</t>
  </si>
  <si>
    <t>No MEP R3-47($150.38)</t>
  </si>
  <si>
    <t>Not interested in changing plans</t>
  </si>
  <si>
    <t>d5933b6c-2b09-46f7-b7fe-269e25a47033</t>
  </si>
  <si>
    <t>Linda</t>
  </si>
  <si>
    <t>Cannot afford</t>
  </si>
  <si>
    <t>3856949221</t>
  </si>
  <si>
    <t>8316748b-1752-4861-9e46-554f93990e17</t>
  </si>
  <si>
    <t>Hull</t>
  </si>
  <si>
    <t>8024e091-e17f-474f-a696-c6985e1d9f34</t>
  </si>
  <si>
    <t>3604131000</t>
  </si>
  <si>
    <t>No MEP R3-47($352.39)</t>
  </si>
  <si>
    <t>10/07/2025 left VM</t>
  </si>
  <si>
    <t>bd1c0c13-2bdc-42cd-9e42-88a8ed44d5b8</t>
  </si>
  <si>
    <t>ee98fa9b-2950-4243-86ae-5128d92b20a0</t>
  </si>
  <si>
    <t>Granato</t>
  </si>
  <si>
    <t>2720371841</t>
  </si>
  <si>
    <t>No MEP R-XS($118.46)</t>
  </si>
  <si>
    <t>14886095-9bd8-4365-afcf-14baba4c05d0</t>
  </si>
  <si>
    <t>Fanning</t>
  </si>
  <si>
    <t>Ace</t>
  </si>
  <si>
    <t>Already unreasonably high</t>
  </si>
  <si>
    <t>3d322127-9842-4855-a762-a426f76b439f</t>
  </si>
  <si>
    <t>Lagana</t>
  </si>
  <si>
    <t>Eugene</t>
  </si>
  <si>
    <t>2b3472da-7077-4011-aae4-1b102834aae3</t>
  </si>
  <si>
    <t>Parrish</t>
  </si>
  <si>
    <t>6990bdc4-2ae9-45da-a6e3-f5bb2e29642d</t>
  </si>
  <si>
    <t>Irresponsible</t>
  </si>
  <si>
    <t>No MEP R-XS(127.55)</t>
  </si>
  <si>
    <t>d8321d43-08fe-4f2d-81b0-a2495023323b</t>
  </si>
  <si>
    <t>Zamenick</t>
  </si>
  <si>
    <t>508a74fe-dfba-4592-b222-b312ced71cb5</t>
  </si>
  <si>
    <t>edb2dfbd-a507-43c1-97a7-177993579542</t>
  </si>
  <si>
    <t>English</t>
  </si>
  <si>
    <t>Fiona</t>
  </si>
  <si>
    <t>0cc4c37f-91fd-4f9f-817f-69409d5915e6</t>
  </si>
  <si>
    <t>Standridge</t>
  </si>
  <si>
    <t>Misty</t>
  </si>
  <si>
    <t>7fd241be-ab37-4439-a103-525ab953dd27</t>
  </si>
  <si>
    <t>Good</t>
  </si>
  <si>
    <t>Travis</t>
  </si>
  <si>
    <t>53177a1c-c0e5-4833-80de-c41f091fcb3b</t>
  </si>
  <si>
    <t>McKeever</t>
  </si>
  <si>
    <t>This is insanity</t>
  </si>
  <si>
    <t>f3f17f34-ac77-4801-b856-ec30e9998790</t>
  </si>
  <si>
    <t>Vega</t>
  </si>
  <si>
    <t>Macario</t>
  </si>
  <si>
    <t>0f3fc3c9-fe18-4b6d-9f0f-2db02f96f64a</t>
  </si>
  <si>
    <t>Enriquez</t>
  </si>
  <si>
    <t>Edith</t>
  </si>
  <si>
    <t>Opposed, if approved implement meaningful assistance programs</t>
  </si>
  <si>
    <t>729b1b30-a46a-4abc-8f11-02ea2242b83f</t>
  </si>
  <si>
    <t>Talamantez</t>
  </si>
  <si>
    <t>a0ab4fba-f249-47e8-b448-c4f7c7e78fe1</t>
  </si>
  <si>
    <t>Gayed</t>
  </si>
  <si>
    <t>Manal</t>
  </si>
  <si>
    <t>Unbearable financial burden</t>
  </si>
  <si>
    <t>5730448493</t>
  </si>
  <si>
    <t>b6f6676a-2304-406d-89e3-03c28d284ee0</t>
  </si>
  <si>
    <t>Rayepudi</t>
  </si>
  <si>
    <t>Vamseekrishna</t>
  </si>
  <si>
    <t>7866236989</t>
  </si>
  <si>
    <t>3492e709-403a-4bf3-a193-b93190f67b8f</t>
  </si>
  <si>
    <t>Dinnerstein</t>
  </si>
  <si>
    <t>Already astronomical</t>
  </si>
  <si>
    <t>No MEP R3-47(675.81)</t>
  </si>
  <si>
    <t>COR will remain on current serv plan</t>
  </si>
  <si>
    <t>11027a34-d3b7-46ec-aabf-db45cdcd1ff4</t>
  </si>
  <si>
    <t>Feehery</t>
  </si>
  <si>
    <t>Lorraine</t>
  </si>
  <si>
    <t>Unjust and greedy money grab</t>
  </si>
  <si>
    <t>ac2ef047-272f-4301-80b4-2795c675fb64</t>
  </si>
  <si>
    <t>Vidal</t>
  </si>
  <si>
    <t>Chanel</t>
  </si>
  <si>
    <t>No MEP R3-47($70.31)</t>
  </si>
  <si>
    <t>c6e3c0b7-2142-4374-9e31-50e9324c64a9</t>
  </si>
  <si>
    <t>F</t>
  </si>
  <si>
    <t>L</t>
  </si>
  <si>
    <t>Unfair and unjustified</t>
  </si>
  <si>
    <t>e203db6f-134e-4904-9d18-e4b84428db76</t>
  </si>
  <si>
    <t>Searles</t>
  </si>
  <si>
    <t>Ian</t>
  </si>
  <si>
    <t>54ee72ad-cf83-4cd2-b6d8-b0d4d86f71ed</t>
  </si>
  <si>
    <t>Penaloza</t>
  </si>
  <si>
    <t>Reyna</t>
  </si>
  <si>
    <t>c3f4bff2-1d87-447c-ace5-88b0e92d3672</t>
  </si>
  <si>
    <t>Rose</t>
  </si>
  <si>
    <t>f05644fd-011a-46b4-8f80-1f4da28aa95e</t>
  </si>
  <si>
    <t>Wright</t>
  </si>
  <si>
    <t>9065406549</t>
  </si>
  <si>
    <t>-</t>
  </si>
  <si>
    <t>45350972-9bfe-467e-9fec-2f07f44f1f7c</t>
  </si>
  <si>
    <t>Armenta</t>
  </si>
  <si>
    <t>Xavier</t>
  </si>
  <si>
    <t>No MEP R3-47(860.51)</t>
  </si>
  <si>
    <t xml:space="preserve">CPR changed to MEP </t>
  </si>
  <si>
    <t>5b0e9559-fa5c-4a5c-b8da-52f469804839</t>
  </si>
  <si>
    <t>Agostini-Walesch</t>
  </si>
  <si>
    <t>Erika</t>
  </si>
  <si>
    <t>6128271693</t>
  </si>
  <si>
    <t>ad16a2d7-34c5-4b16-8bb1-dc7d07b2740e</t>
  </si>
  <si>
    <t xml:space="preserve">Kovacs </t>
  </si>
  <si>
    <t>Beyond reason, outrageous request</t>
  </si>
  <si>
    <t>d65a8c50-e2c3-4dbb-b4a9-7fa521cbb6ed</t>
  </si>
  <si>
    <t>Movich</t>
  </si>
  <si>
    <t>Trudy</t>
  </si>
  <si>
    <t>Rimrock</t>
  </si>
  <si>
    <t>info not redacted</t>
  </si>
  <si>
    <t>173629d8-6687-40d6-9dad-651f00581d18</t>
  </si>
  <si>
    <t>13d41f38-e8f8-4b48-bac4-6054c42a6209</t>
  </si>
  <si>
    <t>Gaber</t>
  </si>
  <si>
    <t>https://docket.images.azcc.gov/E000046266.pdf</t>
  </si>
  <si>
    <t>5b30be42-f890-4d7b-82e5-a555978283cb</t>
  </si>
  <si>
    <t>Borror</t>
  </si>
  <si>
    <t>Keep it affordable</t>
  </si>
  <si>
    <t>041e0e1e-7eef-483e-ab68-e727a1355db5</t>
  </si>
  <si>
    <t>Horne</t>
  </si>
  <si>
    <t>No MEP R3-47($84.78)</t>
  </si>
  <si>
    <t>f4194510-7cdf-4e66-99c6-4ab594f0f1e9</t>
  </si>
  <si>
    <t>Ferguson</t>
  </si>
  <si>
    <t>eb3dc748-6271-4188-97f4-6e263688b402</t>
  </si>
  <si>
    <t>Cobb</t>
  </si>
  <si>
    <t>People are already hurting</t>
  </si>
  <si>
    <t>440f69e1-a1e0-403c-83df-96b14c1f469f</t>
  </si>
  <si>
    <t>Laskey</t>
  </si>
  <si>
    <t>Mary Ann</t>
  </si>
  <si>
    <t>inappropriate burden</t>
  </si>
  <si>
    <t>5dd27ef5-ca2a-420d-9645-6bee768f1e1f</t>
  </si>
  <si>
    <t>Pray</t>
  </si>
  <si>
    <t>Lisa</t>
  </si>
  <si>
    <t>Object to charging residential customer for the power needs of AI &amp; IT</t>
  </si>
  <si>
    <t>354ecb8b-c86e-407e-93fa-aac26d2b5ae9</t>
  </si>
  <si>
    <t xml:space="preserve">Scheid </t>
  </si>
  <si>
    <t>Opposed, need oversight on their contractors</t>
  </si>
  <si>
    <t>fcbdb514-d05c-4ca4-a23b-58ffd77a6d72</t>
  </si>
  <si>
    <t>Burt</t>
  </si>
  <si>
    <t>On the backs of struggling seniors statewide</t>
  </si>
  <si>
    <t>7c560cac-1fd8-432f-9891-5167ce21eaf9</t>
  </si>
  <si>
    <t>Vanity</t>
  </si>
  <si>
    <t>Dakota</t>
  </si>
  <si>
    <t>5dda413b-3e14-47b9-a84e-012ef2c9be51</t>
  </si>
  <si>
    <t>Toma</t>
  </si>
  <si>
    <t>Ramiz</t>
  </si>
  <si>
    <t>8d6d3a21-0c25-496d-b72e-7870df023c63</t>
  </si>
  <si>
    <t>Hochgraver</t>
  </si>
  <si>
    <t>Jeremy</t>
  </si>
  <si>
    <t>No MEP R3-47($285.34)</t>
  </si>
  <si>
    <t>11/03 - LM</t>
  </si>
  <si>
    <t>b3e5121f-0cf0-4483-aaaa-a6579bb33138</t>
  </si>
  <si>
    <t>Escarcega-Lopez</t>
  </si>
  <si>
    <t>Nathalie</t>
  </si>
  <si>
    <t>f0b1827e-4559-44b7-9e9e-1776519ffb18</t>
  </si>
  <si>
    <t>Misner</t>
  </si>
  <si>
    <t>3ed3f48a-b886-463c-8c17-2e1533d22193</t>
  </si>
  <si>
    <t>Gilliland</t>
  </si>
  <si>
    <t>Clark</t>
  </si>
  <si>
    <t>They are in a class action suit, we do not want to foot this bill</t>
  </si>
  <si>
    <t>a35417d7-de02-4f69-88f4-e1bac4effd28</t>
  </si>
  <si>
    <t>Such drastic rates</t>
  </si>
  <si>
    <t>fa73d400-823e-41ba-b3f9-c78f3cb072bc</t>
  </si>
  <si>
    <t>Franovich</t>
  </si>
  <si>
    <t xml:space="preserve">Ridiculous </t>
  </si>
  <si>
    <t>a0034cdd-7906-46ee-8d9f-5d9882112f4f</t>
  </si>
  <si>
    <t>Jeyabal</t>
  </si>
  <si>
    <t>Cholan</t>
  </si>
  <si>
    <t>41fecbc6-75d6-45db-a4cf-22373678b102</t>
  </si>
  <si>
    <t>Rosenberger</t>
  </si>
  <si>
    <t>Absolutely insane</t>
  </si>
  <si>
    <t>bbd7dc04-b1d1-45a3-a5a8-fc5d5e1988e3</t>
  </si>
  <si>
    <t>Simone</t>
  </si>
  <si>
    <t>Do the right thing, deny the rate increase</t>
  </si>
  <si>
    <t>No MEP R3-47(35.30)</t>
  </si>
  <si>
    <t>e66a5424-fc9b-4c2c-b8bc-f0d5551ac7f2</t>
  </si>
  <si>
    <t>Mora</t>
  </si>
  <si>
    <t>ea058419-ba59-4160-a71d-c35a4acb0af1</t>
  </si>
  <si>
    <t>Nathanael</t>
  </si>
  <si>
    <t>9282570000</t>
  </si>
  <si>
    <t>e2540a14-1701-46f7-bfb0-e845a43d5227</t>
  </si>
  <si>
    <t>7961900940</t>
  </si>
  <si>
    <t>ba4cf3d6-a388-464d-8285-4a9f5cd53b63</t>
  </si>
  <si>
    <t>Altiveros</t>
  </si>
  <si>
    <t>Armand</t>
  </si>
  <si>
    <t>5d9de8c8-2d48-4fbb-b99d-1aa4e5b195cb</t>
  </si>
  <si>
    <t>Roman</t>
  </si>
  <si>
    <t>Florence</t>
  </si>
  <si>
    <t>Retired, cannot afford this</t>
  </si>
  <si>
    <t>5a635a9e-8c3e-425f-b790-89a2f1681235</t>
  </si>
  <si>
    <t>Hooker</t>
  </si>
  <si>
    <t>3487ff45-7552-4c79-82f1-3faab0861c0e</t>
  </si>
  <si>
    <t>Bihms</t>
  </si>
  <si>
    <t>fb35cc72-c29e-43bd-97b9-97e6f6b045fe</t>
  </si>
  <si>
    <t>Cotton</t>
  </si>
  <si>
    <t>Opposed to outrageous request</t>
  </si>
  <si>
    <t>No MEP TOUE($139.14)</t>
  </si>
  <si>
    <t>10/15 Left VM</t>
  </si>
  <si>
    <t>e199902e-3fbf-4df7-a84f-9e0fdfc014c9</t>
  </si>
  <si>
    <t>Hayter</t>
  </si>
  <si>
    <t>9419e198-aea9-4908-bc5d-7c593e4e75dc</t>
  </si>
  <si>
    <t>Pydimarry</t>
  </si>
  <si>
    <t>Srinivascharandeepak</t>
  </si>
  <si>
    <t>N MEP R3-47($240.90)</t>
  </si>
  <si>
    <t>a80a896f-75db-4ea6-98ac-f8d62f0a4106</t>
  </si>
  <si>
    <t>Rhodes</t>
  </si>
  <si>
    <t>b9aacbdd-c52b-4a15-9255-a31377044346</t>
  </si>
  <si>
    <t>Coltom</t>
  </si>
  <si>
    <t>Janene</t>
  </si>
  <si>
    <t>11f99590-e2c2-44a6-ad60-0e3aaa94f2c2</t>
  </si>
  <si>
    <t>Behling</t>
  </si>
  <si>
    <t>a69aa79a-e85f-4703-8a58-e01aecfe21c6</t>
  </si>
  <si>
    <t>Newton</t>
  </si>
  <si>
    <t>Laura</t>
  </si>
  <si>
    <t>No MEP R3-47($65.26)</t>
  </si>
  <si>
    <t>19d2cd61-0b1c-4aa7-a2d8-7b1703789158</t>
  </si>
  <si>
    <t>Meiergerd</t>
  </si>
  <si>
    <t>Celeste</t>
  </si>
  <si>
    <t>No MEP R3-47($92.94)</t>
  </si>
  <si>
    <t>729653dc-8e81-4db4-b14a-ef378d346172</t>
  </si>
  <si>
    <t>Families have to make difficult choices</t>
  </si>
  <si>
    <t>No MEP R-BASIC($175.71)</t>
  </si>
  <si>
    <t>Based on average monthly energy usage, COR will likely remain on Tier 3 next month during rate reassignment. No call made. As of 11/3 COR is just under average monthly usage limit and should be automatically reassigned to Tier 2</t>
  </si>
  <si>
    <t>836a97be-3610-440e-bdb7-e0dc03705e4f</t>
  </si>
  <si>
    <t>Lanier</t>
  </si>
  <si>
    <t>Daija</t>
  </si>
  <si>
    <t>e7f279ab-d9e2-4da7-be39-d402fa4516fe</t>
  </si>
  <si>
    <t>Lowrance</t>
  </si>
  <si>
    <t>0b10ac71-df30-4e42-b4ce-65231b69b05a</t>
  </si>
  <si>
    <t>Hardee</t>
  </si>
  <si>
    <t>e6db2c38-6d12-4bbd-841e-7b5aa8d1e857</t>
  </si>
  <si>
    <t>42bf44c7-9b17-444f-9e06-b9d0ed0b2199</t>
  </si>
  <si>
    <t>Deltoro</t>
  </si>
  <si>
    <t>No MEP R3-47($253.38)</t>
  </si>
  <si>
    <t>10/9 Left VM</t>
  </si>
  <si>
    <t>2267317f-3c04-4e10-ae27-a4033f6832b9</t>
  </si>
  <si>
    <t>Lanchbury</t>
  </si>
  <si>
    <t>Hunter</t>
  </si>
  <si>
    <t>b7a83ce6-210a-4a85-bcc3-d8d9e16fa42e</t>
  </si>
  <si>
    <t>Ivan</t>
  </si>
  <si>
    <t>1fbf650b-22be-4d61-b4c9-6dbe6fc84335</t>
  </si>
  <si>
    <t>Jaeger</t>
  </si>
  <si>
    <t>3836cef6-33bb-4681-8136-5b35a1c619c4</t>
  </si>
  <si>
    <t>Young</t>
  </si>
  <si>
    <t>ab57d736-0ba8-4fd0-94e6-81f8ce0e44ce</t>
  </si>
  <si>
    <t>Sellers</t>
  </si>
  <si>
    <t>fb6462b3-947a-4167-b988-34b12471e449</t>
  </si>
  <si>
    <t>Clements</t>
  </si>
  <si>
    <t>0db11980-f04d-4373-8cd7-62170c5902f3</t>
  </si>
  <si>
    <t>Fredy</t>
  </si>
  <si>
    <t>69c5177f-5cb5-4dc7-a4e3-184faaf241ce</t>
  </si>
  <si>
    <t>Jender</t>
  </si>
  <si>
    <t>No MEP R-XS ($47.79)</t>
  </si>
  <si>
    <t>a8dcae76-7c10-4dda-8bb3-5753222f79f5</t>
  </si>
  <si>
    <t>Paynter</t>
  </si>
  <si>
    <t>DJ</t>
  </si>
  <si>
    <t>1461761a-d19a-4d93-8b6a-150d701cde26</t>
  </si>
  <si>
    <t>Ferrales</t>
  </si>
  <si>
    <t>Marlenne</t>
  </si>
  <si>
    <t>No MEP R-BASIC ($18.51)</t>
  </si>
  <si>
    <t>b97e29c8-8727-4b36-ab6c-1bff08f8aff7</t>
  </si>
  <si>
    <t>Pesala</t>
  </si>
  <si>
    <t>Harikrishna</t>
  </si>
  <si>
    <t>rake hike is not good</t>
  </si>
  <si>
    <t>No MEP R3-47($83.41)</t>
  </si>
  <si>
    <t xml:space="preserve">10/9 - Spoke to COR and discussed plan options and how the R3-47 plan works. He would like to review the details online and call back if he decides to switch. </t>
  </si>
  <si>
    <t>38632f3c-c883-4eba-9970-abd6e66415e2</t>
  </si>
  <si>
    <t>Kachur</t>
  </si>
  <si>
    <t>Marina</t>
  </si>
  <si>
    <t>34039270-07af-4bbb-a144-cc4d478f8aba</t>
  </si>
  <si>
    <t>Gallagher</t>
  </si>
  <si>
    <t>MEP not showing on the bill "flagged irregular usage" - Ashley is checking in to it</t>
  </si>
  <si>
    <t>4efbafde-2705-45eb-94f4-9988b89f6c07</t>
  </si>
  <si>
    <t>Juneau</t>
  </si>
  <si>
    <t>6038a0ae-740f-4190-a80b-4b6569e7cf16</t>
  </si>
  <si>
    <t>Leone</t>
  </si>
  <si>
    <t>be710f30-2837-424e-912e-2b533e455522</t>
  </si>
  <si>
    <t>c8a2016a-1b21-46ce-ab03-1aac443da597</t>
  </si>
  <si>
    <t>Landau</t>
  </si>
  <si>
    <t>99ce45b0-657d-46cc-b4f2-3e0ba76cf0db</t>
  </si>
  <si>
    <t>Mandala</t>
  </si>
  <si>
    <t>e057977e-0c88-48b7-ad0a-126edabc66a0</t>
  </si>
  <si>
    <t>Money grab</t>
  </si>
  <si>
    <t>b2c2ff40-f093-4e47-adb4-71673de7ebae</t>
  </si>
  <si>
    <t>Thibodeaux-Nunez</t>
  </si>
  <si>
    <t>Robbin</t>
  </si>
  <si>
    <t>rates are high enough</t>
  </si>
  <si>
    <t>f6fa35e1-62fe-4d8d-abd9-0fb013afede8</t>
  </si>
  <si>
    <t>Orillie</t>
  </si>
  <si>
    <t>Case Grande</t>
  </si>
  <si>
    <t>Cost are already obscene</t>
  </si>
  <si>
    <t>859153c7-fa2f-4d12-a3ac-6aff7b945c4f</t>
  </si>
  <si>
    <t>Kulandaivadivelu</t>
  </si>
  <si>
    <t>Rajesh</t>
  </si>
  <si>
    <t>No MEP RTOUE47($181.10)</t>
  </si>
  <si>
    <t>39fa1214-eed0-46f6-a997-13feb70c798f</t>
  </si>
  <si>
    <t>Gunderson</t>
  </si>
  <si>
    <t>Massive financial burden on my family</t>
  </si>
  <si>
    <t>6252b3d1-805f-448e-9d34-8493281986ba</t>
  </si>
  <si>
    <t>McPherson</t>
  </si>
  <si>
    <t>42df5e38-31c1-47d1-bd53-6463696a56f1</t>
  </si>
  <si>
    <t>Neville</t>
  </si>
  <si>
    <t>df7d1d88-5ec4-47ad-b035-24c96aabe71c</t>
  </si>
  <si>
    <t>Ezrre</t>
  </si>
  <si>
    <t>4a8f6455-4374-49ee-b1ae-98f6a78c69e1</t>
  </si>
  <si>
    <t>Cafagna</t>
  </si>
  <si>
    <t>Caryn</t>
  </si>
  <si>
    <t>Cornville</t>
  </si>
  <si>
    <t>Will be burdensome on a fixed income</t>
  </si>
  <si>
    <t>93adbdd8-6b81-48e3-a327-cf5eddb06437</t>
  </si>
  <si>
    <t>Weiner</t>
  </si>
  <si>
    <t>9669a909-9ac6-49d7-9e07-40ed4ba98d81</t>
  </si>
  <si>
    <t>Verdi</t>
  </si>
  <si>
    <t>Enough already</t>
  </si>
  <si>
    <t>667ccbd0-ceae-45bc-aec7-873bc71d7825</t>
  </si>
  <si>
    <t>Duckworth</t>
  </si>
  <si>
    <t>Loyiel</t>
  </si>
  <si>
    <t>3d266521-ca66-4f8a-9e42-542287b4b691</t>
  </si>
  <si>
    <t>Holt</t>
  </si>
  <si>
    <t>Brianna</t>
  </si>
  <si>
    <t>6597211402</t>
  </si>
  <si>
    <t>No MEP RTOUE47($42.59)</t>
  </si>
  <si>
    <t>6574ee20-6a66-4e71-8dab-f797de0ab0bc</t>
  </si>
  <si>
    <t>Prakriya</t>
  </si>
  <si>
    <t>Veena</t>
  </si>
  <si>
    <t>Unaffordable</t>
  </si>
  <si>
    <t>eb428a7f-e769-4b73-b1b6-e66d15501f8e</t>
  </si>
  <si>
    <t>Funk</t>
  </si>
  <si>
    <t>Cecilia</t>
  </si>
  <si>
    <t>https://docket.images.azcc.gov/E000046554.pdf</t>
  </si>
  <si>
    <t>Filed Twice</t>
  </si>
  <si>
    <t>cbde6945-7fb1-43fa-8334-82dcd6601b62</t>
  </si>
  <si>
    <t>Watson</t>
  </si>
  <si>
    <t>APS reports profits</t>
  </si>
  <si>
    <t>21188961-3e07-4845-b2c9-845c42743ab4</t>
  </si>
  <si>
    <t>Sesha</t>
  </si>
  <si>
    <t>Arun Kumar</t>
  </si>
  <si>
    <t>9287216468</t>
  </si>
  <si>
    <t>a3a4a8a0-ff90-4584-85cb-8a2a73add7a6</t>
  </si>
  <si>
    <t>Rodriguez</t>
  </si>
  <si>
    <t>Angel</t>
  </si>
  <si>
    <t>be02e4ca-8ad5-4941-8839-8fef46638c95</t>
  </si>
  <si>
    <t>Fehr</t>
  </si>
  <si>
    <t>Unreasonably high</t>
  </si>
  <si>
    <t>54ed4465-d30b-4723-b105-25034f1e79f6</t>
  </si>
  <si>
    <t>Greibesland</t>
  </si>
  <si>
    <t>Bevan</t>
  </si>
  <si>
    <t>No MEP R3-47($138.04)</t>
  </si>
  <si>
    <t>36f84ebd-9661-41d5-b48b-18206dcc8814</t>
  </si>
  <si>
    <t>Hepner</t>
  </si>
  <si>
    <t>Supports FRM</t>
  </si>
  <si>
    <t>9053a28e-6172-43cc-a787-9adbeac7dc4d</t>
  </si>
  <si>
    <t>Lind</t>
  </si>
  <si>
    <t>2f9ee4b8-2100-4dfb-ad09-f47a0b682c3a</t>
  </si>
  <si>
    <t>Hart</t>
  </si>
  <si>
    <t>4f21552d-adc2-454e-a778-edb8af0b6327</t>
  </si>
  <si>
    <t>Kosowicz</t>
  </si>
  <si>
    <t>Diane</t>
  </si>
  <si>
    <t>becoming unaffordable</t>
  </si>
  <si>
    <t>3157160000</t>
  </si>
  <si>
    <t>5fb969d9-0722-44da-8424-1ba930b29310</t>
  </si>
  <si>
    <t>McCloud</t>
  </si>
  <si>
    <t>Unchecked greed</t>
  </si>
  <si>
    <t>No MEP R3-47($74.50)</t>
  </si>
  <si>
    <t>555019b7-33d5-4ff9-8935-9ed024657d60</t>
  </si>
  <si>
    <t>Martinez</t>
  </si>
  <si>
    <t>Evelin</t>
  </si>
  <si>
    <t>Unaffordable and unfair</t>
  </si>
  <si>
    <t>ca7f43b9-007f-4298-885e-e6b052b15bc0</t>
  </si>
  <si>
    <t>Stittleburg</t>
  </si>
  <si>
    <t>Stop stealing from the poor</t>
  </si>
  <si>
    <t>e8e459f8-a72a-4cda-9e8d-868809dbb0b3</t>
  </si>
  <si>
    <t>Litton</t>
  </si>
  <si>
    <t>Miranda</t>
  </si>
  <si>
    <t>No MEP R3-47 ($110.70)</t>
  </si>
  <si>
    <t>ffdd60e3-b52d-4eca-b842-27cd95f21665</t>
  </si>
  <si>
    <t>Too much too often</t>
  </si>
  <si>
    <t>No MEP R3-47($130.18)</t>
  </si>
  <si>
    <t>10/9 - tried to call, phone number is no longer in service</t>
  </si>
  <si>
    <t>bc31f504-ece3-440d-9503-f0f1e882b48a</t>
  </si>
  <si>
    <t>Bahrie</t>
  </si>
  <si>
    <t>Atul</t>
  </si>
  <si>
    <t>No MEP R3-47($481.47)</t>
  </si>
  <si>
    <t>58d82d9c-af3b-4e15-8c52-f3ead0487737</t>
  </si>
  <si>
    <t>Pludowski</t>
  </si>
  <si>
    <t>Increase approved last year</t>
  </si>
  <si>
    <t>No MRP R3-47($305.33)</t>
  </si>
  <si>
    <t xml:space="preserve">10/9 reviewed account and notes indicate he spoke to an advisor within the last several  months and specifically asked to be removed from the demand plan. </t>
  </si>
  <si>
    <t>f31b9bb9-60e8-4130-b3b2-8e52817f6a8a</t>
  </si>
  <si>
    <t>Tucker</t>
  </si>
  <si>
    <t>against any increase</t>
  </si>
  <si>
    <t>Trending over average monthly usage limit</t>
  </si>
  <si>
    <t>1af5aa54-f5dd-4724-81d9-704f497b607d</t>
  </si>
  <si>
    <t>Washatka</t>
  </si>
  <si>
    <t>ba913018-504a-4dcb-813b-512ce8a7ee62</t>
  </si>
  <si>
    <t>817fe33f-726f-45f2-be22-1629d9856182</t>
  </si>
  <si>
    <t>Nicholson</t>
  </si>
  <si>
    <t>No R3-47($76.57)</t>
  </si>
  <si>
    <t>bd2cb53f-df74-4c71-9ae1-98ab532100c2</t>
  </si>
  <si>
    <t>Haynes</t>
  </si>
  <si>
    <t>No R3-47($147.75)</t>
  </si>
  <si>
    <t xml:space="preserve">10/9 Spoke with Ms. Haynes regarding her MEP, R3-47. She does not want to change at this time. Advised her to monitor monthly plan comparison details. </t>
  </si>
  <si>
    <t>7dd112f8-eaf1-4a8c-ad39-cedccee12e8a</t>
  </si>
  <si>
    <t>Bauer</t>
  </si>
  <si>
    <t>499a8e63-6c46-4f56-9a18-eb968a4225fa</t>
  </si>
  <si>
    <t>Zschunke</t>
  </si>
  <si>
    <t>Bonnie</t>
  </si>
  <si>
    <t>992fa419-6162-405c-830e-4e9c5811eca8</t>
  </si>
  <si>
    <t>Carroll</t>
  </si>
  <si>
    <t>Can't afford higher bills</t>
  </si>
  <si>
    <t>279ca706-9c4e-4323-be1a-60cd9f95741f</t>
  </si>
  <si>
    <t>Dutta</t>
  </si>
  <si>
    <t>Samrat</t>
  </si>
  <si>
    <t>2547200000</t>
  </si>
  <si>
    <t>d3678ac2-f526-486f-8c77-75cecfa8bb62</t>
  </si>
  <si>
    <t xml:space="preserve">Willer </t>
  </si>
  <si>
    <t>New River</t>
  </si>
  <si>
    <t>33b3c039-24ad-4c4c-b8e9-f498fbdd56e0</t>
  </si>
  <si>
    <t>Madeline</t>
  </si>
  <si>
    <t>320ec2cd-0ca8-46d7-8293-5d0560d81735</t>
  </si>
  <si>
    <t>Valeev</t>
  </si>
  <si>
    <t>Margaret</t>
  </si>
  <si>
    <t>Furious</t>
  </si>
  <si>
    <t>e31c03b2-2fbf-49a6-8297-899eeeb561c2</t>
  </si>
  <si>
    <t>Cannochka</t>
  </si>
  <si>
    <t>Dmitrii</t>
  </si>
  <si>
    <t>f42be0ca-7b14-4289-be74-03bd03ac7a04</t>
  </si>
  <si>
    <t>Hareza</t>
  </si>
  <si>
    <t>Darla</t>
  </si>
  <si>
    <t>Stop being so greedy</t>
  </si>
  <si>
    <t>eee28598-9c94-43df-a0f7-b86fcbd6cac3</t>
  </si>
  <si>
    <t>9849411000</t>
  </si>
  <si>
    <t>6a454346-fa8c-40ce-92fe-05ffcd788c59</t>
  </si>
  <si>
    <t>25137acd-36a5-4d99-ba2b-830eb5b9d312</t>
  </si>
  <si>
    <t>Sawminathan</t>
  </si>
  <si>
    <t>Balaganesan</t>
  </si>
  <si>
    <t>cf44f6a7-bb08-43a2-b827-a80c65ba34a8</t>
  </si>
  <si>
    <t>Sheri</t>
  </si>
  <si>
    <t>7953727588</t>
  </si>
  <si>
    <t>ff816435-2033-412c-9d63-41594a777d7b</t>
  </si>
  <si>
    <t>Downey</t>
  </si>
  <si>
    <t>b133d85d-694b-408d-9896-8228970f1cd7</t>
  </si>
  <si>
    <t>Yip</t>
  </si>
  <si>
    <t>Indy</t>
  </si>
  <si>
    <t>No MEP R3-47($37.53)</t>
  </si>
  <si>
    <t>3df176b9-7adc-453c-94d6-fcc7c7a59768</t>
  </si>
  <si>
    <t>Mathews Scott</t>
  </si>
  <si>
    <t xml:space="preserve">Mary </t>
  </si>
  <si>
    <t>Desert Hills</t>
  </si>
  <si>
    <t>Greed</t>
  </si>
  <si>
    <t>9d5d86c6-d665-4959-914c-bcc63e7b3b73</t>
  </si>
  <si>
    <t>Handelman</t>
  </si>
  <si>
    <t xml:space="preserve">Jeff </t>
  </si>
  <si>
    <t>Opposed, gouging customers</t>
  </si>
  <si>
    <t>a9f1aed5-ad5a-42d8-b3fe-fa49fe02adb9</t>
  </si>
  <si>
    <t>Wollman</t>
  </si>
  <si>
    <t>Kenneth</t>
  </si>
  <si>
    <t>Ridiculous and a hardship</t>
  </si>
  <si>
    <t>No MEP R3-47($88.73)</t>
  </si>
  <si>
    <t>002807a8-4595-46d5-8d1d-dd4eb57cf651</t>
  </si>
  <si>
    <t>Fulton</t>
  </si>
  <si>
    <t>Celena</t>
  </si>
  <si>
    <t>Morristown</t>
  </si>
  <si>
    <t>1badb744-b1f5-4bee-8888-e27978eb9ef4</t>
  </si>
  <si>
    <t>Lassner</t>
  </si>
  <si>
    <t>No MEP R-BASIC($42.83)</t>
  </si>
  <si>
    <t>76237f43-588a-44d0-a2b5-a0428768424e</t>
  </si>
  <si>
    <t>Palaniraj</t>
  </si>
  <si>
    <t>Selvakumar</t>
  </si>
  <si>
    <t>81bae655-0dad-4cb8-8acb-d579522b3d6d</t>
  </si>
  <si>
    <t>Kumis</t>
  </si>
  <si>
    <t>Bessie</t>
  </si>
  <si>
    <t>cadbab26-4bc0-43d5-86d1-a285400a6df4</t>
  </si>
  <si>
    <t>Becus</t>
  </si>
  <si>
    <t>Lucie</t>
  </si>
  <si>
    <t>99c194b9-8dfb-4355-928b-f2a31844d56f</t>
  </si>
  <si>
    <t>Wesley</t>
  </si>
  <si>
    <t>No MEP R3-47($419.59)</t>
  </si>
  <si>
    <t>96b77d8f-94c2-400b-b648-c21a4906efc5</t>
  </si>
  <si>
    <t>Zausmer</t>
  </si>
  <si>
    <t>10/8 Spoke with COR and discussed MEP of R3-47 - she agreed to try R3-47. Dom helped to make the rate change in C&amp;CB.</t>
  </si>
  <si>
    <t>69f4aef8-3a07-486d-bbef-667ec02d42ed</t>
  </si>
  <si>
    <t>4bf38085-03bd-4f1d-97da-e188fa0133f0</t>
  </si>
  <si>
    <t>Undue burden on residential customers</t>
  </si>
  <si>
    <t>9bc29c55-b25a-4ff4-92f1-492547946167</t>
  </si>
  <si>
    <t>Taft</t>
  </si>
  <si>
    <t>Konrad</t>
  </si>
  <si>
    <t>Data centers coming in and nothing to with energy use</t>
  </si>
  <si>
    <t>7512f269-ad0b-4e91-9ffc-7c886091acb8</t>
  </si>
  <si>
    <t>Futi</t>
  </si>
  <si>
    <t>Ruben</t>
  </si>
  <si>
    <t>COR JUST STARTED SERV</t>
  </si>
  <si>
    <t>df49b310-6986-4fc1-b974-d9222c129700</t>
  </si>
  <si>
    <t>Rohit</t>
  </si>
  <si>
    <t>3cd89dbb-943e-4dfb-bf85-b27000670ffb</t>
  </si>
  <si>
    <t>Stout</t>
  </si>
  <si>
    <t>Grand Canyon</t>
  </si>
  <si>
    <t>089096e1-9b99-449c-863c-49434d30bbc2</t>
  </si>
  <si>
    <t>Lenick</t>
  </si>
  <si>
    <t>fab2904a-3b75-41ab-9061-8701eed7ee78</t>
  </si>
  <si>
    <t>Lamar</t>
  </si>
  <si>
    <t xml:space="preserve">Nathan </t>
  </si>
  <si>
    <t>c2325f10-b566-4c3f-b446-af53f836995c</t>
  </si>
  <si>
    <t xml:space="preserve">Merican </t>
  </si>
  <si>
    <t>Kari</t>
  </si>
  <si>
    <t>Opposed, unstainable</t>
  </si>
  <si>
    <t>cf170ac0-4627-4db9-a297-3c024a0560d9</t>
  </si>
  <si>
    <t>Ramia</t>
  </si>
  <si>
    <t>No MEP R3-47 ($9.57)</t>
  </si>
  <si>
    <t>ad2a1103-ad36-4a24-9d8c-76a5d8055592</t>
  </si>
  <si>
    <t>Derek</t>
  </si>
  <si>
    <t>701b21bf-bf5a-4ba8-8d02-19a2b6a2f34a</t>
  </si>
  <si>
    <t>Rivera</t>
  </si>
  <si>
    <t>14de4afa-300a-44ff-b0d0-a5bbe0bf4e87</t>
  </si>
  <si>
    <t>Kane</t>
  </si>
  <si>
    <t>No MEP RTOUE47 ($0.81)</t>
  </si>
  <si>
    <t>fa076f7e-54eb-4f98-a398-3edd1fc90756</t>
  </si>
  <si>
    <t>Sandra</t>
  </si>
  <si>
    <t>c6a64d90-3b18-4453-9075-1bee83b276ee</t>
  </si>
  <si>
    <t>154f12f0-9fa2-4ac7-89a5-5aa15051cdbe</t>
  </si>
  <si>
    <t>Opposed, not fair</t>
  </si>
  <si>
    <t>30e66325-8454-4372-9f70-7fed180b4148</t>
  </si>
  <si>
    <t>Jamison</t>
  </si>
  <si>
    <t>No MEP R-BASIC($44.93)</t>
  </si>
  <si>
    <t>Energy usage barely eligible for BASIC - Might stay on BASICL at annual reassignment</t>
  </si>
  <si>
    <t>c53142fe-e401-431b-a494-fdfd39d0cb0e</t>
  </si>
  <si>
    <t>Kirby</t>
  </si>
  <si>
    <t>2c32a66d-2d42-4f9e-8c9e-4643976be060</t>
  </si>
  <si>
    <t>Corirossi</t>
  </si>
  <si>
    <t>No MEP R3-47($62.68)</t>
  </si>
  <si>
    <t>07b0f35e-4234-4805-a12c-72fd6bc71feb</t>
  </si>
  <si>
    <t>Talbott</t>
  </si>
  <si>
    <t>Cut the fat</t>
  </si>
  <si>
    <t>No MEP R3-47($235.10)</t>
  </si>
  <si>
    <t>10/8 Left VM</t>
  </si>
  <si>
    <t>d0f23965-6d7f-4ad1-9535-73a1b5da79b1</t>
  </si>
  <si>
    <t>DeBay</t>
  </si>
  <si>
    <t xml:space="preserve">Jan </t>
  </si>
  <si>
    <t>already very high</t>
  </si>
  <si>
    <t>57fdc0b2-d441-4a6c-81c7-532abe2efeaa</t>
  </si>
  <si>
    <t>Traverso</t>
  </si>
  <si>
    <t>Luca</t>
  </si>
  <si>
    <t>410f0c48-c9fc-4e37-ae22-2d5594e52a2c</t>
  </si>
  <si>
    <t>Reed</t>
  </si>
  <si>
    <t>Ralph</t>
  </si>
  <si>
    <t>Retired, fixed income</t>
  </si>
  <si>
    <t>4e122dcf-ae31-40e1-9f03-1451cee3fbff</t>
  </si>
  <si>
    <t>Magee</t>
  </si>
  <si>
    <t>9798240000</t>
  </si>
  <si>
    <t>Non-AMI Customer</t>
  </si>
  <si>
    <t>f9535baa-b8bf-4abd-bd6a-00dab8181907</t>
  </si>
  <si>
    <t>Stumpf</t>
  </si>
  <si>
    <t>Yvette</t>
  </si>
  <si>
    <t>c06896a7-4e25-4044-9135-1bd127a5e2e2</t>
  </si>
  <si>
    <t>Gilmore</t>
  </si>
  <si>
    <t>No MEP TOUE ($420.43)</t>
  </si>
  <si>
    <t>10/08/2025 left VM</t>
  </si>
  <si>
    <t>f5a7fc34-f3a3-4c05-86e8-0ad04dc367ce</t>
  </si>
  <si>
    <t>Funke</t>
  </si>
  <si>
    <t>Carrie</t>
  </si>
  <si>
    <t>940a4b51-03f0-4c72-b85f-6ff84e58588d</t>
  </si>
  <si>
    <t>Kriechbaum</t>
  </si>
  <si>
    <t>Sherry</t>
  </si>
  <si>
    <t>cb44f267-f310-450d-8f5b-c2ce04026e24</t>
  </si>
  <si>
    <t>Robb</t>
  </si>
  <si>
    <t>49e41bea-4a90-4c9d-adb0-a8139cdef518</t>
  </si>
  <si>
    <t>Vaughn</t>
  </si>
  <si>
    <t>dfd40e4c-e67a-4f32-8091-b6ba9113c4d5</t>
  </si>
  <si>
    <t>Blaser</t>
  </si>
  <si>
    <t>d0e1b175-2b60-438a-9b45-a9456ecbc1fb</t>
  </si>
  <si>
    <t>Vujic</t>
  </si>
  <si>
    <t>6e2b616a-0edf-4608-806d-d320bdb1cbae</t>
  </si>
  <si>
    <t>Inman</t>
  </si>
  <si>
    <t>No MEP R3-47 ($79.77)</t>
  </si>
  <si>
    <t>07b729a2-27d3-412f-86a7-bf23aee87be2</t>
  </si>
  <si>
    <t>Hobson</t>
  </si>
  <si>
    <t>https://docket.images.azcc.gov/E000046269.pdf</t>
  </si>
  <si>
    <t>No MEP R3-47 ($482.61)</t>
  </si>
  <si>
    <t>de5350c5-101b-4bd7-9ccd-c2a41018c440</t>
  </si>
  <si>
    <t>Boardman</t>
  </si>
  <si>
    <t>Julia</t>
  </si>
  <si>
    <t>4cf2eb09-3182-400c-b968-7d88a1f6333b</t>
  </si>
  <si>
    <t>Dara</t>
  </si>
  <si>
    <t>Krishna</t>
  </si>
  <si>
    <t>Already getting difficult to pay the bill</t>
  </si>
  <si>
    <t>4075c437-8687-4140-aba0-b5611f3d1f36</t>
  </si>
  <si>
    <t>3fb8781b-2a7e-4db5-bcea-427ad80079a3</t>
  </si>
  <si>
    <t>Bethany</t>
  </si>
  <si>
    <t>48cc8251-0fce-4eda-a3dc-da3be78eec07</t>
  </si>
  <si>
    <t>Kaelyn</t>
  </si>
  <si>
    <t>76cc86cb-23a7-40b4-8382-6d75e12854e8</t>
  </si>
  <si>
    <t>190dfd2d-c984-4c37-a02e-8d94eb053753</t>
  </si>
  <si>
    <t>Kumar</t>
  </si>
  <si>
    <t>Sumit</t>
  </si>
  <si>
    <t>c3f00f57-19d2-4c4a-993e-7997088b2c81</t>
  </si>
  <si>
    <t>Kalikar</t>
  </si>
  <si>
    <t>Vinayak</t>
  </si>
  <si>
    <t>20ac2c05-f843-4937-bf3a-4c9694a2cfef</t>
  </si>
  <si>
    <t>Rushing</t>
  </si>
  <si>
    <t>Ayla</t>
  </si>
  <si>
    <t>Greedy company</t>
  </si>
  <si>
    <t>4026100541</t>
  </si>
  <si>
    <t>No MEP R3-47 ($221.91)</t>
  </si>
  <si>
    <t>b142ca3c-daf5-446b-acfe-0875133143f6</t>
  </si>
  <si>
    <t>Hudgins</t>
  </si>
  <si>
    <t>Eldeen</t>
  </si>
  <si>
    <t>Opposed / submitted request to intervene</t>
  </si>
  <si>
    <t>4f369c90-075b-42e1-9c1c-ec4051e132cb</t>
  </si>
  <si>
    <t>Burkes</t>
  </si>
  <si>
    <t>https://docket.images.azcc.gov/E000046289.pdf</t>
  </si>
  <si>
    <t>8dc1fdf4-e0c7-4af4-b63e-60c571eeefba</t>
  </si>
  <si>
    <t>Kathryne</t>
  </si>
  <si>
    <t>No MEP R3-47 ($161.55)</t>
  </si>
  <si>
    <t>793b2f62-85ff-4b92-917d-77431e9e7e4b</t>
  </si>
  <si>
    <t>Hollie</t>
  </si>
  <si>
    <t>24420e93-88fe-4e7a-91eb-e2388abafcb7</t>
  </si>
  <si>
    <t>65857dd5-fe68-48c6-9eaf-114acafde328</t>
  </si>
  <si>
    <t>Beck</t>
  </si>
  <si>
    <t>fe8b54a3-b8f5-4ee2-b8a6-2b9b3a269104</t>
  </si>
  <si>
    <t>Stolarski</t>
  </si>
  <si>
    <t>fb3626e5-8e21-494e-b1cd-8ea6c5ea2194</t>
  </si>
  <si>
    <t>Catie</t>
  </si>
  <si>
    <t>52eb2177-dacb-4568-be44-816f45f14902</t>
  </si>
  <si>
    <t>Post</t>
  </si>
  <si>
    <t>32af4a78-ac76-4cb5-bbcc-5ec47c40e4b0</t>
  </si>
  <si>
    <t>Dunn</t>
  </si>
  <si>
    <t>Rates were raised last year</t>
  </si>
  <si>
    <t>2948e1a1-b6ed-4fe5-ac54-8e34370942b2</t>
  </si>
  <si>
    <t>Bernhardt</t>
  </si>
  <si>
    <t>54b72273-f0ab-4dcc-b904-518b62e5f623</t>
  </si>
  <si>
    <t>Opposed, 8% last year</t>
  </si>
  <si>
    <t>3c2e0f2c-43d9-4c8e-bdc9-aa4cc0776592</t>
  </si>
  <si>
    <t>Gwen</t>
  </si>
  <si>
    <t>453455cc-f768-47ac-9116-fe211966c3f2</t>
  </si>
  <si>
    <t>e7197ff6-cc70-4f88-9e22-82dab876d9d4</t>
  </si>
  <si>
    <t>036433fa-87f3-43a2-ae51-4e5585bab7fb</t>
  </si>
  <si>
    <t>Hunt</t>
  </si>
  <si>
    <t>238e1788-fcc2-4986-877a-7cc4edac61e6</t>
  </si>
  <si>
    <t>Bills are already high</t>
  </si>
  <si>
    <t>48f2e5c6-e345-4d8c-96f6-93cabb8da234</t>
  </si>
  <si>
    <t xml:space="preserve">Jenni </t>
  </si>
  <si>
    <t>291c2584-088c-4ea0-8599-226a970066c4</t>
  </si>
  <si>
    <t>Kobus</t>
  </si>
  <si>
    <t>d232a2d8-460c-45bc-8077-4ef12db605ab</t>
  </si>
  <si>
    <t>Benuncosa</t>
  </si>
  <si>
    <t>24ffe1cf-b211-413f-badc-2f74b0cfecd6</t>
  </si>
  <si>
    <t>Emery</t>
  </si>
  <si>
    <t>3d02811d-7b06-43e1-9877-f42619876ae2</t>
  </si>
  <si>
    <t>Sosnicki</t>
  </si>
  <si>
    <t>Got 8% last year, now they want 14%</t>
  </si>
  <si>
    <t>25e28d7d-0eed-4619-a162-7456060ddb1d</t>
  </si>
  <si>
    <t>Wyatt</t>
  </si>
  <si>
    <t>Kristin</t>
  </si>
  <si>
    <t>e2c8573d-752f-4c40-b561-5da09363e445</t>
  </si>
  <si>
    <t>Coschigano</t>
  </si>
  <si>
    <t>14e8ba48-2f71-4c2b-92a1-63947decf006</t>
  </si>
  <si>
    <t>Decker</t>
  </si>
  <si>
    <t>Courtland</t>
  </si>
  <si>
    <t>not fair nor financially respectful to ask for 22% increase in two years</t>
  </si>
  <si>
    <t>a00cff63-4204-4a0d-bf1c-8fc289695b33</t>
  </si>
  <si>
    <t>Boisvert</t>
  </si>
  <si>
    <t>62147006-55e8-4412-8167-56951dd1378d</t>
  </si>
  <si>
    <t>Coronado</t>
  </si>
  <si>
    <t>Unacceptable and should not be allowed</t>
  </si>
  <si>
    <t>0936e37c-b045-44d2-a660-fd2b23aeb5ae</t>
  </si>
  <si>
    <t>Grondin</t>
  </si>
  <si>
    <t>Sarah &amp; Micah</t>
  </si>
  <si>
    <t>0649ee70-828d-4f56-a38d-ab4d335d12a5</t>
  </si>
  <si>
    <t>2b842755-6242-470c-b758-23d516f2960c</t>
  </si>
  <si>
    <t>Morrison</t>
  </si>
  <si>
    <t>Quandra</t>
  </si>
  <si>
    <t>No MEP R-BASIC ($78.14)</t>
  </si>
  <si>
    <t>d5111571-ba7e-4f4a-8875-f40eb648b377</t>
  </si>
  <si>
    <t>Lander</t>
  </si>
  <si>
    <t>Opposed, monopoly</t>
  </si>
  <si>
    <t>8f5e9d7e-4d9b-48b4-99c2-63f828b09388</t>
  </si>
  <si>
    <t>Lane</t>
  </si>
  <si>
    <t>Genevieve</t>
  </si>
  <si>
    <t>415e6efa-49f6-4fbe-9410-f2ff39f85ba0</t>
  </si>
  <si>
    <t>Bezanson</t>
  </si>
  <si>
    <t>1b50d558-f8bb-4248-ba54-643869e2c9e4</t>
  </si>
  <si>
    <t>Katsura</t>
  </si>
  <si>
    <t>Filed 2x</t>
  </si>
  <si>
    <t>a683fbdb-8e15-4749-bd0d-bee072eab987</t>
  </si>
  <si>
    <t>Boos</t>
  </si>
  <si>
    <t>Al</t>
  </si>
  <si>
    <t>egregious and possibly unaffordable by many customers</t>
  </si>
  <si>
    <t>c00e1cfa-be79-4905-b13a-26458e5f22b0</t>
  </si>
  <si>
    <t>18b4ace1-b391-4d31-9001-45ff0f677aad</t>
  </si>
  <si>
    <t>Farnsworth</t>
  </si>
  <si>
    <t>7cdf945b-5eb0-478c-a2a1-a4fc9ebc64e1</t>
  </si>
  <si>
    <t>Parr</t>
  </si>
  <si>
    <t>Joshua Roy</t>
  </si>
  <si>
    <t>No MEP R3-47 ($137.94)</t>
  </si>
  <si>
    <t>aadd898c-6645-4e35-9e33-cca36771858d</t>
  </si>
  <si>
    <t>Orr</t>
  </si>
  <si>
    <t>Opposed, will have to move away</t>
  </si>
  <si>
    <t>88181102-cf4b-4a9f-ab57-d47f051da10a</t>
  </si>
  <si>
    <t>Peteet</t>
  </si>
  <si>
    <t>We aren't getting any benefit from proposed increase</t>
  </si>
  <si>
    <t>https://docket.images.azcc.gov/E000046305.pdf</t>
  </si>
  <si>
    <t>2b3adf5d-db59-4a67-8462-b20b1ca09b63</t>
  </si>
  <si>
    <t>Egregious, I pay approx $126 just in service charges</t>
  </si>
  <si>
    <t>eccfe48e-284b-4c05-bca2-f3639b182f02</t>
  </si>
  <si>
    <t>Not in line with the current CPI</t>
  </si>
  <si>
    <t>bd3fc6f3-9d6f-4aca-b27c-86d8fa08e8ca</t>
  </si>
  <si>
    <t>Shaver</t>
  </si>
  <si>
    <t>6ddd10c0-bb14-47e4-b819-aa51d89f2f71</t>
  </si>
  <si>
    <t>Colon</t>
  </si>
  <si>
    <t>703e3a7a-f0f1-4c95-a4f3-cc9771c71c56</t>
  </si>
  <si>
    <t>Edmondson</t>
  </si>
  <si>
    <t>Minimal increase is acceptable</t>
  </si>
  <si>
    <t>https://docket.images.azcc.gov/E000046290.pdf</t>
  </si>
  <si>
    <t>83adfe95-4db5-412f-af2a-aedb1d128c07</t>
  </si>
  <si>
    <t>Mataraza</t>
  </si>
  <si>
    <t>When is enough, enough?</t>
  </si>
  <si>
    <t>https://docket.images.azcc.gov/E000046309.pdf</t>
  </si>
  <si>
    <t>5f544d84-fb2d-42c4-bf5a-f8efea92cda5</t>
  </si>
  <si>
    <t>Brumund</t>
  </si>
  <si>
    <t>Randy</t>
  </si>
  <si>
    <t>Barely have enough to cover the increase of food</t>
  </si>
  <si>
    <t>9fb91e66-28db-4ae3-b9d4-3ab2863ff9a6</t>
  </si>
  <si>
    <t>Malaki</t>
  </si>
  <si>
    <t>Samantha</t>
  </si>
  <si>
    <t>No MEP R3-47 ($84.85)</t>
  </si>
  <si>
    <t>d65f9907-74d2-44a8-904e-9bb5e72305bd</t>
  </si>
  <si>
    <t>Shah</t>
  </si>
  <si>
    <t>Raju</t>
  </si>
  <si>
    <t>16888d30-5f02-4361-903f-0b9a9e535a58</t>
  </si>
  <si>
    <t>Dermott</t>
  </si>
  <si>
    <t>fd01dc3e-fd7f-47bc-982d-9e83c969f017</t>
  </si>
  <si>
    <t>Pircaro</t>
  </si>
  <si>
    <t>b490a683-d1ea-483d-9e01-dabac8ca1a95</t>
  </si>
  <si>
    <t>Tanika</t>
  </si>
  <si>
    <t>No MEP R-XS ($24.15)</t>
  </si>
  <si>
    <t>f91e34f7-5e18-4688-a2cf-d86252f66292</t>
  </si>
  <si>
    <t>Josselyn</t>
  </si>
  <si>
    <t>https://docket.images.azcc.gov/E000046316.pdf</t>
  </si>
  <si>
    <t>No MEP R-XS ($117.00)</t>
  </si>
  <si>
    <t>10/8/2025 Left VM</t>
  </si>
  <si>
    <t>52ee6239-4e8f-4eba-a020-a28f8866dd39</t>
  </si>
  <si>
    <t>Ray</t>
  </si>
  <si>
    <t>Ingeborg</t>
  </si>
  <si>
    <t>16da903f-1401-4a3e-a2b1-2c5453897156</t>
  </si>
  <si>
    <t>Parker</t>
  </si>
  <si>
    <t>Opposed, small business struggling due to extreme heat waves</t>
  </si>
  <si>
    <t>70c60c1a-5925-4df1-9def-4d5e9ec16805</t>
  </si>
  <si>
    <t>Wellton</t>
  </si>
  <si>
    <t>59e98826-435c-479d-80d4-e7974ab974e2</t>
  </si>
  <si>
    <t>Mikkola</t>
  </si>
  <si>
    <t>Cheryl</t>
  </si>
  <si>
    <t>Opposed, seniors, spouse has cancer, his temp is regulated for health</t>
  </si>
  <si>
    <t>https://docket.images.azcc.gov/E000046329.pdf</t>
  </si>
  <si>
    <t>e43cd995-d4a3-4275-a025-b8b483a55456</t>
  </si>
  <si>
    <t>No MEP R3-47 ($35.30)</t>
  </si>
  <si>
    <t>f65e7332-1d55-4608-89ad-30ecc705f455</t>
  </si>
  <si>
    <t>Frederick</t>
  </si>
  <si>
    <t>16c734e8-4d96-4f1a-9feb-6bbacc22dd73</t>
  </si>
  <si>
    <t>Craycroft</t>
  </si>
  <si>
    <t>This comment was submitted by The Arizona House of Rep Constituent Office</t>
  </si>
  <si>
    <t>a428e275-5757-4920-981c-b8f6e1c27f78</t>
  </si>
  <si>
    <t>Deer</t>
  </si>
  <si>
    <t>Payton</t>
  </si>
  <si>
    <t>No MEP R-XS ($119.86)</t>
  </si>
  <si>
    <t>10/9 reviewed account, average monthly energy usage is trending high so customer would be bumped up to tier 2</t>
  </si>
  <si>
    <t>3ba2959f-f628-42ff-b95c-19f489bb726e</t>
  </si>
  <si>
    <t>No MEP R-XS ($78.14)</t>
  </si>
  <si>
    <t>32856ff4-c983-4b9d-a74f-5fe743460238</t>
  </si>
  <si>
    <t>d1c8ddce-cb96-452c-942e-ab44446060a3</t>
  </si>
  <si>
    <t>Using hold on energy selection against Arizona families</t>
  </si>
  <si>
    <t>85ce7781-beda-4408-a55b-d260f7b65d55</t>
  </si>
  <si>
    <t>https://docket.images.azcc.gov/E000046349.pdf</t>
  </si>
  <si>
    <t>c9240807-f538-4be9-aca7-dec5b84bff22</t>
  </si>
  <si>
    <t>Mohajerin</t>
  </si>
  <si>
    <t>Saeed</t>
  </si>
  <si>
    <t>How much is enough</t>
  </si>
  <si>
    <t>de5a9de5-a5a1-44ac-b02a-0da6b16a5fa6</t>
  </si>
  <si>
    <t>Varner</t>
  </si>
  <si>
    <t>Edie</t>
  </si>
  <si>
    <t>Constant increase in utilities bill, senior, strict budget</t>
  </si>
  <si>
    <t>302147f2-a37c-4e0d-867e-feb5ce457bf2</t>
  </si>
  <si>
    <t>No MEP R3-47 ($15.79)</t>
  </si>
  <si>
    <t>5fcc77e4-fd5d-431e-82e1-0e6032aa9a20</t>
  </si>
  <si>
    <t>Iewan</t>
  </si>
  <si>
    <t>Jim</t>
  </si>
  <si>
    <t>003befae-4fda-43b9-ab13-5aa8d50b568a</t>
  </si>
  <si>
    <t>f7ddf50a-5c88-4894-851a-b8d9512849af</t>
  </si>
  <si>
    <t>Thompson</t>
  </si>
  <si>
    <t>Shirley</t>
  </si>
  <si>
    <t>https://docket.images.azcc.gov/E000046359.pdf</t>
  </si>
  <si>
    <t>a96aef8f-71d5-4925-8ea8-09b32bfc3ab3</t>
  </si>
  <si>
    <t>https://docket.images.azcc.gov/E000046388.pdf</t>
  </si>
  <si>
    <t>d91067d3-a038-456a-bb54-e23509c81c0f</t>
  </si>
  <si>
    <t>Driver</t>
  </si>
  <si>
    <t>Robin</t>
  </si>
  <si>
    <t>https://docket.images.azcc.gov/E000046404.pdf</t>
  </si>
  <si>
    <t>3ef07e0f-19b2-42f1-bf03-34db82771bed</t>
  </si>
  <si>
    <t>Saltzman</t>
  </si>
  <si>
    <t>No MEP R-BASIC ($77.70)</t>
  </si>
  <si>
    <t>82eaf689-b6aa-4640-a9b2-365c23dd6daa</t>
  </si>
  <si>
    <t>Bejar</t>
  </si>
  <si>
    <t>Christen</t>
  </si>
  <si>
    <t>No MEP R3-47 ($120.96)</t>
  </si>
  <si>
    <t>10/08/2025 Left VM</t>
  </si>
  <si>
    <t>a8b4b266-517d-4307-9a7d-6cf4dc4efa07</t>
  </si>
  <si>
    <t>Redman</t>
  </si>
  <si>
    <t>f33a22b5-4842-4c21-b09a-65a7e5932492</t>
  </si>
  <si>
    <t xml:space="preserve">Salt </t>
  </si>
  <si>
    <t>08dc3813-e5e6-4a3c-9355-9a2a3530fb70</t>
  </si>
  <si>
    <t>Menoche</t>
  </si>
  <si>
    <t>Kaitlynn</t>
  </si>
  <si>
    <t>https://docket.images.azcc.gov/E000046437.pdf</t>
  </si>
  <si>
    <t>26a8a038-d4e7-4f24-90a7-6f45d9a7072e</t>
  </si>
  <si>
    <t>Harms</t>
  </si>
  <si>
    <t>Reduced exorbitant salaries</t>
  </si>
  <si>
    <t>8df30986-aaf5-4991-882e-a2afa0c3d195</t>
  </si>
  <si>
    <t>Heaton</t>
  </si>
  <si>
    <t>price gouging</t>
  </si>
  <si>
    <t>4c45b205-1822-4f75-be1e-939c9608f013</t>
  </si>
  <si>
    <t>Sinks</t>
  </si>
  <si>
    <t>115b8949-79be-4606-a3a2-6563d01efdba</t>
  </si>
  <si>
    <t xml:space="preserve">O'Neil </t>
  </si>
  <si>
    <t>No MEP R3-47 ($19.36)</t>
  </si>
  <si>
    <t>6466ed2f-2e3c-4d6d-b044-720f9db46a55</t>
  </si>
  <si>
    <t>Dukart</t>
  </si>
  <si>
    <t>Corporate Greed</t>
  </si>
  <si>
    <t>705f7bec-5bd3-43c9-939e-4ae9147485b5</t>
  </si>
  <si>
    <t>Fylan</t>
  </si>
  <si>
    <t>No MEP R3-47 ($355.98)</t>
  </si>
  <si>
    <t xml:space="preserve">10/08/2025 Left VM </t>
  </si>
  <si>
    <t>e51f0844-c2d0-4fda-9733-88ef67cf34e7</t>
  </si>
  <si>
    <t>Martin</t>
  </si>
  <si>
    <t>No MEP R3-47 ($159.33)</t>
  </si>
  <si>
    <t>7b6eb368-d998-4295-bd2c-4cb219bb000d</t>
  </si>
  <si>
    <t>Mobley</t>
  </si>
  <si>
    <t>Susan</t>
  </si>
  <si>
    <t>No MEP R3-47 ($498.46)</t>
  </si>
  <si>
    <t>1990bc88-bf09-4fc7-96a3-d108f91e577d</t>
  </si>
  <si>
    <t>Andrews</t>
  </si>
  <si>
    <t>Firmly against</t>
  </si>
  <si>
    <t>9361f9e5-55ca-43cc-8a34-ae48708a6989</t>
  </si>
  <si>
    <t>Harris</t>
  </si>
  <si>
    <t>Pending stop 11/3</t>
  </si>
  <si>
    <t>f98181f3-5dd0-4264-b1f9-2c8ed3c2c13d</t>
  </si>
  <si>
    <t>Nancy</t>
  </si>
  <si>
    <t>Unreasonable</t>
  </si>
  <si>
    <t>No MEP R3-47 ($188.91))</t>
  </si>
  <si>
    <t>10/9 Tried to leave a VM, mailbox is full, Tried to call again on 11/10</t>
  </si>
  <si>
    <t>4a3a761e-af39-47e4-8791-dc6a73f8ff71</t>
  </si>
  <si>
    <t>Camacho</t>
  </si>
  <si>
    <t>Chevon</t>
  </si>
  <si>
    <t>7bffcabf-4195-4888-9c68-77abba2fddaf</t>
  </si>
  <si>
    <t>Mercado-Tarango</t>
  </si>
  <si>
    <t>Brenda</t>
  </si>
  <si>
    <t>6b4030d5-c928-408d-8a14-ebb592646596</t>
  </si>
  <si>
    <t>Messing</t>
  </si>
  <si>
    <t>12310486-5abd-42c5-a70d-4767efb265d6</t>
  </si>
  <si>
    <t>Manville</t>
  </si>
  <si>
    <t>161652a3-9205-4de8-a282-58b64e3c3798</t>
  </si>
  <si>
    <t>La Plant</t>
  </si>
  <si>
    <t xml:space="preserve">Lind </t>
  </si>
  <si>
    <t>ef068a54-8611-4ee5-826f-328390887c15</t>
  </si>
  <si>
    <t>67ef08ba-1c0c-4b23-bbdc-3086bc3fa5b9</t>
  </si>
  <si>
    <t>Sylvester</t>
  </si>
  <si>
    <t>Zachery</t>
  </si>
  <si>
    <t>2efe9a09-e611-447a-916a-87789c7a8a5c</t>
  </si>
  <si>
    <t>d18cada0-7185-4596-8b22-fce3c34ee339</t>
  </si>
  <si>
    <t>Weigand</t>
  </si>
  <si>
    <t>Mathew</t>
  </si>
  <si>
    <t>R-Basic</t>
  </si>
  <si>
    <t>No MEP TOUE ($20.50)</t>
  </si>
  <si>
    <t>214d275e-59cb-4ed3-9517-1b0cf3da59fe</t>
  </si>
  <si>
    <t>Callingham</t>
  </si>
  <si>
    <t>86752ea4-d6cc-4b66-8ba4-0fc568c3f523</t>
  </si>
  <si>
    <t>We are struggling</t>
  </si>
  <si>
    <t>678d87f4-9540-4cbb-8f86-37224caeb11f</t>
  </si>
  <si>
    <t>Mercedes</t>
  </si>
  <si>
    <t>Extremely expensive</t>
  </si>
  <si>
    <t>No MEP TOUE ($157.52)</t>
  </si>
  <si>
    <t>10/9 Reviewed account, on 9/29 customer called to switch to MEP</t>
  </si>
  <si>
    <t>Called into CX center to switch plans to MEP on 9/29</t>
  </si>
  <si>
    <t>b260f35c-8fcf-46c2-b02b-cfe184c875de</t>
  </si>
  <si>
    <t>Quinet</t>
  </si>
  <si>
    <t>6be821dd-ee05-4499-857c-76ea740ab01b</t>
  </si>
  <si>
    <t>Gaydosz</t>
  </si>
  <si>
    <t xml:space="preserve">Ridiculous  </t>
  </si>
  <si>
    <t>1278b74d-25ca-4b50-99f8-1dea7f7abfb1</t>
  </si>
  <si>
    <t>Enough is enough, already paying $160 for a 700 sqdt apartment</t>
  </si>
  <si>
    <t>No MEP R-XS ($98.76)</t>
  </si>
  <si>
    <t>1ac26659-df2c-44cb-8039-5a08d510bbab</t>
  </si>
  <si>
    <t>Donato</t>
  </si>
  <si>
    <t xml:space="preserve">This is a significant burden, especially at a time when cost of living continues to rise </t>
  </si>
  <si>
    <t>https://docket.images.azcc.gov/E000046472.pdf</t>
  </si>
  <si>
    <t>No MEP R3-47(336.10)</t>
  </si>
  <si>
    <t>10b729c8-c41b-4609-b6db-fc04035666c3</t>
  </si>
  <si>
    <t>Bramble</t>
  </si>
  <si>
    <t>The proposed rate increase is excessive</t>
  </si>
  <si>
    <t>https://docket.images.azcc.gov/E000046494.pdf</t>
  </si>
  <si>
    <t>40006368-71f9-49f9-9fe1-c43b26d7f91e</t>
  </si>
  <si>
    <t>Craig</t>
  </si>
  <si>
    <t>23b36e26-2195-40d9-ab7b-9b09540f75a3</t>
  </si>
  <si>
    <t>Fein</t>
  </si>
  <si>
    <t>Opposed-I wont survive another summer in AZ</t>
  </si>
  <si>
    <t>8b9e28bb-5dc6-4d75-a93c-71875e8849f2</t>
  </si>
  <si>
    <t>d42a6771-7c6a-406b-b281-2e7b7a4276bf</t>
  </si>
  <si>
    <t>Keates</t>
  </si>
  <si>
    <t>Rob</t>
  </si>
  <si>
    <t>Opposed-Price gouging</t>
  </si>
  <si>
    <t>https://docket.images.azcc.gov/E000046502.pdf</t>
  </si>
  <si>
    <t>No MEP R-BASIC(126.09)</t>
  </si>
  <si>
    <t>10/9 Reviewed account and average monthly energe use is 760 kwh - want to confirm BASIC is a good recommendation?</t>
  </si>
  <si>
    <t>8d4c09b2-efdc-4748-965c-1508bafffd0b</t>
  </si>
  <si>
    <t>Gregg</t>
  </si>
  <si>
    <t>Opposed-APS sees a profit margin already of 9.55%</t>
  </si>
  <si>
    <t>63f9002f-15f3-4f02-b025-dc6ea5417152</t>
  </si>
  <si>
    <t>Mensinger</t>
  </si>
  <si>
    <t>Opposed-Lets take a closer look at company spending habits</t>
  </si>
  <si>
    <t>52d9914a-6896-42f2-b8ba-a2fb51c8731d</t>
  </si>
  <si>
    <t>Houck</t>
  </si>
  <si>
    <t>Opposed-APS sis 25% higher than SRP</t>
  </si>
  <si>
    <t>https://docket.images.azcc.gov/E000046525.pdf</t>
  </si>
  <si>
    <t>2e709351-cdd5-4775-8d53-56b00a748364</t>
  </si>
  <si>
    <t>Pop</t>
  </si>
  <si>
    <t>Don’t raise the rates for electricity</t>
  </si>
  <si>
    <t>7738cc01-abd1-49fa-84b5-a335f20a1e81</t>
  </si>
  <si>
    <t>Already had an 8% increase last year</t>
  </si>
  <si>
    <t>6554396c-7a2c-4db4-bf89-bfc1edc83a59</t>
  </si>
  <si>
    <t>Opposed-AC set 83 and still high bills</t>
  </si>
  <si>
    <t>f1069ca1-ef0b-44ab-9526-b57f98115701</t>
  </si>
  <si>
    <t>Hendricks</t>
  </si>
  <si>
    <t>Joseph City</t>
  </si>
  <si>
    <t>Opposed-Why am I forced to APS and not someone else?</t>
  </si>
  <si>
    <t>Several missed payments</t>
  </si>
  <si>
    <t>2c8592d5-cb94-425b-9be4-4756b576e65e</t>
  </si>
  <si>
    <t>Walton</t>
  </si>
  <si>
    <t>Opposed-Shareholders interests are prioritized</t>
  </si>
  <si>
    <t>323b49c1-d8ad-4db7-832e-5dc80bb34124</t>
  </si>
  <si>
    <t>Frausto</t>
  </si>
  <si>
    <t>Esmeralda</t>
  </si>
  <si>
    <t>Opposed-Think of customers first, high cost of living</t>
  </si>
  <si>
    <t>3516164640</t>
  </si>
  <si>
    <t>Continuous payment arrangements for a couple years, may need more assistance?</t>
  </si>
  <si>
    <t>86a95ada-d924-4383-b13e-0ec9739eeb18</t>
  </si>
  <si>
    <t>Opposed- Going to contact Attorney Gen. to allow SRP serv</t>
  </si>
  <si>
    <t>477d9d28-a68e-4e21-a32f-b692d9a44334</t>
  </si>
  <si>
    <t>Avalos</t>
  </si>
  <si>
    <t>Opposed-It will only drive away more jobs</t>
  </si>
  <si>
    <t>300fe341-6f55-46a3-a9d7-826af3c77c7f</t>
  </si>
  <si>
    <t>Hulsey</t>
  </si>
  <si>
    <t>Strongly Oppose 14% increase</t>
  </si>
  <si>
    <t>Multiple ACC Complaints (2023 and 2024)</t>
  </si>
  <si>
    <t>0c487455-8b82-4ebe-a05f-b83cad4a886e</t>
  </si>
  <si>
    <t>Munson</t>
  </si>
  <si>
    <t>Show Low</t>
  </si>
  <si>
    <t>Opposed-Corporate greed</t>
  </si>
  <si>
    <t>a872a2e5-2c33-400e-924c-c7308a16b155</t>
  </si>
  <si>
    <t>Craft</t>
  </si>
  <si>
    <t xml:space="preserve">Opposed-Ridiculous for such a large company </t>
  </si>
  <si>
    <t>f7eca305-b76a-4052-92ff-676ee594d5cb</t>
  </si>
  <si>
    <t>Lopardo</t>
  </si>
  <si>
    <t>Corinna</t>
  </si>
  <si>
    <t>No MEP R3-47 ($13.58)</t>
  </si>
  <si>
    <t>4c7da8ee-0e78-42f6-8148-c6eda49cba97</t>
  </si>
  <si>
    <t>Trisha</t>
  </si>
  <si>
    <t>Opposed-Absolutely ridiculous</t>
  </si>
  <si>
    <t>8d411348-3c90-4d96-8ca0-f1fdaa4a899b</t>
  </si>
  <si>
    <t>Siers</t>
  </si>
  <si>
    <t>Wade</t>
  </si>
  <si>
    <t>Opposed-14% appears rather excessive</t>
  </si>
  <si>
    <t>94835da4-acc5-495b-9dcf-a1d964b8b2b7</t>
  </si>
  <si>
    <t>Boerner</t>
  </si>
  <si>
    <t>Rhonda</t>
  </si>
  <si>
    <t>Opposed-Unfair to residential customers</t>
  </si>
  <si>
    <t>acbca6ca-4c37-4ccf-a9eb-de085184895b</t>
  </si>
  <si>
    <t>Zamudio</t>
  </si>
  <si>
    <t>Alejandro</t>
  </si>
  <si>
    <t>Opposed- Unacceptable and unreasonable</t>
  </si>
  <si>
    <t>80620287-c803-424a-bb79-ef407e352553</t>
  </si>
  <si>
    <t>Ducar</t>
  </si>
  <si>
    <t>Outraged the commission would even consider this</t>
  </si>
  <si>
    <t>4236412a-fd75-4575-b7ea-111242770c0a</t>
  </si>
  <si>
    <t>Sept</t>
  </si>
  <si>
    <t>Opposed-Monopoly</t>
  </si>
  <si>
    <t>d9af9f65-07fe-444c-8c01-988ba46f0dd8</t>
  </si>
  <si>
    <t>Vandenberg</t>
  </si>
  <si>
    <t>Opposed-Terrible idea for Arizonans</t>
  </si>
  <si>
    <t>No MEP R3-47(175.40)</t>
  </si>
  <si>
    <t>875ccb5c-9979-44c4-9a66-cba3136c6929</t>
  </si>
  <si>
    <t>Downing</t>
  </si>
  <si>
    <t>Opposed-increase is 4X higher than prevailing inflation</t>
  </si>
  <si>
    <t>2235600000</t>
  </si>
  <si>
    <t>1fb619ee-7039-4b2e-9935-3ae4cf15cb40</t>
  </si>
  <si>
    <t>Marinero</t>
  </si>
  <si>
    <t>Walter</t>
  </si>
  <si>
    <t xml:space="preserve">Strongly Opposed- Undue and unsustainable financial burden </t>
  </si>
  <si>
    <t>No MEP R3-47(1039.42)</t>
  </si>
  <si>
    <t>10/10/2025 Left VM</t>
  </si>
  <si>
    <t>4bdb23b1-5213-442e-a750-1c7889421a44</t>
  </si>
  <si>
    <t>Sharley</t>
  </si>
  <si>
    <t>Opposed- Financial burden if passed</t>
  </si>
  <si>
    <t>https://docket.images.azcc.gov/E000046531.pdf</t>
  </si>
  <si>
    <t>762b919b-8d89-4e27-ad16-c3a39ec7ae9c</t>
  </si>
  <si>
    <t>Opposed-16.6% increase? That's Crazy!!!</t>
  </si>
  <si>
    <t>https://docket.images.azcc.gov/E000046900.pdf</t>
  </si>
  <si>
    <t>163d6eab-f398-4ef5-9e91-92b747050866</t>
  </si>
  <si>
    <t>Opposed- New Mexico bill is cheaper</t>
  </si>
  <si>
    <t>fe5612a4-1c39-4136-a61f-d23d9552f8ed</t>
  </si>
  <si>
    <t>Opposed-Pinnacle West netted 600 million in profit</t>
  </si>
  <si>
    <t>79fdc72a-f4ec-47cd-9b13-400640c78139</t>
  </si>
  <si>
    <t>Dagerman</t>
  </si>
  <si>
    <t>Opposed-Energy is a necessity not luxury</t>
  </si>
  <si>
    <t>Good payment history, shows a recent missed payment</t>
  </si>
  <si>
    <t>16988326-7081-444f-aa99-5732c6333332</t>
  </si>
  <si>
    <t>Denton</t>
  </si>
  <si>
    <t>Opposed, Ludicrous</t>
  </si>
  <si>
    <t>070d3637-aeb5-4986-b8b8-738ba27619c6</t>
  </si>
  <si>
    <t>Gina</t>
  </si>
  <si>
    <t>Strongly Oppose</t>
  </si>
  <si>
    <t>cc1b7fba-c96a-4b10-9f60-f78f53359370</t>
  </si>
  <si>
    <t>Friedman</t>
  </si>
  <si>
    <t>Ashleigh</t>
  </si>
  <si>
    <t>Opposed- too much wit increased cost of living</t>
  </si>
  <si>
    <t>aa83eec7-66ba-4df8-9313-b9464aa41936</t>
  </si>
  <si>
    <t>Sawyer</t>
  </si>
  <si>
    <t>Opposed-SRP model is superior</t>
  </si>
  <si>
    <t>4e0e550f-11a8-474f-afcb-2bcd681f27d6</t>
  </si>
  <si>
    <t>Suckow</t>
  </si>
  <si>
    <t>Opposed-Rates already incredibly high</t>
  </si>
  <si>
    <t>No MEP R3-47 (101.27)</t>
  </si>
  <si>
    <t>Cor will think about this and request a cb at her convenience</t>
  </si>
  <si>
    <t>6e09556f-93e0-4b7f-a9a6-8a689d216cd0</t>
  </si>
  <si>
    <t>Swett</t>
  </si>
  <si>
    <t>Paige</t>
  </si>
  <si>
    <t xml:space="preserve">Glendale </t>
  </si>
  <si>
    <t xml:space="preserve">Strongly against rate increase </t>
  </si>
  <si>
    <t>1756ad58-dc64-4fb0-bae8-5729b65d7aa1</t>
  </si>
  <si>
    <t xml:space="preserve">Mathews </t>
  </si>
  <si>
    <t>Dajiah</t>
  </si>
  <si>
    <t>Opposed-increase e3 and crises base lines to match</t>
  </si>
  <si>
    <t>https://docket.images.azcc.gov/E000046548.pdf</t>
  </si>
  <si>
    <t>390f6363-290d-4645-baf0-c59ea85e9765</t>
  </si>
  <si>
    <t>Norquist</t>
  </si>
  <si>
    <t>Paradise Valley</t>
  </si>
  <si>
    <t>Chip factories and AI are driving up costs</t>
  </si>
  <si>
    <t>2071fcc2-a133-460e-b30e-e6a2a9f264ed</t>
  </si>
  <si>
    <t>Hamilton</t>
  </si>
  <si>
    <t>Opposed-retired on a fixed income</t>
  </si>
  <si>
    <t>e10daa76-7531-4e86-929e-23f4ace9c6f3</t>
  </si>
  <si>
    <t>R</t>
  </si>
  <si>
    <t>Opposed-too many increases</t>
  </si>
  <si>
    <t>a063b335-2f65-4277-8d5d-44e61e6bbdc1</t>
  </si>
  <si>
    <t>Ilya</t>
  </si>
  <si>
    <t xml:space="preserve">Opposed- deep concern and frustration </t>
  </si>
  <si>
    <t>608378f9-7be4-45cb-8a34-fe7559c5916d</t>
  </si>
  <si>
    <t>Machuca</t>
  </si>
  <si>
    <t>Senorina</t>
  </si>
  <si>
    <t xml:space="preserve">El Mirage </t>
  </si>
  <si>
    <t>Opposed-600 million in net income</t>
  </si>
  <si>
    <t>cf403fc7-bddf-4e46-8134-9b0e73567368</t>
  </si>
  <si>
    <t>Bourdieu</t>
  </si>
  <si>
    <t>Krystal</t>
  </si>
  <si>
    <t xml:space="preserve">Opposed-2024 net income 600 million </t>
  </si>
  <si>
    <t>9b638afe-55ae-4d83-95bc-951e7229cb65</t>
  </si>
  <si>
    <t>Ruddy</t>
  </si>
  <si>
    <t>Cayla</t>
  </si>
  <si>
    <t>Opposed-APS is not interested in providing affordable energy</t>
  </si>
  <si>
    <t>9aa66329-aa33-489b-a397-bc9acf6a071e</t>
  </si>
  <si>
    <t>Toback</t>
  </si>
  <si>
    <t>Opposed-Average family wont be able to keep up</t>
  </si>
  <si>
    <t>f3fff2d1-34b6-4442-8339-57f49fca4775</t>
  </si>
  <si>
    <t>Phay</t>
  </si>
  <si>
    <t>Brittney</t>
  </si>
  <si>
    <t>Opposed-protect rate payers and reject this</t>
  </si>
  <si>
    <t>eabd2841-4abe-4bd1-b8e1-903e6ff9bc85</t>
  </si>
  <si>
    <t>Sexton</t>
  </si>
  <si>
    <t>No MEP R-XS ($126.36)</t>
  </si>
  <si>
    <t>Will reassign soon</t>
  </si>
  <si>
    <t>63605b03-a30d-4d56-bee3-2c180e2a17b7</t>
  </si>
  <si>
    <t>Freda</t>
  </si>
  <si>
    <t>Opposed-other utilities have increased</t>
  </si>
  <si>
    <t>005e10d2-0169-4ee7-8c4b-daf8947793fd</t>
  </si>
  <si>
    <t>Vollmer</t>
  </si>
  <si>
    <t>Opposed-Bogus rate increase, money grab</t>
  </si>
  <si>
    <t>657cce64-2d4f-49bd-ab8c-ec094333d0d1</t>
  </si>
  <si>
    <t>Schiff</t>
  </si>
  <si>
    <t>89fc3260-5f9d-440b-a0b9-fda6fbfa456f</t>
  </si>
  <si>
    <t>Knaeble</t>
  </si>
  <si>
    <t>Opposed-Charge data centers more</t>
  </si>
  <si>
    <t>132105fb-3eb0-4225-8be3-1c607de72944</t>
  </si>
  <si>
    <t>Valerio</t>
  </si>
  <si>
    <t>Veronica R.</t>
  </si>
  <si>
    <t>Opposed-increase is concerning</t>
  </si>
  <si>
    <t>5328e76e-2d75-474c-bcf1-d0bd873d028e</t>
  </si>
  <si>
    <t>9/192025</t>
  </si>
  <si>
    <t>adb36b94-3474-4a44-bace-8c39d6e90369</t>
  </si>
  <si>
    <t>Eggert</t>
  </si>
  <si>
    <t>Opposed-Is there a reason AZ doesn’t allow competition?</t>
  </si>
  <si>
    <t>5a586fa5-711c-4388-bfc4-3e8853427ec6</t>
  </si>
  <si>
    <t>Bottlinger</t>
  </si>
  <si>
    <t>Janelle</t>
  </si>
  <si>
    <t>Rates are extremely expensive</t>
  </si>
  <si>
    <t>Filed Multiple Complaints</t>
  </si>
  <si>
    <t>f0d6d201-2a43-46c7-982d-5989e7384b7a</t>
  </si>
  <si>
    <t>306f69c5-70a3-413b-a9ad-067f96318895</t>
  </si>
  <si>
    <t>Romesburg</t>
  </si>
  <si>
    <t>Denise</t>
  </si>
  <si>
    <t>APS does not need a rate hike</t>
  </si>
  <si>
    <t>2f22fe9f-2024-4567-9d6c-31be92c77a5c</t>
  </si>
  <si>
    <t>Gibson</t>
  </si>
  <si>
    <t>No one can keep up with their bills</t>
  </si>
  <si>
    <t>043774f8-afc0-4472-b8d1-b9e846a2f35e</t>
  </si>
  <si>
    <t>Lorig</t>
  </si>
  <si>
    <t>Apache Jct</t>
  </si>
  <si>
    <t>My mom wont be able to afford to eat</t>
  </si>
  <si>
    <t>e0b8c836-9238-4eec-8745-d4c9f2a1c1fb</t>
  </si>
  <si>
    <t>Haggard</t>
  </si>
  <si>
    <t>Opposed- no reason for a rate hike</t>
  </si>
  <si>
    <t>83afeb0c-b412-45af-a2f0-0ab59ea7c4e0</t>
  </si>
  <si>
    <t>Pickett</t>
  </si>
  <si>
    <t>Opposed- impacting working income families</t>
  </si>
  <si>
    <t>31cfb538-4440-4452-b35b-7b54bc029689</t>
  </si>
  <si>
    <t>Baskovitz</t>
  </si>
  <si>
    <t>Opposed- Monopoly energy market</t>
  </si>
  <si>
    <t>4277b52d-57d2-4dd3-afd4-c2a3b6ddb71a</t>
  </si>
  <si>
    <t>Peralta</t>
  </si>
  <si>
    <t>Opposed-We need full disclosure on spending</t>
  </si>
  <si>
    <t>f1a16227-09ef-4ddc-92b2-7839c13608bb</t>
  </si>
  <si>
    <t>LeVangie</t>
  </si>
  <si>
    <t>Opposed-I'm moving to SRP territory</t>
  </si>
  <si>
    <t>f6402cef-7927-4d0e-a9d5-0868ae423a3b</t>
  </si>
  <si>
    <t>Connie</t>
  </si>
  <si>
    <t>ee15408c-5e71-4e4d-a891-df60f97dfcda</t>
  </si>
  <si>
    <t>Owsley</t>
  </si>
  <si>
    <t>Dawn</t>
  </si>
  <si>
    <t>Unacceptable- will leave many unable to pay their bills</t>
  </si>
  <si>
    <t>80785c9d-6b04-4315-a1c2-f2c3960cab53</t>
  </si>
  <si>
    <t>Castano</t>
  </si>
  <si>
    <t>Opposed-already struggling with cost of living</t>
  </si>
  <si>
    <t>49b54510-242b-4464-972a-b7d8c9316869</t>
  </si>
  <si>
    <t>Madilyn</t>
  </si>
  <si>
    <t>Opposed-prioritizes share holders over customers</t>
  </si>
  <si>
    <t>https://docket.images.azcc.gov/E000046578.pdf</t>
  </si>
  <si>
    <t>No MEP R-BASIC ($254.29)</t>
  </si>
  <si>
    <t>Will cb at a later time - Final Bill Sent 10/27</t>
  </si>
  <si>
    <t>f71ea3cc-b9e5-4a60-857e-875be2568801</t>
  </si>
  <si>
    <t>Mulugen</t>
  </si>
  <si>
    <t>Strongly Oppose formula rates, unaffordable</t>
  </si>
  <si>
    <t>ca6f0dfd-77a2-41bc-8c4c-9cae3ba365b6</t>
  </si>
  <si>
    <t>Addair</t>
  </si>
  <si>
    <t>SRP is cheaper</t>
  </si>
  <si>
    <t>867db51a-1d45-4740-92db-c7f8affd5c79</t>
  </si>
  <si>
    <t>McCloskey</t>
  </si>
  <si>
    <t>d2f5762a-0da5-4805-b41a-2fad59fbc51c</t>
  </si>
  <si>
    <t>Barley</t>
  </si>
  <si>
    <t>Kaitlynne</t>
  </si>
  <si>
    <t>Strongly Opposed</t>
  </si>
  <si>
    <t>48f8e644-56a3-4886-ba81-958525d89600</t>
  </si>
  <si>
    <t>APS needs to be kept inn check and ave rates controlled</t>
  </si>
  <si>
    <t>No MEP R3-47 ($65.89)</t>
  </si>
  <si>
    <t>106d53ac-dadc-4f00-861b-605211afa262</t>
  </si>
  <si>
    <t>Hoffner</t>
  </si>
  <si>
    <t>No MEP R3-47 ($91.07)</t>
  </si>
  <si>
    <t>60ed96b3-1b3c-439b-b939-79468decb35c</t>
  </si>
  <si>
    <t>Pablo</t>
  </si>
  <si>
    <t>Power is already expensive</t>
  </si>
  <si>
    <t>No MEP R3-47 ($310.77)</t>
  </si>
  <si>
    <t>bbcec25f-63e9-4e5d-b57c-aef79004ba9a</t>
  </si>
  <si>
    <t>Barbarite</t>
  </si>
  <si>
    <t>Absolutely Unjust</t>
  </si>
  <si>
    <t>ac5b58a4-5892-4535-85c2-99b269f40ee9</t>
  </si>
  <si>
    <t>McElroy</t>
  </si>
  <si>
    <t>Opposed-Money grab</t>
  </si>
  <si>
    <t>63f0c03f-83d2-4222-ac7b-61163711fe31</t>
  </si>
  <si>
    <t>Rooen</t>
  </si>
  <si>
    <t>Cheyenne</t>
  </si>
  <si>
    <t>I cannot afford this</t>
  </si>
  <si>
    <t>72cea331-90bf-47f7-98af-af6699c1d1e0</t>
  </si>
  <si>
    <t>Opposed-Unacceptable</t>
  </si>
  <si>
    <t>9cfe5b3d-1abe-4f2c-bece-016a16a0ae21</t>
  </si>
  <si>
    <t>Valdivia</t>
  </si>
  <si>
    <t>Why put everyone in a worse situation</t>
  </si>
  <si>
    <t>d52341e0-c539-45fe-8052-888ca8dc645b</t>
  </si>
  <si>
    <t>Opposed-High cost of living- living paycheck to paycheck</t>
  </si>
  <si>
    <t>9ad7bd79-a4b6-40e9-a110-c757e195a2b9</t>
  </si>
  <si>
    <t>Barone</t>
  </si>
  <si>
    <t>Opposed-Prices too high</t>
  </si>
  <si>
    <t>bde03103-566f-4a57-a2ee-215513f8186c</t>
  </si>
  <si>
    <t>Mccann</t>
  </si>
  <si>
    <t>Haley</t>
  </si>
  <si>
    <t xml:space="preserve">People can barely afford electricity as is now </t>
  </si>
  <si>
    <t>3c06f40e-7761-4f67-b872-8e1e115b006e</t>
  </si>
  <si>
    <t>Warneke</t>
  </si>
  <si>
    <t>I do not wish any further increases in APS rates</t>
  </si>
  <si>
    <t>https://docket.images.azcc.gov/E000046586.pdf</t>
  </si>
  <si>
    <t>051bfc3b-ffbd-40c9-9ac5-991d56f08e1c</t>
  </si>
  <si>
    <t>Ross</t>
  </si>
  <si>
    <t>Shelreece</t>
  </si>
  <si>
    <t>77d39a58-acc0-44be-b71a-f35c50d6167d</t>
  </si>
  <si>
    <t>Dueringer</t>
  </si>
  <si>
    <t>Helen</t>
  </si>
  <si>
    <t>Rates should only be risen for Commercial properties</t>
  </si>
  <si>
    <t>https://docket.images.azcc.gov/E000046579.pdf</t>
  </si>
  <si>
    <t>dc1f1662-1ba1-483c-87fb-5dea16885a94</t>
  </si>
  <si>
    <t>De Santiago</t>
  </si>
  <si>
    <t>Marisol</t>
  </si>
  <si>
    <t>I object</t>
  </si>
  <si>
    <t>No MEP R3-47(104.05)</t>
  </si>
  <si>
    <t>Cor will remain on current plan</t>
  </si>
  <si>
    <t>c8f5588b-3126-481c-85a6-83f5f366ac42</t>
  </si>
  <si>
    <t>Mckinney</t>
  </si>
  <si>
    <t>Strongly disagree</t>
  </si>
  <si>
    <t>f93b20f1-a9ad-4348-b04c-6ee01fea922b</t>
  </si>
  <si>
    <t>Cisneros</t>
  </si>
  <si>
    <t>Completely against any increase in prices</t>
  </si>
  <si>
    <t>52b00ea3-7c08-4385-9331-e86ca3ab2fad</t>
  </si>
  <si>
    <t>Perkins</t>
  </si>
  <si>
    <t>Rayney</t>
  </si>
  <si>
    <t>Opposed- Single income family of 8</t>
  </si>
  <si>
    <t>1055401000</t>
  </si>
  <si>
    <t>a67e1ea6-f0e3-4593-9b3c-1cdb395e09f8</t>
  </si>
  <si>
    <t>Skaric</t>
  </si>
  <si>
    <t>Miroslav</t>
  </si>
  <si>
    <t>APS fees are outrageous</t>
  </si>
  <si>
    <t>https://docket.images.azcc.gov/E000046826.pdf</t>
  </si>
  <si>
    <t>f77e4e18-e836-4188-be70-f2471bee2f8a</t>
  </si>
  <si>
    <t>Opposed-already struggling with the last increase</t>
  </si>
  <si>
    <t>314f078e-9f6a-48a8-b94b-11db10633096</t>
  </si>
  <si>
    <t>I am against the rate increase</t>
  </si>
  <si>
    <t>https://docket.images.azcc.gov/E000046638.pdf</t>
  </si>
  <si>
    <t>e970e771-8831-40b4-9e3e-3f7f30d228c6</t>
  </si>
  <si>
    <t>Hakes</t>
  </si>
  <si>
    <t>Linnea</t>
  </si>
  <si>
    <t>Camp Verde</t>
  </si>
  <si>
    <t>It’s a shame for APS to think of raising rates</t>
  </si>
  <si>
    <t>4774490000</t>
  </si>
  <si>
    <t>No MEP RTOUE ($149.70)</t>
  </si>
  <si>
    <t>801bd8f7-620e-41c5-bcf4-646da86d96dd</t>
  </si>
  <si>
    <t xml:space="preserve">Nelson </t>
  </si>
  <si>
    <t>Opposed-Bills are unaffordable</t>
  </si>
  <si>
    <t>6fdeaa82-1a49-4bdf-90b9-8e26d5ffbdd4</t>
  </si>
  <si>
    <t>Fenton</t>
  </si>
  <si>
    <t>Fixed Income, cannot afford an increase</t>
  </si>
  <si>
    <t>80402bea-abba-4979-b7b4-354b014b93e0</t>
  </si>
  <si>
    <t>Apostolides</t>
  </si>
  <si>
    <t>Opposed and upset over fuel pricing</t>
  </si>
  <si>
    <t>First SA is on MEP, Second SA could save $41.57 on Tier 2 (should be reassigned next month)</t>
  </si>
  <si>
    <t>c0b8c073-a3fc-4d44-8e55-941bcc5e4065</t>
  </si>
  <si>
    <t>Lynne</t>
  </si>
  <si>
    <t>Opposed-Outrageous</t>
  </si>
  <si>
    <t>4875921000</t>
  </si>
  <si>
    <t>4cf90669-fa73-49e3-af82-fe74e15f2381</t>
  </si>
  <si>
    <t>Wheeler</t>
  </si>
  <si>
    <t>Opposed-CEO needs a pay cut</t>
  </si>
  <si>
    <t>https://docket.images.azcc.gov/E000046665.pdf</t>
  </si>
  <si>
    <t>9ffc2d7b-ff28-49bb-8b46-e34ddc3110c2</t>
  </si>
  <si>
    <t>Huina</t>
  </si>
  <si>
    <t>My husband and I are really upset about it</t>
  </si>
  <si>
    <t>https://docket.images.azcc.gov/E000046645.pdf</t>
  </si>
  <si>
    <t>7ab7cde3-c2c0-4c4e-8445-69f434043ca6</t>
  </si>
  <si>
    <t>Gonzales</t>
  </si>
  <si>
    <t>Opposed-I don’t want to use aps but have no choice</t>
  </si>
  <si>
    <t>059c17d0-4c6b-45d8-8cc4-a094fb53a61b</t>
  </si>
  <si>
    <t>Please consider delaying rate increase</t>
  </si>
  <si>
    <t>https://docket.images.azcc.gov/E000046726.pdf</t>
  </si>
  <si>
    <t>8344c859-bdd9-41e4-8aa0-b63c5aed697d</t>
  </si>
  <si>
    <t>Hage</t>
  </si>
  <si>
    <t>What cost cutting measures has aps taken internally?</t>
  </si>
  <si>
    <t>df96effa-1de2-4810-8c1e-82efb098f64d</t>
  </si>
  <si>
    <t>Gerblick</t>
  </si>
  <si>
    <t>Alison</t>
  </si>
  <si>
    <t>Opposed-AC is a necessity not a luxury for survival</t>
  </si>
  <si>
    <t>b4a4d563-3cf7-4522-bc73-5e062a6dbecd</t>
  </si>
  <si>
    <t>Elliot</t>
  </si>
  <si>
    <t>Opposed-Stop wasting our hard earned money</t>
  </si>
  <si>
    <t>059b80e9-98be-49a1-bf6d-526992abbea0</t>
  </si>
  <si>
    <t>Gillespie</t>
  </si>
  <si>
    <t>Elissa</t>
  </si>
  <si>
    <t>Opposed-request something more inline with inflation</t>
  </si>
  <si>
    <t>4722240000</t>
  </si>
  <si>
    <t>22631607-1216-42fb-a1b7-5fbdafcd723e</t>
  </si>
  <si>
    <t>Mankiewicz</t>
  </si>
  <si>
    <t>Leo</t>
  </si>
  <si>
    <t>Unacceptable</t>
  </si>
  <si>
    <t>https://docket.images.azcc.gov/E000046710.pdf</t>
  </si>
  <si>
    <t>811b9c81-c667-4b8c-9811-d16f28804de9</t>
  </si>
  <si>
    <t>Trethewey</t>
  </si>
  <si>
    <t>Rate increase outpasses the rate of inflation</t>
  </si>
  <si>
    <t>61be27b7-2072-4c21-89e5-7ce2947d62bc</t>
  </si>
  <si>
    <t>Opposed-highway robbery</t>
  </si>
  <si>
    <t>Filed complaint with AG and ACC</t>
  </si>
  <si>
    <t>53947bea-9016-421e-ae1b-8fec9475d0f6</t>
  </si>
  <si>
    <t>Dietrich</t>
  </si>
  <si>
    <t>Enough is enough with increases</t>
  </si>
  <si>
    <t>Not eligible</t>
  </si>
  <si>
    <t>Non-AMI customer</t>
  </si>
  <si>
    <t>e98bbd82-3549-417e-b184-5ab97a9644dc</t>
  </si>
  <si>
    <t>Morales</t>
  </si>
  <si>
    <t>Linnette</t>
  </si>
  <si>
    <t>No MEP R-XS(143.13)</t>
  </si>
  <si>
    <t xml:space="preserve">Cor is satisfied with her current service plan </t>
  </si>
  <si>
    <t>254d5ae2-0e7d-4914-8a48-6aec1381b2da</t>
  </si>
  <si>
    <t>Kapolas</t>
  </si>
  <si>
    <t>From letter</t>
  </si>
  <si>
    <t>No MEP R3-47(7.05)</t>
  </si>
  <si>
    <t>51633cfa-d1dc-4de6-bf69-8b255a87ad24</t>
  </si>
  <si>
    <t>Eskew</t>
  </si>
  <si>
    <t>Kendall</t>
  </si>
  <si>
    <t>Opposed- Solar customers are to shoulder the financial burden</t>
  </si>
  <si>
    <t>https://docket.images.azcc.gov/E000046709.pdf</t>
  </si>
  <si>
    <t>No MEP R3-47(23.91)</t>
  </si>
  <si>
    <t>1b905bb1-91a6-466c-b640-cd88efba7710</t>
  </si>
  <si>
    <t>Hughes</t>
  </si>
  <si>
    <t>Joy</t>
  </si>
  <si>
    <t>Simply too high</t>
  </si>
  <si>
    <t>https://docket.images.azcc.gov/E000046762.pdf</t>
  </si>
  <si>
    <t>1fe139d8-5f65-4d69-887e-b8cf34f131cd</t>
  </si>
  <si>
    <t>Lynch</t>
  </si>
  <si>
    <t>Blake</t>
  </si>
  <si>
    <t xml:space="preserve">Opposed-Why are you letting aps increase their rates </t>
  </si>
  <si>
    <t>https://docket.images.azcc.gov/E000046791.pdf</t>
  </si>
  <si>
    <t>4ba2f2a5-2270-4ef3-b1fb-40cca0607648</t>
  </si>
  <si>
    <t>Kozerski</t>
  </si>
  <si>
    <t>Alaxandra</t>
  </si>
  <si>
    <t>https://edocket.azcc.gov/search/document-search/item-detail/448293</t>
  </si>
  <si>
    <t>66636ca8-901a-4636-9f3e-bcfadcddd4ab</t>
  </si>
  <si>
    <t>Respectfully Opposed-already financially strained</t>
  </si>
  <si>
    <t>Recently changed from Basic to R-EV</t>
  </si>
  <si>
    <t>513e9dd9-2dd2-4271-a604-92caa4ddb591</t>
  </si>
  <si>
    <t>Opposed-Phoenix families are struggling</t>
  </si>
  <si>
    <t>https://docket.images.azcc.gov/E000046833.pdf</t>
  </si>
  <si>
    <t>1a615daa-8650-49e5-9999-12f2ef6823e3</t>
  </si>
  <si>
    <t>11ea24cd-b7bf-4c44-8a87-13ec9a140e01</t>
  </si>
  <si>
    <t>Hellring</t>
  </si>
  <si>
    <t>Opposed-no salary has seen an equivalent increase</t>
  </si>
  <si>
    <t>https://docket.images.azcc.gov/E000046843.pdf</t>
  </si>
  <si>
    <t>e31ec807-f847-450d-a8d0-b69b7b0a26ae</t>
  </si>
  <si>
    <t>Elofson</t>
  </si>
  <si>
    <t>Opposed-limited income</t>
  </si>
  <si>
    <t>https://docket.images.azcc.gov/E000046876.pdf</t>
  </si>
  <si>
    <t>R-XS//R-2</t>
  </si>
  <si>
    <t>Yes/Frozen</t>
  </si>
  <si>
    <t>16b64a10-7958-41c8-884a-e72f0adff837</t>
  </si>
  <si>
    <t>Moffat</t>
  </si>
  <si>
    <t xml:space="preserve">Opposed-I find it appalling </t>
  </si>
  <si>
    <t>da4dbe85-eaf0-43b1-9be8-fa2758a0c889</t>
  </si>
  <si>
    <t>Retiree, increase will cause hardship</t>
  </si>
  <si>
    <t>No MEP R-BASIC(90.00)</t>
  </si>
  <si>
    <t>f245c46f-da9b-4536-948f-becc632cc2e1</t>
  </si>
  <si>
    <t>Stephen</t>
  </si>
  <si>
    <t>Totally inappropriate</t>
  </si>
  <si>
    <t>e26cd969-6ea7-4420-a498-c5d3fae2e54a</t>
  </si>
  <si>
    <t>Colan</t>
  </si>
  <si>
    <t>549789ab-3a17-4a58-8bae-838096bc5422</t>
  </si>
  <si>
    <t>Whitmore</t>
  </si>
  <si>
    <t>Clarkdale</t>
  </si>
  <si>
    <t>01c67c33-ad5a-480e-9101-d6b403d6dfe5</t>
  </si>
  <si>
    <t>Konves</t>
  </si>
  <si>
    <t>Courtney</t>
  </si>
  <si>
    <t>Opposed, struggling to make ends meet</t>
  </si>
  <si>
    <t>8255ae19-74a3-4498-aad8-0017f642e977</t>
  </si>
  <si>
    <t>Colbett</t>
  </si>
  <si>
    <t>Opposed-Senior Citizen limited/fixed income</t>
  </si>
  <si>
    <t>278cf4bf-f96f-45b8-902b-ab4f5f5aaab0</t>
  </si>
  <si>
    <t>Pavlov</t>
  </si>
  <si>
    <t>David&amp;Tiffany</t>
  </si>
  <si>
    <t>Opposed- unaffordable</t>
  </si>
  <si>
    <t>99b04919-a2df-4a8f-a51e-4a9cd7616c61</t>
  </si>
  <si>
    <t>Bois</t>
  </si>
  <si>
    <t>Garret</t>
  </si>
  <si>
    <t>40741f09-0599-4dad-85be-6a92db785654</t>
  </si>
  <si>
    <t>Yoon</t>
  </si>
  <si>
    <t>Eunice</t>
  </si>
  <si>
    <t>Opposed-Prioritize cost control</t>
  </si>
  <si>
    <t>6c435449-d8f2-4aab-a4a7-2b940b9b5dda</t>
  </si>
  <si>
    <t>Tornetta</t>
  </si>
  <si>
    <t>Opposed-please consider seniors,families,fixed income</t>
  </si>
  <si>
    <t>No MEP R3-47(68.47)</t>
  </si>
  <si>
    <t>bc25be3f-bd07-440a-905e-b4ecb9487386</t>
  </si>
  <si>
    <t>Vallabhaneni</t>
  </si>
  <si>
    <t>Kamala</t>
  </si>
  <si>
    <t>Opposed-Simply too much</t>
  </si>
  <si>
    <t>https://docket.images.azcc.gov/E000046911.pdf</t>
  </si>
  <si>
    <t>c0a3fb1c-8686-4e4d-bfe5-fae5d27dbf73</t>
  </si>
  <si>
    <t>Petition-21</t>
  </si>
  <si>
    <t>Petition</t>
  </si>
  <si>
    <t>Multiple</t>
  </si>
  <si>
    <t xml:space="preserve">This opposition has multiple customer signatures </t>
  </si>
  <si>
    <t>00aac946-fa99-4bfa-ba40-01d014cebb10</t>
  </si>
  <si>
    <t>Petition-200</t>
  </si>
  <si>
    <t>3dbeac98-4837-4081-8c7b-62a05d4522ea</t>
  </si>
  <si>
    <t>Star Valley</t>
  </si>
  <si>
    <t>Opposed-APS is attempting to influence legislature</t>
  </si>
  <si>
    <t>4a8b19a8-1439-475c-b6fc-232edfd2b0d8</t>
  </si>
  <si>
    <t>1a416167-e1f5-4cec-a898-b71a5f03c811</t>
  </si>
  <si>
    <t>67246d21-026b-414b-a607-599c90d9f893</t>
  </si>
  <si>
    <t>Petition-131</t>
  </si>
  <si>
    <t>f3bc585c-d6c5-43c4-80e6-54c7484021e3</t>
  </si>
  <si>
    <t>Rademacher</t>
  </si>
  <si>
    <t>Judy</t>
  </si>
  <si>
    <t>Opposed-Fixed Income</t>
  </si>
  <si>
    <t>fd199fca-4bfa-4188-afbe-4749ee740753</t>
  </si>
  <si>
    <t>Curtis</t>
  </si>
  <si>
    <t>Opposed-I will discontinue my solar service</t>
  </si>
  <si>
    <t>d6a3cad4-4d3d-46a2-bca3-09ca0c2a4636</t>
  </si>
  <si>
    <t>Behike</t>
  </si>
  <si>
    <t>https://docket.images.azcc.gov/E000046970.pdf</t>
  </si>
  <si>
    <t>7b99a797-1225-41f1-b6e1-5faf66fa6534</t>
  </si>
  <si>
    <t>Mary Lynee</t>
  </si>
  <si>
    <t>Urging you all to vote no on the APS request</t>
  </si>
  <si>
    <t xml:space="preserve">2 SAs </t>
  </si>
  <si>
    <t>85618dca-541d-451f-aa32-9ab4ab9e3960</t>
  </si>
  <si>
    <t>Spencer</t>
  </si>
  <si>
    <t>Unreasonable ever-increasing rates</t>
  </si>
  <si>
    <t>921e23cd-664d-4fa6-a43e-68ff658645f7</t>
  </si>
  <si>
    <t>Eason</t>
  </si>
  <si>
    <t>This rate hike would be deeply burdensome to families, seniors and working individuals</t>
  </si>
  <si>
    <t>Solar Communities</t>
  </si>
  <si>
    <t>bc2c5be7-d84b-4e98-867f-9707ad69cbf9</t>
  </si>
  <si>
    <t>unreasonable, unjustified, and harmful to Arizona families, schools, and small businesses.</t>
  </si>
  <si>
    <t>924cf6b1-b402-4a15-a6c8-a98674d16246</t>
  </si>
  <si>
    <t>Express concerns with proposal to increase rates without appropriately considering the contribution of residential solar users</t>
  </si>
  <si>
    <t>f7445d55-9dbd-40c2-bd57-1608389039a4</t>
  </si>
  <si>
    <t>Hall</t>
  </si>
  <si>
    <t>Rate hike would place an even heavier financial burden on families, seniors, and small businesses across our state.</t>
  </si>
  <si>
    <t>8fe64111-8e9f-4cf0-adde-c8353efa8b9b</t>
  </si>
  <si>
    <t>Quinte</t>
  </si>
  <si>
    <t>Roger</t>
  </si>
  <si>
    <t>Form Letter: Enough is enough! You must reject the latest 14% rate hikes by APS and TEP</t>
  </si>
  <si>
    <t>EPR-6w/ECT-2</t>
  </si>
  <si>
    <t>c6937c11-3875-4d86-8da0-ea144896a4f8</t>
  </si>
  <si>
    <t>Ratner</t>
  </si>
  <si>
    <t>Low fixed income cannot afford such huge rate increases</t>
  </si>
  <si>
    <t>Non-AMI customer, has filed multiple ACC complaints and rate case comments over the years</t>
  </si>
  <si>
    <t>d3c5a368-bb7d-42e4-a84f-bdb4bf82835e</t>
  </si>
  <si>
    <t>Tucson</t>
  </si>
  <si>
    <t>c67af366-8301-4a62-996a-5ddf64023dcf</t>
  </si>
  <si>
    <t>Ufnal</t>
  </si>
  <si>
    <t>Jerry</t>
  </si>
  <si>
    <t>3a16df5a-0959-4e17-81fb-706957e72096</t>
  </si>
  <si>
    <t>Arbizu</t>
  </si>
  <si>
    <t>Angelina</t>
  </si>
  <si>
    <t>6ecfa810-7023-4268-8b52-eebacc512aad</t>
  </si>
  <si>
    <t>Myers</t>
  </si>
  <si>
    <t xml:space="preserve">No MEP R3-47 ($272.50) </t>
  </si>
  <si>
    <t>d6e4eaf1-8907-462e-bc3e-47f23e1d1476</t>
  </si>
  <si>
    <t>Holcombe</t>
  </si>
  <si>
    <t>Gene</t>
  </si>
  <si>
    <t>Only 3  months in new location and 2 months since solar was installed. Requested rate online 10/8 - moving to R3-47</t>
  </si>
  <si>
    <t>93d017ff-37e5-4b1c-bea9-c5ea320a3b50</t>
  </si>
  <si>
    <t>Ogledzinski</t>
  </si>
  <si>
    <t>1cb4044b-4c45-40b3-a117-c1edbf936b17</t>
  </si>
  <si>
    <t>Youngker</t>
  </si>
  <si>
    <t>Virginia</t>
  </si>
  <si>
    <t>No MEP R3-47 ($991.58)</t>
  </si>
  <si>
    <t>10/15 Left VM, payment history shows several missed payments and broken PAs</t>
  </si>
  <si>
    <t>2cd0ce91-9526-4a85-8bdf-a8c4d9cd884b</t>
  </si>
  <si>
    <t>Mahr</t>
  </si>
  <si>
    <t>RM</t>
  </si>
  <si>
    <t>Homeowners are being asked to pay for the new infrastructure required for the new data centers</t>
  </si>
  <si>
    <t>96f522fa-1f8e-4cd5-9871-d0282703b856</t>
  </si>
  <si>
    <t>Jones</t>
  </si>
  <si>
    <t>Opposed - unfair and biased commission</t>
  </si>
  <si>
    <t>https://docket.images.azcc.gov/E000046988.pdf</t>
  </si>
  <si>
    <t>a5a2a499-62a6-4bba-ad2f-c24c8ff3d54c</t>
  </si>
  <si>
    <t>Hartley</t>
  </si>
  <si>
    <t>Collene</t>
  </si>
  <si>
    <t>2ca29ebf-8c81-4298-b913-e3a10dadf816</t>
  </si>
  <si>
    <t>Warnecke</t>
  </si>
  <si>
    <t>Kristi</t>
  </si>
  <si>
    <t>Senior on fixed income, could be choosing between air conditioning and medicine</t>
  </si>
  <si>
    <t>f9981f5f-6dd8-42f6-bd7f-38c4b3b30d1e</t>
  </si>
  <si>
    <t>Noffsinger</t>
  </si>
  <si>
    <t>fa2087e7-1914-4979-8409-15cc3f26c4d4</t>
  </si>
  <si>
    <t>Exempt 25% energy discount program customers from proposed rate increase</t>
  </si>
  <si>
    <t>17b30591-f70e-4fe9-b106-19bc6067a485</t>
  </si>
  <si>
    <t>1b43aff0-cc0b-4c24-8ea1-2f167ca04d89</t>
  </si>
  <si>
    <t>Foti</t>
  </si>
  <si>
    <t>Opposed - Arizonans are already struggling with inflation</t>
  </si>
  <si>
    <t>https://docket.images.azcc.gov/E000047024.pdf</t>
  </si>
  <si>
    <t>No MEP R-XS ($108.43)</t>
  </si>
  <si>
    <t>10/17 Left VM</t>
  </si>
  <si>
    <t>5e22e8a9-5326-4968-8553-68f810aa8d3f</t>
  </si>
  <si>
    <t>Haden</t>
  </si>
  <si>
    <t>https://docket.images.azcc.gov/E000046996.pdf</t>
  </si>
  <si>
    <t>No MEP R3-47 ($43.09)</t>
  </si>
  <si>
    <t>Signed petition 8</t>
  </si>
  <si>
    <t>b91310c9-426b-4b88-a71c-de0ec0363ed8</t>
  </si>
  <si>
    <t>Grimwood</t>
  </si>
  <si>
    <t>No MEP R3-47 ($437.04)</t>
  </si>
  <si>
    <t>Signed petition 8 - 10/17 Left VM</t>
  </si>
  <si>
    <t>8118a2db-00ef-4740-903c-2efaf04f4022</t>
  </si>
  <si>
    <t>Linzey</t>
  </si>
  <si>
    <t>Benson</t>
  </si>
  <si>
    <t>015cf1af-fd17-44ee-8254-bf2870ae25b4</t>
  </si>
  <si>
    <t>Gibbons</t>
  </si>
  <si>
    <t>TJ</t>
  </si>
  <si>
    <t>fc156044-432b-48fa-817a-0faedefaf306</t>
  </si>
  <si>
    <t>Guertin</t>
  </si>
  <si>
    <t>ebe776b7-9793-4991-ac98-ab784ed1a343</t>
  </si>
  <si>
    <t>Pollock</t>
  </si>
  <si>
    <t>Signed petition 8 - Filed same letter again on 10/27</t>
  </si>
  <si>
    <t>1f6921e6-5d6e-46fe-aa23-f42ca3cd58a8</t>
  </si>
  <si>
    <t>Shem</t>
  </si>
  <si>
    <t>b2126273-10d3-4cdc-9590-8504470cc943</t>
  </si>
  <si>
    <t>https://docket.images.azcc.gov/E000047057.pdf</t>
  </si>
  <si>
    <t>8edd746f-9322-41f7-9bc8-0f0a88325dab</t>
  </si>
  <si>
    <t>Ufinal</t>
  </si>
  <si>
    <t>f8e82733-4ce9-4ae6-9716-f56f1030a0bb</t>
  </si>
  <si>
    <t>Roxanne</t>
  </si>
  <si>
    <t>19ec85c4-0b49-4e96-a7c5-484150a56eed</t>
  </si>
  <si>
    <t>Yarber</t>
  </si>
  <si>
    <t>Seligman</t>
  </si>
  <si>
    <t>Do not allow APS to constantly raise their rates</t>
  </si>
  <si>
    <t>https://docket.images.azcc.gov/E000047007.pdf</t>
  </si>
  <si>
    <t>2f479194-0db0-4ef9-907f-cf456e17a420</t>
  </si>
  <si>
    <t>Robnett</t>
  </si>
  <si>
    <t>Sierra Vista</t>
  </si>
  <si>
    <t>What are you doing to stop this from happening?</t>
  </si>
  <si>
    <t>d6f8c832-3ffd-4e0e-acf9-017a90512915</t>
  </si>
  <si>
    <t>49418110-b152-4c09-927b-7b9fd1b622d9</t>
  </si>
  <si>
    <t>APS  needs to work with the ACC for these increases</t>
  </si>
  <si>
    <t>https://docket.images.azcc.gov/E000047028.pdf</t>
  </si>
  <si>
    <t>7a90296a-b371-45be-bb3b-65b353f92d49</t>
  </si>
  <si>
    <t>Settje</t>
  </si>
  <si>
    <t>Tonto Basin</t>
  </si>
  <si>
    <t>Off-peak/demand income and demand charges after outages</t>
  </si>
  <si>
    <t>https://docket.images.azcc.gov/E000047034.pdf</t>
  </si>
  <si>
    <t>8a813fdb-b354-48aa-ab25-7db2a8360d15</t>
  </si>
  <si>
    <t>Terrie</t>
  </si>
  <si>
    <t>Opposed, significant burden, especially when cost of living continued to rise</t>
  </si>
  <si>
    <t>https://docket.images.azcc.gov/E000047053.pdf</t>
  </si>
  <si>
    <t>ac2ea6c8-a78b-45af-a85c-1b012c700298</t>
  </si>
  <si>
    <t>Brent</t>
  </si>
  <si>
    <t>Opposed, vote for something more reasonable</t>
  </si>
  <si>
    <t>https://docket.images.azcc.gov/E000047091.pdf</t>
  </si>
  <si>
    <t>a8266586-6ae1-4359-a2c4-49f445f77218</t>
  </si>
  <si>
    <t>Terranova</t>
  </si>
  <si>
    <t>belt-tightening needed here</t>
  </si>
  <si>
    <t>No MEP R3-47 ($42.77)</t>
  </si>
  <si>
    <t>Mr. Terranova filed a separate ACC complaint on 9/30 regarding the price he sells back his solar. Beth spoke with him.</t>
  </si>
  <si>
    <t>31ca5646-fe2c-41ce-aad2-2fee4f62d19e</t>
  </si>
  <si>
    <t>Hecht</t>
  </si>
  <si>
    <t>Justine</t>
  </si>
  <si>
    <t>03fd380a-d9a0-45a9-83a0-aac9711a695a</t>
  </si>
  <si>
    <t xml:space="preserve">Form letter </t>
  </si>
  <si>
    <t>cc5cf8d4-cd34-4159-886b-8f8852bd63c2</t>
  </si>
  <si>
    <t>VanCleave</t>
  </si>
  <si>
    <t>Magi</t>
  </si>
  <si>
    <t>Pad corporate profits at the expense of AZ consumers</t>
  </si>
  <si>
    <t>No MEP TOUE ($29.42)</t>
  </si>
  <si>
    <t>b88d7b4c-a0ea-4ccb-b29f-e71033a3f1e5</t>
  </si>
  <si>
    <t>Ariana</t>
  </si>
  <si>
    <t>Against the proposed rate increase</t>
  </si>
  <si>
    <t>6f582f67-e35d-4605-8543-ac16511cb1d9</t>
  </si>
  <si>
    <t>Punishing for having solar</t>
  </si>
  <si>
    <t>https://docket.images.azcc.gov/E000047066.pdf</t>
  </si>
  <si>
    <t>57c79d4a-7f6f-4223-9a71-bd98d0eb2108</t>
  </si>
  <si>
    <t>Vermillion</t>
  </si>
  <si>
    <t>The increase is absolutely absurd</t>
  </si>
  <si>
    <t>539a8d5a-a8e6-4bd0-b8c3-d1018905f2fa</t>
  </si>
  <si>
    <t>Wittie</t>
  </si>
  <si>
    <t>Please do not vote for the APS rate increase</t>
  </si>
  <si>
    <t>d0b7ceaa-36e6-4fa4-9c02-3f7bd5762aec</t>
  </si>
  <si>
    <t>Meixler</t>
  </si>
  <si>
    <t>Lakeside</t>
  </si>
  <si>
    <t>Revoke net zero plans for 2050</t>
  </si>
  <si>
    <t>https://docket.images.azcc.gov/E000047064.pdf</t>
  </si>
  <si>
    <t>2feebafe-33d2-406c-9c46-535f2f5b730a</t>
  </si>
  <si>
    <t>Coking</t>
  </si>
  <si>
    <t>e5d8c860-e625-4805-a412-475addcb4a51</t>
  </si>
  <si>
    <t>Margolis</t>
  </si>
  <si>
    <t>Express my frustration and disappointment regarding the recent rate increases</t>
  </si>
  <si>
    <t>https://docket.images.azcc.gov/E000047089.pdf</t>
  </si>
  <si>
    <t>Moving to R-XS</t>
  </si>
  <si>
    <t>3b37bab8-3985-4817-9101-41ab44301f37</t>
  </si>
  <si>
    <t>Lagerquist</t>
  </si>
  <si>
    <t>That's not a reasonable increase!</t>
  </si>
  <si>
    <t>https://docket.images.azcc.gov/E000047105.pdf</t>
  </si>
  <si>
    <t>11399de7-c470-450d-be0f-abb59cb579ec</t>
  </si>
  <si>
    <t>Rudy</t>
  </si>
  <si>
    <t>Major hardship for my family. My solar benefits APS</t>
  </si>
  <si>
    <t>69d0c169-ea0a-4842-a4c5-d9cf29ab7971</t>
  </si>
  <si>
    <t>Raymer</t>
  </si>
  <si>
    <t>Charge high users such as data centers an excessive use fee</t>
  </si>
  <si>
    <t>https://docket.images.azcc.gov/E000047136.pdf</t>
  </si>
  <si>
    <t>7e38bf97-250d-4f7c-9d2a-8681d851e3f6</t>
  </si>
  <si>
    <t xml:space="preserve">Object to any rate increases </t>
  </si>
  <si>
    <t>f5cb3638-4908-492b-80f7-df9abad01787</t>
  </si>
  <si>
    <t>Davenport</t>
  </si>
  <si>
    <t>Preston</t>
  </si>
  <si>
    <t>Rate hike would make it harder for working residents - concerned that this appears to subsidize data centers</t>
  </si>
  <si>
    <t>No MEP R3-47 ($84.40)</t>
  </si>
  <si>
    <t>03ce8a99-ec0d-4507-8d35-8aa1cb7eba3e</t>
  </si>
  <si>
    <t>White</t>
  </si>
  <si>
    <t>Decline their request for a rate increase</t>
  </si>
  <si>
    <t>https://docket.images.azcc.gov/E000047160.pdf</t>
  </si>
  <si>
    <t>1bc1eef7-09f9-4812-bacc-93dcebd715d3</t>
  </si>
  <si>
    <t>97c98952-bb96-4031-aca6-71d0d9dce4ce</t>
  </si>
  <si>
    <t>Koval</t>
  </si>
  <si>
    <t>Jane</t>
  </si>
  <si>
    <t>Supports the expansion and updates for energy infrastructure</t>
  </si>
  <si>
    <t>https://docket.images.azcc.gov/E000047140.pdf</t>
  </si>
  <si>
    <t>6cff56b5-c983-4639-ac8c-4d50a58215b1</t>
  </si>
  <si>
    <t>Bennett</t>
  </si>
  <si>
    <t>Too many rate increases</t>
  </si>
  <si>
    <t>https://docket.images.azcc.gov/E000047139.pdf</t>
  </si>
  <si>
    <t>2616411000</t>
  </si>
  <si>
    <t>bc1e8be6-9ded-48a0-9953-bcaa75ee6a8e</t>
  </si>
  <si>
    <t>Vanessa</t>
  </si>
  <si>
    <t>Outrageous, on-peak plan is horrible, charging more when consumers are home</t>
  </si>
  <si>
    <t>1692aabb-464f-49b2-9d24-8c775bb1d38e</t>
  </si>
  <si>
    <t>Graig</t>
  </si>
  <si>
    <t>14% increase will hurt people on a fixed income</t>
  </si>
  <si>
    <t>467d380c-0504-4c82-89cc-7e0c0c8a86de</t>
  </si>
  <si>
    <t>Greig</t>
  </si>
  <si>
    <t>Can't afford increase, especially after being deceived by Odin Energy with our solar panels</t>
  </si>
  <si>
    <t>https://docket.images.azcc.gov/E000047166.pdf</t>
  </si>
  <si>
    <t>b859f229-a776-4186-9fdd-9b0db1165c59</t>
  </si>
  <si>
    <t>Toro</t>
  </si>
  <si>
    <t>Petty</t>
  </si>
  <si>
    <t>I object to this rate increase due to the excessive executive pay</t>
  </si>
  <si>
    <t>https://docket.images.azcc.gov/E000047175.pdf</t>
  </si>
  <si>
    <t>cf330b22-a187-4f0d-8540-2d30c4e656f6</t>
  </si>
  <si>
    <t>Hagen</t>
  </si>
  <si>
    <t>Rates are already too high and lack of competition</t>
  </si>
  <si>
    <t>7c6a3e8a-8a94-483c-b656-9d47dc3da61a</t>
  </si>
  <si>
    <t>Dayton</t>
  </si>
  <si>
    <t>For families like mine, the continued rise in utility costs presents a significant burden.</t>
  </si>
  <si>
    <t>3dab9f54-908b-4ca3-888d-ea10cdda0613</t>
  </si>
  <si>
    <t>Summons</t>
  </si>
  <si>
    <t>https://docket.images.azcc.gov/E000047191.pdf</t>
  </si>
  <si>
    <t>No MEP R3-47 ($3.61)</t>
  </si>
  <si>
    <t>7865ff21-65a5-47ce-ab69-13888c3a22cf</t>
  </si>
  <si>
    <t>Larsen</t>
  </si>
  <si>
    <t xml:space="preserve">Strongly against and simply repulsed </t>
  </si>
  <si>
    <t>c67a512a-82b0-47a5-86ba-b5ff448639fd</t>
  </si>
  <si>
    <t>Byman</t>
  </si>
  <si>
    <t>https://docket.images.azcc.gov/E000047270.pdf</t>
  </si>
  <si>
    <t>No MEP RTOUE ($1.30)</t>
  </si>
  <si>
    <t>8708a5a1-d472-432b-b594-febdfc444d9e</t>
  </si>
  <si>
    <t>Kourtney</t>
  </si>
  <si>
    <t>5944764e-2050-4be2-81ba-9e90b1afc110</t>
  </si>
  <si>
    <t>Skoog</t>
  </si>
  <si>
    <t>Bridget</t>
  </si>
  <si>
    <t>927904ff-2693-4530-a445-db3251667e5b</t>
  </si>
  <si>
    <t>Castellanos</t>
  </si>
  <si>
    <t>c4139589-6e68-4be9-82a4-4a115d60fa45</t>
  </si>
  <si>
    <t>Gaietto</t>
  </si>
  <si>
    <t>Vince</t>
  </si>
  <si>
    <t>c324e58a-1a85-492b-b7d1-42eb699fc502</t>
  </si>
  <si>
    <t>Cantore</t>
  </si>
  <si>
    <t>Xiomara</t>
  </si>
  <si>
    <t>No MEP RBASIC ($65.01)</t>
  </si>
  <si>
    <t>d8dd137c-6fc0-46ca-9189-ad60c38fd078</t>
  </si>
  <si>
    <t>Menjivar</t>
  </si>
  <si>
    <t>Edna</t>
  </si>
  <si>
    <t>abea51d4-69a4-4cb4-addf-da78495f69c4</t>
  </si>
  <si>
    <t>Marino</t>
  </si>
  <si>
    <t>Susie</t>
  </si>
  <si>
    <t>437f8759-d666-4951-b191-fdb89167aca0</t>
  </si>
  <si>
    <t>Lyda</t>
  </si>
  <si>
    <t>Marissa</t>
  </si>
  <si>
    <t>317df190-07f8-425b-874e-f8f881d28bff</t>
  </si>
  <si>
    <t>https://docket.images.azcc.gov/E000047255.pdf</t>
  </si>
  <si>
    <t>9606d8ef-d1a7-4762-91bd-51c196926808</t>
  </si>
  <si>
    <t>Jaffe</t>
  </si>
  <si>
    <t>Russell</t>
  </si>
  <si>
    <t>This is an insane request in these challenging times</t>
  </si>
  <si>
    <t>https://docket.images.azcc.gov/E000047250.pdf</t>
  </si>
  <si>
    <t>43e0fac8-8642-4562-846a-49e179944786</t>
  </si>
  <si>
    <t>Cota</t>
  </si>
  <si>
    <t>https://docket.images.azcc.gov/E000047297.pdf</t>
  </si>
  <si>
    <t>bc344c42-5bda-4ae3-b65f-637bd12fd762</t>
  </si>
  <si>
    <t>Soqui</t>
  </si>
  <si>
    <t>Jubal</t>
  </si>
  <si>
    <t>1c26df84-61e0-4adb-964d-b9daa5f97858</t>
  </si>
  <si>
    <t>541ef29a-2944-4e26-bc95-7d518b37f0f9</t>
  </si>
  <si>
    <t>Felicia</t>
  </si>
  <si>
    <t>693e267a-ed84-4e23-ae1c-40dcbadb922d</t>
  </si>
  <si>
    <t>197edb4a-067d-491c-a0a5-b94bedceab79</t>
  </si>
  <si>
    <t>Evans</t>
  </si>
  <si>
    <t>ae4c553a-bef2-4a9b-a9ac-da9b1f2a7e5a</t>
  </si>
  <si>
    <t>53508a37-877b-41df-9290-211844f3fa66</t>
  </si>
  <si>
    <t>Medina</t>
  </si>
  <si>
    <t>Alexandria</t>
  </si>
  <si>
    <t>ER-6w/ET-2</t>
  </si>
  <si>
    <t>749d589b-92c8-49a0-822f-49280b870cce</t>
  </si>
  <si>
    <t>Ponce</t>
  </si>
  <si>
    <t>Joi</t>
  </si>
  <si>
    <t>Form Letter: For families like mine this is simply too much</t>
  </si>
  <si>
    <t>https://docket.images.azcc.gov/E000047324.pdf</t>
  </si>
  <si>
    <t>c2f27d56-969d-412a-bae7-ae48be89c175</t>
  </si>
  <si>
    <t>Ortiz</t>
  </si>
  <si>
    <t>b657ae52-9df2-4f0b-a009-44f3d77d64cd</t>
  </si>
  <si>
    <t>Willeford</t>
  </si>
  <si>
    <t>Nolan</t>
  </si>
  <si>
    <t>14d6fe41-b894-4936-9fe7-1e72d3fbb016</t>
  </si>
  <si>
    <t>Koren</t>
  </si>
  <si>
    <t>61dfa938-b2db-46c2-a5be-2e1c03219bee</t>
  </si>
  <si>
    <t>That is an unacceptable increase</t>
  </si>
  <si>
    <t>668304c1-bcf1-44f1-846a-08d4956f3852</t>
  </si>
  <si>
    <t>Fisher</t>
  </si>
  <si>
    <t>Nathan</t>
  </si>
  <si>
    <t>16% increase is egregious</t>
  </si>
  <si>
    <t>f0dca2df-cee6-4e3d-b742-9b8c1d6c3442</t>
  </si>
  <si>
    <t>Prichard</t>
  </si>
  <si>
    <t>b5942fed-f125-49ac-ac59-a34d071cfe6d</t>
  </si>
  <si>
    <t>Barth</t>
  </si>
  <si>
    <t>Pat</t>
  </si>
  <si>
    <t>Protect Arizonans - Reject APS's 14% rate hike</t>
  </si>
  <si>
    <t>d45fdde3-472b-443d-bb92-af684ca28fd1</t>
  </si>
  <si>
    <t>I oppose the rate hike</t>
  </si>
  <si>
    <t>885642b0-4179-4914-95ba-b09aa827e8a1</t>
  </si>
  <si>
    <t>Cavanaugh</t>
  </si>
  <si>
    <t>aa926293-2b84-4bfe-ad3d-e740c38102e7</t>
  </si>
  <si>
    <t>Sundell</t>
  </si>
  <si>
    <t>As a senior citizen, this rate increase request will directly affect my financial situation.</t>
  </si>
  <si>
    <t>https://docket.images.azcc.gov/0000215502.pdf</t>
  </si>
  <si>
    <t>Previously filed two different ACC Complaints in 2021 and 2024</t>
  </si>
  <si>
    <t>a584913d-3bdf-44f5-acc1-2c3e9a8aad46</t>
  </si>
  <si>
    <t xml:space="preserve">Proposed rate increase will undoubtedly exacerbate the financial burden on the citizens of Glendale. </t>
  </si>
  <si>
    <t>https://docket.images.azcc.gov/0000215501.pdf</t>
  </si>
  <si>
    <t>90808ddb-78d8-46e8-8e93-36fcde15a31b</t>
  </si>
  <si>
    <t>Hayden</t>
  </si>
  <si>
    <t>Cezanne</t>
  </si>
  <si>
    <t>https://docket.images.azcc.gov/E000047338.pdf</t>
  </si>
  <si>
    <t>27a4f78f-2ce3-4aaf-8d5d-d7b6cf51de26</t>
  </si>
  <si>
    <t>Opposed, Infrastructure expansion caused by large commercial loads should be paid for by those same corporation</t>
  </si>
  <si>
    <t>d5cda3a8-5543-4513-9f26-3a740007f7dc</t>
  </si>
  <si>
    <t>Stines</t>
  </si>
  <si>
    <t>Stop net zero plans</t>
  </si>
  <si>
    <t>a5ec5d9d-2b83-45ee-b2df-15c1dbc6a111</t>
  </si>
  <si>
    <t>Barry</t>
  </si>
  <si>
    <t>rapid datacenter growth should not shift infrastructure and generation costs onto ordinary families.</t>
  </si>
  <si>
    <t>466c2992-5b12-46e4-ae73-9cb5067a1765</t>
  </si>
  <si>
    <t>Greg</t>
  </si>
  <si>
    <t>https://docket.images.azcc.gov/E000047365.pdf</t>
  </si>
  <si>
    <t>458aef3f-fbb5-4631-a8e3-982f4ff7a070</t>
  </si>
  <si>
    <t xml:space="preserve">Senior citizen, Opposed to the request for a fourteen percent raise in electrical rates. </t>
  </si>
  <si>
    <t>c16d1db5-5930-4d92-9fdc-19961a41ead5</t>
  </si>
  <si>
    <t>Rojas</t>
  </si>
  <si>
    <t>Chrystin &amp; Raul</t>
  </si>
  <si>
    <t>Concerns about the proposed rate increase and formula rate mechanism.</t>
  </si>
  <si>
    <t>e5218947-f481-4333-958c-4dfeba6db6d6</t>
  </si>
  <si>
    <t>No MEP R3-47 ($62.21)</t>
  </si>
  <si>
    <t xml:space="preserve">Assistance? In collections Note: Spanish Bill </t>
  </si>
  <si>
    <t>039149c3-2154-45df-b173-2be00e1f200a</t>
  </si>
  <si>
    <t>Nacinovich</t>
  </si>
  <si>
    <t>reject this proposed rate increase and to ensure that the financial responsibility for new grid demand falls on the businesses creating i</t>
  </si>
  <si>
    <t>8b2ba0af-4e04-4549-b1ed-db5b0d3a1578</t>
  </si>
  <si>
    <t>Drobnica</t>
  </si>
  <si>
    <t>Many customers are on a fixed income that isn't growing with the rates APS, Focus on providing safe, reliable and affordable energy not corporate philanthropy</t>
  </si>
  <si>
    <t>006a1bf1-86c0-4b87-8ce0-c0450d3019c8</t>
  </si>
  <si>
    <t>Susser</t>
  </si>
  <si>
    <t>Norm</t>
  </si>
  <si>
    <t>Fees, taxes, surcharges and adjustors seem excessive</t>
  </si>
  <si>
    <t>https://docket.images.azcc.gov/E000047398.pdf</t>
  </si>
  <si>
    <t>5e49025e-1984-4013-bdb3-e9c5fb726cd6</t>
  </si>
  <si>
    <t>No MEP R3-47 ($176.69)</t>
  </si>
  <si>
    <t>11/10 Left VM regarding MEP at Flagstaff SA</t>
  </si>
  <si>
    <t>eb71afaa-2233-4f21-94ef-1dc356c0ba0f</t>
  </si>
  <si>
    <t>Dershowitz</t>
  </si>
  <si>
    <t>SS going up 2.8%, suggest rate increase be limited to the same</t>
  </si>
  <si>
    <t>https://docket.images.azcc.gov/E000047371.pdf</t>
  </si>
  <si>
    <t>No MEP R3-47 ($255.76)</t>
  </si>
  <si>
    <t xml:space="preserve">11/10 Spoke to customer briefly then he said "leave me alone" and hung up. </t>
  </si>
  <si>
    <t>cf5c49e3-8252-415f-b709-018fabe53730</t>
  </si>
  <si>
    <t>Curds</t>
  </si>
  <si>
    <t>I oppose the rate hike. Bills are high enough. No one can survive paying $650.</t>
  </si>
  <si>
    <t>https://docket.images.azcc.gov/E000047425.pdf</t>
  </si>
  <si>
    <t>No MEP R3-47 ($113.52)</t>
  </si>
  <si>
    <t>Customer filed an ACC complaint 11/3</t>
  </si>
  <si>
    <t>8834167f-3b07-4b9a-a8af-8efcf40e76dd</t>
  </si>
  <si>
    <t>Doe</t>
  </si>
  <si>
    <t>Opposed to advertising at sports arena. Opposed to donations made to charity.</t>
  </si>
  <si>
    <t>8511e1ab-6484-4397-9240-ffc6c7ba2a12</t>
  </si>
  <si>
    <t>Thome</t>
  </si>
  <si>
    <t>Cari</t>
  </si>
  <si>
    <t>Opposed to another rate hike - they have frequently asked for rate increases</t>
  </si>
  <si>
    <t>a7815dd0-615b-4f42-a305-a0cc5e3ca167</t>
  </si>
  <si>
    <t>Huff</t>
  </si>
  <si>
    <t>High percentage of reitrees in Arizona who are on a fixed income. Data centers should pay for themselves.</t>
  </si>
  <si>
    <t>https://docket.images.azcc.gov/E000047417.pdf</t>
  </si>
  <si>
    <t>2ebd0fac-ed87-42a3-9b4d-1b3c58202549</t>
  </si>
  <si>
    <t>Boyd</t>
  </si>
  <si>
    <t>Magan</t>
  </si>
  <si>
    <t>Tonopah</t>
  </si>
  <si>
    <t>It makes no sense that the rates are higher… Issues with energy water agreements (PV).</t>
  </si>
  <si>
    <t>https://docket.images.azcc.gov/E000047432.pdf</t>
  </si>
  <si>
    <t>7c062ebb-817a-45d3-b5d2-7bc4bf19db00</t>
  </si>
  <si>
    <t>Smitt</t>
  </si>
  <si>
    <t>Erik</t>
  </si>
  <si>
    <t xml:space="preserve">Do not support green new deal nor the net zero </t>
  </si>
  <si>
    <t/>
  </si>
  <si>
    <t>ff45299d-89cb-4912-b498-ac00169f0ade</t>
  </si>
  <si>
    <t>Arnold</t>
  </si>
  <si>
    <t>Terrence</t>
  </si>
  <si>
    <t>The recent APS request to rate increase of 16% is absurd</t>
  </si>
  <si>
    <t>485fb6ef-8a69-4193-a138-704603a1a66a</t>
  </si>
  <si>
    <t>Elder</t>
  </si>
  <si>
    <t>Scottland</t>
  </si>
  <si>
    <t>https://docket.images.azcc.gov/E000047451.pdf</t>
  </si>
  <si>
    <t>ee186c0d-2a37-48ea-812e-942d5837aa3b</t>
  </si>
  <si>
    <t>Cordova</t>
  </si>
  <si>
    <t>Form Letter: Enough is enough! You must reject the latest 14% rate hikes by APS bby TEP</t>
  </si>
  <si>
    <t>ad687e18-aef1-4a4d-b589-b391b682c0ba</t>
  </si>
  <si>
    <t>Jeronimo</t>
  </si>
  <si>
    <t>Form Letter: Enough is enough! You must reject the latest 14% rate hikes by APS lda TEP</t>
  </si>
  <si>
    <t>Petition - Assistance?</t>
  </si>
  <si>
    <t>2e47a313-6c3d-4e02-a28d-d975bb37d43f</t>
  </si>
  <si>
    <t>Debrum</t>
  </si>
  <si>
    <t>Sophia</t>
  </si>
  <si>
    <t>Form Letter: Enough is enough! You must reject the latest 14% rate hikes by APS  TEP</t>
  </si>
  <si>
    <t>efd3a728-ad02-4d92-90d3-e833c826039d</t>
  </si>
  <si>
    <t>Bojado</t>
  </si>
  <si>
    <t>Form Letter: Enough is enough! You must reject the latest 14% rate hikes by APS a TEP</t>
  </si>
  <si>
    <t>14accaef-b927-403d-ae12-6d8ec0002a2e</t>
  </si>
  <si>
    <t>Fonseca</t>
  </si>
  <si>
    <t>f5368419-bd7a-42d9-a078-0d3df086f6ca</t>
  </si>
  <si>
    <t>Jasmine</t>
  </si>
  <si>
    <t>Form Letter: Enough is enough! You must reject the latest 14% rate hikes by APS e TEP</t>
  </si>
  <si>
    <t>5d93e032-1408-40ab-8fda-03823ed5fdf4</t>
  </si>
  <si>
    <t>Ellison</t>
  </si>
  <si>
    <t>Sylvia</t>
  </si>
  <si>
    <t xml:space="preserve">Opposed: No options other than APS. Senior Citizens, AC is a life saving need. </t>
  </si>
  <si>
    <t>https://docket.images.azcc.gov/E000047554.pdf?i=1763105891311</t>
  </si>
  <si>
    <t>e48ee6b9-9ff0-4f02-b298-d997f8c0f46e</t>
  </si>
  <si>
    <t>Krakora</t>
  </si>
  <si>
    <t>Opposed, As a retiree with a limited income, and do not qualify for assistance</t>
  </si>
  <si>
    <t>https://docket.images.azcc.gov/E000047658.pdf</t>
  </si>
  <si>
    <t>0c2cf62e-7611-4717-b5a5-dcbd59fb0630</t>
  </si>
  <si>
    <t>Anand</t>
  </si>
  <si>
    <t>Anupama</t>
  </si>
  <si>
    <t>Do not approve the proposed rate increase</t>
  </si>
  <si>
    <t>https://docket.images.azcc.gov/E000047665.pdf</t>
  </si>
  <si>
    <t>No MEP RTOU47 ($53.39)</t>
  </si>
  <si>
    <t>f7c1f175-ccf0-493e-a8b9-455c55318579</t>
  </si>
  <si>
    <t>Oswald</t>
  </si>
  <si>
    <t>Fred</t>
  </si>
  <si>
    <t>Rate hike is grossly excessive, oppose formula rates</t>
  </si>
  <si>
    <t>https://docket.images.azcc.gov/E000047735.pdf</t>
  </si>
  <si>
    <t>fc56a530-f965-4488-8c7e-9975bfb1bdd2</t>
  </si>
  <si>
    <t>Leeper</t>
  </si>
  <si>
    <t>Tom and Melissa</t>
  </si>
  <si>
    <t>Stop the proposed rate hikes</t>
  </si>
  <si>
    <t>https://docket.images.azcc.gov/E000047729.pdf</t>
  </si>
  <si>
    <t>EPR6w/ET-1</t>
  </si>
  <si>
    <t>35c8a2b0-8b43-4c06-9132-de1eb9215c99</t>
  </si>
  <si>
    <t xml:space="preserve">Cheri </t>
  </si>
  <si>
    <t>Opposed: Senior on a fixed income in a mobile home</t>
  </si>
  <si>
    <t>https://docket.images.azcc.gov/E000047757.pdf</t>
  </si>
  <si>
    <t>No MEP R-XS</t>
  </si>
  <si>
    <t>Should be automatically reassigned to Tier 1 this month</t>
  </si>
  <si>
    <t>80ab39d7-999c-4fe2-8181-2e10f5a867f2</t>
  </si>
  <si>
    <t>Koplan</t>
  </si>
  <si>
    <t>Katelyn</t>
  </si>
  <si>
    <t>I strongly urge you to reconsider this proposal in light of economic pressures facing Arizona families</t>
  </si>
  <si>
    <t>https://docket.images.azcc.gov/E000047784.pdf</t>
  </si>
  <si>
    <t>8321183a-09fe-4973-a700-91aa6d8fc868</t>
  </si>
  <si>
    <t>Buttler</t>
  </si>
  <si>
    <t>Carol and Alan</t>
  </si>
  <si>
    <t>ACC has obligation to protect APS customers from consistently high rate increases</t>
  </si>
  <si>
    <t>https://docket.images.azcc.gov/E000047808.pdf</t>
  </si>
  <si>
    <t>No MEP R-BASIC ($41.34)</t>
  </si>
  <si>
    <t>bfa4930b-23f9-490f-9ba2-72741e0691e7</t>
  </si>
  <si>
    <t>The proposed rate of increase on seniors is outrageous!</t>
  </si>
  <si>
    <t>a2c9192c-4b75-4afc-842c-535a4fb7e61d</t>
  </si>
  <si>
    <t>Putnam</t>
  </si>
  <si>
    <t>Marla</t>
  </si>
  <si>
    <t>The rates have steadily increased</t>
  </si>
  <si>
    <t>RCPw/TOUE</t>
  </si>
  <si>
    <t>92392e4a-8dc1-45dc-beb9-2808da68c016</t>
  </si>
  <si>
    <t>Anonymous</t>
  </si>
  <si>
    <t>I am against the APS rate increase</t>
  </si>
  <si>
    <t>https://docket.images.azcc.gov/E000047827.pdf</t>
  </si>
  <si>
    <t>a0c79566-d37c-47c6-9261-3c27ca79f914</t>
  </si>
  <si>
    <t>Adeline</t>
  </si>
  <si>
    <t>APS prices are too high</t>
  </si>
  <si>
    <t>ce15722e-d4b2-447d-8a11-555d3cdfb77f</t>
  </si>
  <si>
    <t>Dowling</t>
  </si>
  <si>
    <t>5b05b81c-a2d8-4356-8e72-d427554951cf</t>
  </si>
  <si>
    <t>Means</t>
  </si>
  <si>
    <t>Vote no</t>
  </si>
  <si>
    <t>https://docket.images.azcc.gov/E000047828.pdf?i=1764228532333</t>
  </si>
  <si>
    <t>1b0e90dc-c6cd-4283-babe-e6ded522e698</t>
  </si>
  <si>
    <t>Boontjer</t>
  </si>
  <si>
    <t>Ken and JoAnn</t>
  </si>
  <si>
    <t>Research APS net zero plan, open Cholla</t>
  </si>
  <si>
    <t>EPR6w/E-12</t>
  </si>
  <si>
    <t>fdabff68-b0be-4cc3-ba60-3b164a9ff805</t>
  </si>
  <si>
    <t>Kissling</t>
  </si>
  <si>
    <t xml:space="preserve">Shari </t>
  </si>
  <si>
    <t>stop approving rate increases</t>
  </si>
  <si>
    <t>https://docket.images.azcc.gov/E000047852.pdf</t>
  </si>
  <si>
    <t>6f59ee40-864b-41ca-8c44-5482eb46ecc4</t>
  </si>
  <si>
    <t>Logan</t>
  </si>
  <si>
    <t>https://docket.images.azcc.gov/E000047963.pdf</t>
  </si>
  <si>
    <t>6024fa6f-8759-4396-a974-79ecfb198eda</t>
  </si>
  <si>
    <t>Spence</t>
  </si>
  <si>
    <t>Stop the price hike that APS is planning to impose.</t>
  </si>
  <si>
    <t>https://docket.images.azcc.gov/E000047971.pdf</t>
  </si>
  <si>
    <t>611abb38-f2a4-449c-8ba4-4f779272d29a</t>
  </si>
  <si>
    <t>Palomera</t>
  </si>
  <si>
    <t>https://docket.images.azcc.gov/E000047935.pdf</t>
  </si>
  <si>
    <t>No MEP R-BASIC ($167.08)</t>
  </si>
  <si>
    <t>7d053866-986f-45aa-ac35-9ca114ec81ca</t>
  </si>
  <si>
    <t>Salaiz</t>
  </si>
  <si>
    <t>Stefanie</t>
  </si>
  <si>
    <t>4105a331-b5ab-41dd-81ef-7cd952c12e7f</t>
  </si>
  <si>
    <t>Walberg</t>
  </si>
  <si>
    <t xml:space="preserve">I am a middle class single mom on a teacher income. I don't qualilfy for assistance. </t>
  </si>
  <si>
    <t>EPR6-ET-1</t>
  </si>
  <si>
    <t>a7b66d1d-2e32-4b64-b375-344e67ae9e4d</t>
  </si>
  <si>
    <t>Charlene</t>
  </si>
  <si>
    <t>No more rate increases. We are struggling to pay already!</t>
  </si>
  <si>
    <t>No MEP R3-47 ($295.17)</t>
  </si>
  <si>
    <t>16407f33-704c-4f37-8296-142f0e92fedb</t>
  </si>
  <si>
    <t>Wallach</t>
  </si>
  <si>
    <t>Kurt</t>
  </si>
  <si>
    <t xml:space="preserve">I am voicing concern over repeated rate requests from APS. </t>
  </si>
  <si>
    <t>30fbc3d3-7361-4a58-9950-74bdd252e690</t>
  </si>
  <si>
    <t>Hayes</t>
  </si>
  <si>
    <t>There is no need to increase residential rates. we are already paying an all-time high</t>
  </si>
  <si>
    <t>ac97984b-54ae-4e02-aa36-5b7c84404501</t>
  </si>
  <si>
    <t>Barbosa</t>
  </si>
  <si>
    <t>Beatriz</t>
  </si>
  <si>
    <t>Whittmann</t>
  </si>
  <si>
    <t>fa705286-22e0-447d-9f1e-c34c01ddb20f</t>
  </si>
  <si>
    <t>Cassandra</t>
  </si>
  <si>
    <t>Opposed rate hike, increase solar buy back.</t>
  </si>
  <si>
    <t>3e57db39-4c4c-41b0-a9e1-77aecc13622d</t>
  </si>
  <si>
    <t>Rodriquez</t>
  </si>
  <si>
    <t>Jennav</t>
  </si>
  <si>
    <t>ad6f8619-bf06-491b-a142-23485d0036f3</t>
  </si>
  <si>
    <t>9f312001-6463-4980-8d40-0df77d37096f</t>
  </si>
  <si>
    <t>Ghiardi</t>
  </si>
  <si>
    <t>Opposed to rate hike and solar fee. Main lines going to data centers</t>
  </si>
  <si>
    <t>1d3711eb-71ad-43fa-8f3c-c516e5cb7381</t>
  </si>
  <si>
    <t>T</t>
  </si>
  <si>
    <t>https://docket.images.azcc.gov/E000048010.pdf</t>
  </si>
  <si>
    <t>dd920117-d046-4e6c-afb0-321757735120</t>
  </si>
  <si>
    <t>Elleray</t>
  </si>
  <si>
    <t>Philip and Vicky</t>
  </si>
  <si>
    <t xml:space="preserve"> For a retired person and disabled veteran, that is an excessive rate increase</t>
  </si>
  <si>
    <t>https://docket.images.azcc.gov/E000047995.pdf</t>
  </si>
  <si>
    <t>de6c3c08-1f63-4c4c-a259-f9bd4faf736a</t>
  </si>
  <si>
    <t>Pedroza</t>
  </si>
  <si>
    <t>Maricela</t>
  </si>
  <si>
    <t>I do not want to turn on the air conditioning because the cost of electricity is too high.</t>
  </si>
  <si>
    <t>https://docket.images.azcc.gov/0000215712.pdf</t>
  </si>
  <si>
    <t>Spanish letter docketed</t>
  </si>
  <si>
    <t>0b06759a-6caf-42e4-aeed-8179b61086ac</t>
  </si>
  <si>
    <t>Pichardo</t>
  </si>
  <si>
    <t xml:space="preserve">Martha C. </t>
  </si>
  <si>
    <t>It is too expensive. I can hardly decide whether to pay for electricity or buy food.</t>
  </si>
  <si>
    <t>9f0e0240-2fe4-4c85-b670-e026f3e26c0b</t>
  </si>
  <si>
    <t>Elizarraras</t>
  </si>
  <si>
    <t>Juana</t>
  </si>
  <si>
    <t>For equity and humanity in this state of heat, they should not be supporting so many increases.</t>
  </si>
  <si>
    <t>75fead17-c55f-4ac7-9100-7a1d8634425f</t>
  </si>
  <si>
    <t>Isidro Chavez</t>
  </si>
  <si>
    <t>We have to buy basic things like food and other services, and adjust our base salary to cover</t>
  </si>
  <si>
    <t>e49a2539-3f5e-406e-a2e3-2856d547b334</t>
  </si>
  <si>
    <t xml:space="preserve">Wages have been the same for years while payments keep rising, </t>
  </si>
  <si>
    <t>68a68745-77e9-4ae2-9ea3-66879c2dfde5</t>
  </si>
  <si>
    <t>Eriksen</t>
  </si>
  <si>
    <t xml:space="preserve">Maria </t>
  </si>
  <si>
    <t>I would tell APS to stop increasing rates because this will affect our low-income population</t>
  </si>
  <si>
    <t>No MEP R-XS ($51.48)</t>
  </si>
  <si>
    <t>Spanish letter docketed, Customer should automatically be reassigned to R-XS tier 1</t>
  </si>
  <si>
    <t>b07e2b18-1687-4905-af51-38e3c8664115</t>
  </si>
  <si>
    <t>For me, it wasn't too expensive because I was in a program</t>
  </si>
  <si>
    <t>c4ae6036-6b99-40f3-b011-1f0cf6ddf0c0</t>
  </si>
  <si>
    <t>Clara Alvaro</t>
  </si>
  <si>
    <t>I have to limit buying food in order to pay for electricity because it is not easy to pay for everything</t>
  </si>
  <si>
    <t>8878399f-09c4-4c7d-8896-d1c4c5f407a6</t>
  </si>
  <si>
    <t>Juan</t>
  </si>
  <si>
    <t>Ambrocia Sausado</t>
  </si>
  <si>
    <t>I dont earn enough to pay all my expenses with increase in electricity</t>
  </si>
  <si>
    <t>564df326-5e17-491c-9d37-d3606551f8a5</t>
  </si>
  <si>
    <t>Armando</t>
  </si>
  <si>
    <t>my finances off balance because the cost keeps increasing,</t>
  </si>
  <si>
    <t>78fc2ab1-eb62-44b6-baa3-65c96010c86b</t>
  </si>
  <si>
    <t>Loaizd</t>
  </si>
  <si>
    <t>Jasmin</t>
  </si>
  <si>
    <t>Sacrafice buying food or turning on the lights</t>
  </si>
  <si>
    <t>2120f40f-712f-4b19-b9d4-59e68e31e287</t>
  </si>
  <si>
    <t>Saurez</t>
  </si>
  <si>
    <t>Hellen</t>
  </si>
  <si>
    <t>Would have to choose between which bill to pay first</t>
  </si>
  <si>
    <t>fefa3e3c-db22-42c9-93db-4f3937503e8a</t>
  </si>
  <si>
    <t>Minnesota</t>
  </si>
  <si>
    <t>Dorothy</t>
  </si>
  <si>
    <t>Fixed income, my pay doesn't go up at this rate</t>
  </si>
  <si>
    <t>a8fd2907-b818-4fe4-9f72-38a5a99d3276</t>
  </si>
  <si>
    <t>Energy charges are already my 2nd largest expense</t>
  </si>
  <si>
    <t>abcbef5a-779e-4986-9ec1-09b698b920bc</t>
  </si>
  <si>
    <t>Marisela</t>
  </si>
  <si>
    <t>Make decisions between buying groceries and cooling down my house</t>
  </si>
  <si>
    <t>RTOU47</t>
  </si>
  <si>
    <t>No MEP R3-47 ($116.16)</t>
  </si>
  <si>
    <t>Please contact customer regarding plan options</t>
  </si>
  <si>
    <t>3e4b8185-9794-493e-8b31-6e3154e5a152</t>
  </si>
  <si>
    <t>Deja</t>
  </si>
  <si>
    <t>working overtime to be able to afford to just llive, another increase is unacceptable</t>
  </si>
  <si>
    <t>2d36d86f-c4dc-4813-9784-16e444108d41</t>
  </si>
  <si>
    <t>Chaves</t>
  </si>
  <si>
    <t>Diana Trejo</t>
  </si>
  <si>
    <t>My dad works overtime in the heat to keep up with the bills</t>
  </si>
  <si>
    <t>c89119f0-51a5-4041-b614-01660f403241</t>
  </si>
  <si>
    <t>Fernatt</t>
  </si>
  <si>
    <t>ACC should consider the needs of the citzens</t>
  </si>
  <si>
    <t>cf24fdf9-1c05-43c2-9bd0-10faf07ef375</t>
  </si>
  <si>
    <t>Behreas</t>
  </si>
  <si>
    <t>Rosario</t>
  </si>
  <si>
    <t>Energy costs already affect everyone's quality of life</t>
  </si>
  <si>
    <t>d6edb07b-b390-4746-b030-46a57cb2ff30</t>
  </si>
  <si>
    <t>Ulin</t>
  </si>
  <si>
    <t>Unacceptable to me that the ACC would approve such an enormous rate hike</t>
  </si>
  <si>
    <t>No MEP R3-47 ($8.47)</t>
  </si>
  <si>
    <t>b6b26ccc-d288-4b6a-846b-da3f432c0919</t>
  </si>
  <si>
    <t>Silva</t>
  </si>
  <si>
    <t>Knor</t>
  </si>
  <si>
    <t>I have to choose between paying the electricity bill or paying for the food I put on the table for my family or their medications</t>
  </si>
  <si>
    <t>fabc9484-e044-4d71-bda7-4cee577b46e7</t>
  </si>
  <si>
    <t>Alcazar</t>
  </si>
  <si>
    <t xml:space="preserve">Jose P. </t>
  </si>
  <si>
    <t>To be able to pay for energy, I have to limit my spending on basic needs such as food, clothing, and health</t>
  </si>
  <si>
    <t>50ac8e1e-818f-41a1-911d-d2d9b92a9669</t>
  </si>
  <si>
    <t>Habern</t>
  </si>
  <si>
    <t>Marianna</t>
  </si>
  <si>
    <t>My wages have not increased at all while APS makes record profits</t>
  </si>
  <si>
    <t>e1416228-9e08-4b15-bc5e-4a7d827c7613</t>
  </si>
  <si>
    <t>Curiel</t>
  </si>
  <si>
    <t>Lahayla</t>
  </si>
  <si>
    <t>A higher utility bill will compete with my grocery bills</t>
  </si>
  <si>
    <t>3edbdd11-9d2d-4177-95ca-bd4b502f9ece</t>
  </si>
  <si>
    <t>Jorge</t>
  </si>
  <si>
    <t>ACC needs to represent the people not the corporations</t>
  </si>
  <si>
    <t>0d54b7e0-e50a-4eac-894e-b79ac420683b</t>
  </si>
  <si>
    <t>Ballmann</t>
  </si>
  <si>
    <t>Beth</t>
  </si>
  <si>
    <t>Seek solutions that will lower rates for all of Arizona</t>
  </si>
  <si>
    <t>0fcaf492-c21e-49ae-a8dc-38f370f6f8fc</t>
  </si>
  <si>
    <t>Avila</t>
  </si>
  <si>
    <t>Lidia</t>
  </si>
  <si>
    <t>lt affects my health a lot with the stress. If I cannot afford the bills</t>
  </si>
  <si>
    <t>f2b36b3e-053f-4544-91f7-676ae2eb6bde</t>
  </si>
  <si>
    <t>Leticia</t>
  </si>
  <si>
    <t>These increases affect poor families the most</t>
  </si>
  <si>
    <t>1efe5e66-88f4-445a-bca3-6e44ef0c6162</t>
  </si>
  <si>
    <t>Aricelia</t>
  </si>
  <si>
    <t>The ACC should vote against an increase because of corporate profits and econimic situation</t>
  </si>
  <si>
    <t>43af8882-c6e7-4553-9040-b99ec0551750</t>
  </si>
  <si>
    <t>Ruelas</t>
  </si>
  <si>
    <t>Thais Beltran</t>
  </si>
  <si>
    <t>Vote against it becuase it's just unreasonable</t>
  </si>
  <si>
    <t>a043e004-dbd8-447b-9892-5df6edb57163</t>
  </si>
  <si>
    <t>Cuevas</t>
  </si>
  <si>
    <t xml:space="preserve">Italia M. </t>
  </si>
  <si>
    <t>Pheonix</t>
  </si>
  <si>
    <t xml:space="preserve">In addition to paying for the solar panels, I continue to receive a high bill from SRP. </t>
  </si>
  <si>
    <t>47c434e3-8c8f-4e7b-b628-2edaff541df9</t>
  </si>
  <si>
    <t>Elva</t>
  </si>
  <si>
    <t>58affa9f-6dc3-4d6e-a7a7-5151c422a9fb</t>
  </si>
  <si>
    <t>Twitchell</t>
  </si>
  <si>
    <t xml:space="preserve">Melissa </t>
  </si>
  <si>
    <t>Seems like it would be absolutely crippling if it goes any higher.</t>
  </si>
  <si>
    <t>https://docket.images.azcc.gov/E000048049.pdf</t>
  </si>
  <si>
    <t>Multiple Accts</t>
  </si>
  <si>
    <t>R-XS and EPR6w/ET-2</t>
  </si>
  <si>
    <t>1fa3647c-2f22-44bf-97ca-85e21d1c4a8b</t>
  </si>
  <si>
    <t>Marrapodi</t>
  </si>
  <si>
    <t>I believe this request is unjustified and harmful to ordinary ratepayers</t>
  </si>
  <si>
    <t>https://docket.images.azcc.gov/E000048069.pdf</t>
  </si>
  <si>
    <t>No MEP R3-47 ($139.25)</t>
  </si>
  <si>
    <t>8cb18833-c822-4aea-9b6f-bf2c7ad49301</t>
  </si>
  <si>
    <t>Greene</t>
  </si>
  <si>
    <t>Small business owner against proposed rate increase</t>
  </si>
  <si>
    <t>https://docket.images.azcc.gov/E000048180.pdf</t>
  </si>
  <si>
    <t>604fb473-43fd-4bd1-bc29-b245918ab203</t>
  </si>
  <si>
    <t>Ranchhod</t>
  </si>
  <si>
    <t>Kamal</t>
  </si>
  <si>
    <t>Opposed: Retired on fixed income</t>
  </si>
  <si>
    <t>d5f8ed46-9045-419b-be3f-a5a93fbcea2b</t>
  </si>
  <si>
    <t>Saez</t>
  </si>
  <si>
    <t>Elia</t>
  </si>
  <si>
    <t>We need the ACC to stand up for Arizona households</t>
  </si>
  <si>
    <t>RCPw/TOUE-47</t>
  </si>
  <si>
    <t>2cd69e6e-04d5-4d32-ac94-83581825bb8b</t>
  </si>
  <si>
    <t>Barrett</t>
  </si>
  <si>
    <t>On a fixed income- this rate increase is unjustified</t>
  </si>
  <si>
    <t>RCPw/R2</t>
  </si>
  <si>
    <t>Frozen Plan</t>
  </si>
  <si>
    <t>3f2a5c14-f308-4ac2-9538-49e75508c7d1</t>
  </si>
  <si>
    <t>https://docket.images.azcc.gov/E000048199.pdf</t>
  </si>
  <si>
    <t>3641365b-f28b-4a7f-851e-c936a611c7c3</t>
  </si>
  <si>
    <t>Opposed - against solar and wind, only reliable sources are nuclear, hydro-electric, natural gas and coal.</t>
  </si>
  <si>
    <t>https://docket.images.azcc.gov/E000048206.pdf</t>
  </si>
  <si>
    <t>96368705-81ce-41de-b47a-40c54a11dd8c</t>
  </si>
  <si>
    <t>Diaz</t>
  </si>
  <si>
    <t>Valandra</t>
  </si>
  <si>
    <t>Opposed to water rate increases from Global Water Resources</t>
  </si>
  <si>
    <t>https://docket.images.azcc.gov/E000048235.pdf</t>
  </si>
  <si>
    <t>0775a206-e1d6-4c43-ac4b-81d876cdbc97</t>
  </si>
  <si>
    <t>Espinoza</t>
  </si>
  <si>
    <t>Las Vegas</t>
  </si>
  <si>
    <t>Against the recent decision to approve the Bring Your Own Device battery program</t>
  </si>
  <si>
    <t>https://docket.images.azcc.gov/E000048229.pdf</t>
  </si>
  <si>
    <t>2dfceb3f-ba8e-4f47-95ed-ce309afada2f</t>
  </si>
  <si>
    <t>This is getting out of hand! It's time for a change at ACC</t>
  </si>
  <si>
    <t>https://docket.images.azcc.gov/E000048266.pdf</t>
  </si>
  <si>
    <t>c83c42b2-ef85-4c9d-aac6-0431a9ed76ba</t>
  </si>
  <si>
    <t>Hotham</t>
  </si>
  <si>
    <t xml:space="preserve">Sharon </t>
  </si>
  <si>
    <t>https://docket.images.azcc.gov/E000048302.pdf</t>
  </si>
  <si>
    <t>No MEP R3-47 ($232.55)</t>
  </si>
  <si>
    <t>7e2be087-5055-41fb-a7f6-1e93e8cb1e4e</t>
  </si>
  <si>
    <t>Anissa</t>
  </si>
  <si>
    <t>5901b76a-2fd3-48de-a11d-ccc64ca33dca</t>
  </si>
  <si>
    <t>Kaeleigh</t>
  </si>
  <si>
    <t>Daza-Smith</t>
  </si>
  <si>
    <t>https://docket.images.azcc.gov/E000048311.pdf</t>
  </si>
  <si>
    <t>ab5edcbf-1997-4bbc-a1da-10b84392eb44</t>
  </si>
  <si>
    <t>Kaitlyn Q</t>
  </si>
  <si>
    <t>0ce3f352-d1e9-4709-98ce-81652c6dd548</t>
  </si>
  <si>
    <t>Posey</t>
  </si>
  <si>
    <t>No MEP R3-47 ($326.27)</t>
  </si>
  <si>
    <t>Please contact customer regarding plan options and assistance programs</t>
  </si>
  <si>
    <t>b1cf0939-0c13-432e-8a7c-2478963ad43f</t>
  </si>
  <si>
    <t>Marmor</t>
  </si>
  <si>
    <t>aee4ea58-1ce9-4cf2-8f5a-b23f7a316485</t>
  </si>
  <si>
    <t>Arvizu</t>
  </si>
  <si>
    <t>dc8a82e1-c1f8-4790-8707-1764ed22e403</t>
  </si>
  <si>
    <t>c9b59750-4222-4e11-8f39-a5e4d02a7430</t>
  </si>
  <si>
    <t>Rokke</t>
  </si>
  <si>
    <t>7986973b-07a5-439d-85f2-7a114c67d09f</t>
  </si>
  <si>
    <t>Audrey</t>
  </si>
  <si>
    <t>487aa557-d2d6-43b9-a258-0cb8ede3679f</t>
  </si>
  <si>
    <t>No MEP R3-47 ($306.58)</t>
  </si>
  <si>
    <t>d27eec4b-9627-49a8-919a-13d278cd18a4</t>
  </si>
  <si>
    <t>Figgins</t>
  </si>
  <si>
    <t>Keith</t>
  </si>
  <si>
    <t>https://docket.images.azcc.gov/E000048356.pdf</t>
  </si>
  <si>
    <t>a896f527-f44a-43d3-b4db-69421a170843</t>
  </si>
  <si>
    <t>6eb3c46d-f001-4b81-8764-30908ef205ad</t>
  </si>
  <si>
    <t>Vail</t>
  </si>
  <si>
    <t>5a5cbf9d-9b76-49ee-9295-5462527d3e72</t>
  </si>
  <si>
    <t>Mason-Ewing</t>
  </si>
  <si>
    <t>3f7526fc-41b0-4f49-b9b8-ba66e437f3ee</t>
  </si>
  <si>
    <t>Sauiqui</t>
  </si>
  <si>
    <t>Pattie</t>
  </si>
  <si>
    <t>dfeb3d95-7b1c-48c7-9b74-a78bfc4f0997</t>
  </si>
  <si>
    <t>https://docket.images.azcc.gov/E000048402.pdf</t>
  </si>
  <si>
    <t>1faa9ad5-d413-473c-a837-8dea498c376d</t>
  </si>
  <si>
    <t>Lengele</t>
  </si>
  <si>
    <t>Opposed to any rate increase request that subsidize costs associated with infrastructure for industrial custoemrs/data centers</t>
  </si>
  <si>
    <t>bfbda021-fee7-476c-964c-319d8734daeb</t>
  </si>
  <si>
    <t>Krause</t>
  </si>
  <si>
    <t>Glenda</t>
  </si>
  <si>
    <t>https://docket.images.azcc.gov/E000048419.pdf</t>
  </si>
  <si>
    <t>8134ac2f-68dd-46ef-81d4-f1d7c489c3f0</t>
  </si>
  <si>
    <t>Kendrick</t>
  </si>
  <si>
    <t>0d5b749d-41d8-400b-af9b-a43ac1ab2dc7</t>
  </si>
  <si>
    <t>Vastbinder</t>
  </si>
  <si>
    <t>fb1ca9bf-e8db-4cd8-8787-bf755acf9fe8</t>
  </si>
  <si>
    <t>Pal</t>
  </si>
  <si>
    <t>EV charging stations and Data Center - make them pay</t>
  </si>
  <si>
    <t>https://docket.images.azcc.gov/E000048447.pdf</t>
  </si>
  <si>
    <t>2c21eeb6-1e8f-4e38-8309-5d2870fea4ad</t>
  </si>
  <si>
    <t>Davina</t>
  </si>
  <si>
    <t>Opposed: I don't belileve residents should have to foot the bill for data centers</t>
  </si>
  <si>
    <t>https://docket.images.azcc.gov/E000048452.pdf</t>
  </si>
  <si>
    <t>35cafbaf-8156-4261-a22d-065c46f01317</t>
  </si>
  <si>
    <t>Rieger</t>
  </si>
  <si>
    <t>6913a6cd-b0bb-4047-a01c-7c2a37a5c904</t>
  </si>
  <si>
    <t>Loveland</t>
  </si>
  <si>
    <t>Taunia</t>
  </si>
  <si>
    <t>fa97cb92-5100-4e32-9190-0423f038e643</t>
  </si>
  <si>
    <t>Durbin</t>
  </si>
  <si>
    <t xml:space="preserve">Daryl </t>
  </si>
  <si>
    <t>98379806-1018-431e-9592-c93ede27974a</t>
  </si>
  <si>
    <t>Kurtz</t>
  </si>
  <si>
    <t>e7302999-386c-48f5-915a-6ee64116ef2e</t>
  </si>
  <si>
    <t>O'Neill</t>
  </si>
  <si>
    <t>bfdb402f-36eb-4c82-9b5f-a8ac0b6b162b</t>
  </si>
  <si>
    <t>Hellard</t>
  </si>
  <si>
    <t>Joyce</t>
  </si>
  <si>
    <t>4f9b8242-2315-4351-9e9e-622eeff74285</t>
  </si>
  <si>
    <t>20a7d4f4-1fb1-4971-9fd7-812ab8cdc676</t>
  </si>
  <si>
    <t>31ec25a0-0308-4c2e-bde1-6a8932893299</t>
  </si>
  <si>
    <t>Vasquez</t>
  </si>
  <si>
    <t>88fc5431-7945-47e7-816e-a45c1556912a</t>
  </si>
  <si>
    <t>e65bbbcd-7d73-4888-9797-af08f089fde3</t>
  </si>
  <si>
    <t>Shaw</t>
  </si>
  <si>
    <t>Tom</t>
  </si>
  <si>
    <t>https://docket.images.azcc.gov/E000048497.pdf</t>
  </si>
  <si>
    <t>e3e29260-d557-48d8-977e-dcede52d87e3</t>
  </si>
  <si>
    <t>Mayberry</t>
  </si>
  <si>
    <t>95fc2862-4520-40ae-b15a-9af52538d885</t>
  </si>
  <si>
    <t>Marsha</t>
  </si>
  <si>
    <t>Offer Assistance Programs?</t>
  </si>
  <si>
    <t>c2f63aac-7c42-425f-863d-c252bb3f1866</t>
  </si>
  <si>
    <t>Sidhu</t>
  </si>
  <si>
    <t>Arman</t>
  </si>
  <si>
    <t>da09051d-b6f0-4fd0-b981-4ffd4b103b54</t>
  </si>
  <si>
    <t>Filed two petitions 12/31 and 1/2</t>
  </si>
  <si>
    <t>0ae524ec-9cf9-428b-b119-f7722e8b46ec</t>
  </si>
  <si>
    <t xml:space="preserve">Phoenix </t>
  </si>
  <si>
    <t>0bcceca5-d0e1-4323-9847-d17e01a70851</t>
  </si>
  <si>
    <t>c714b5eb-d889-4205-ac0f-146933955840</t>
  </si>
  <si>
    <t>f7fe24c3-3048-40c7-90ae-e6bd0b481007</t>
  </si>
  <si>
    <t>8920738e-210b-41c4-8cb9-a2cf9e579311</t>
  </si>
  <si>
    <t>Salazar</t>
  </si>
  <si>
    <t>ER Lara</t>
  </si>
  <si>
    <t>6791184f-751e-484a-8fa2-6e2ea289d2ae</t>
  </si>
  <si>
    <t>TM</t>
  </si>
  <si>
    <t>23c19796-c270-48ff-84d2-b2aa011ed58c</t>
  </si>
  <si>
    <t>Kok</t>
  </si>
  <si>
    <t>Queen Creek</t>
  </si>
  <si>
    <t>539aa63e-81e2-44c5-b0dd-ab77ddfe1850</t>
  </si>
  <si>
    <t>LaBarbera</t>
  </si>
  <si>
    <t>4fde9197-310d-4da5-a2ee-8531af24dbd7</t>
  </si>
  <si>
    <t>No MEP R3-47 ($84.61)</t>
  </si>
  <si>
    <t>18f4bd38-6e00-4208-a2b1-0e771cf18c91</t>
  </si>
  <si>
    <t>Cearns</t>
  </si>
  <si>
    <t>Katharine</t>
  </si>
  <si>
    <t>Frozen</t>
  </si>
  <si>
    <t>Customer filed ACC complaint about automatic PA on 10/16/2025</t>
  </si>
  <si>
    <t>0404d3a4-487e-4096-ac77-8957c1ac6b4b</t>
  </si>
  <si>
    <t>089be9d1-8b4e-4fe7-8d30-9c9b1ff51f29</t>
  </si>
  <si>
    <t>Winslow</t>
  </si>
  <si>
    <t>No MEP R3-47 ($274.25)</t>
  </si>
  <si>
    <t>64a5a458-7449-4360-8a3d-a51f296971bc</t>
  </si>
  <si>
    <t>Walewski</t>
  </si>
  <si>
    <t>3dfd1da8-c36d-4716-989e-71391f650fd0</t>
  </si>
  <si>
    <t>31a21a40-4c92-4603-8ba0-405a4534b6c5</t>
  </si>
  <si>
    <t>09de0763-8701-49fa-bc91-33ccc7538eb5</t>
  </si>
  <si>
    <t>Drumm</t>
  </si>
  <si>
    <t>S Marie</t>
  </si>
  <si>
    <t>ce6fbfee-5e59-470c-91dd-ee3d8c103653</t>
  </si>
  <si>
    <t>Hager</t>
  </si>
  <si>
    <t>Janine</t>
  </si>
  <si>
    <t>7b84bf8e-e9d6-4fad-aff4-c6c977d714e8</t>
  </si>
  <si>
    <t>764bd649-e064-40e4-bde6-d5ffaca632c4</t>
  </si>
  <si>
    <t>Adams</t>
  </si>
  <si>
    <t>f58c96b2-f0f7-4daf-b793-cdda50773128</t>
  </si>
  <si>
    <t>Shaffer</t>
  </si>
  <si>
    <t>No MEP TOUE-47 ($171.32)</t>
  </si>
  <si>
    <t>cc15fc0a-2b28-4c36-9307-65d87dc59290</t>
  </si>
  <si>
    <t>https://docket.images.azcc.gov/E000048522.pdf</t>
  </si>
  <si>
    <t>48dd80d2-d626-4ab2-86f3-03db6d9ea370</t>
  </si>
  <si>
    <t>e09082db-c751-4826-be73-2986403249c4</t>
  </si>
  <si>
    <t>f6e25290-0b88-4141-bf74-16d8cb684519</t>
  </si>
  <si>
    <t>Williamson</t>
  </si>
  <si>
    <t>Elaine</t>
  </si>
  <si>
    <t>75dd362c-9dce-48b9-a6f1-18a6931d291f</t>
  </si>
  <si>
    <t>Holmquist</t>
  </si>
  <si>
    <t>368a475f-7204-4a1a-a0f7-356a5edc4e19</t>
  </si>
  <si>
    <t>Furlong</t>
  </si>
  <si>
    <t>7e224d41-7f72-4153-bcb3-86649c0097c1</t>
  </si>
  <si>
    <t>b453b1c1-512b-4062-9a11-061b4639567e</t>
  </si>
  <si>
    <t>Aycock</t>
  </si>
  <si>
    <t>5524cc71-defe-4613-ac84-68b3faa4bfe8</t>
  </si>
  <si>
    <t>Foushee</t>
  </si>
  <si>
    <t>No MEP R3-47 ($446.36)</t>
  </si>
  <si>
    <t>d3944743-0d13-471f-b4bc-694b4dac5207</t>
  </si>
  <si>
    <t>Sise</t>
  </si>
  <si>
    <t>e4abb803-3a62-415a-8b6f-78d54bfdcf0e</t>
  </si>
  <si>
    <t>Cummings</t>
  </si>
  <si>
    <t>Opposed: Data Centers are causing the issue; vote for the people not the corporations</t>
  </si>
  <si>
    <t>2fa954ee-0bb2-4fd1-89e2-340abcd92aec</t>
  </si>
  <si>
    <t>Patrovich</t>
  </si>
  <si>
    <t>Marcie</t>
  </si>
  <si>
    <t>Opposed: Too many fees, deny the rate increase</t>
  </si>
  <si>
    <t>EPR6w/ET-2</t>
  </si>
  <si>
    <t>f3a84f64-c597-4e47-9846-6ba7881bc93e</t>
  </si>
  <si>
    <t>Macek</t>
  </si>
  <si>
    <t>Marlene</t>
  </si>
  <si>
    <t>Opposed: APS is highly profitable. What about APS's expenses and spending?</t>
  </si>
  <si>
    <t>https://docket.images.azcc.gov/E000048542.pdf</t>
  </si>
  <si>
    <t>a426edb3-238d-4a10-9f72-dd826ee2e121</t>
  </si>
  <si>
    <t>Arroyo</t>
  </si>
  <si>
    <t>Arielle</t>
  </si>
  <si>
    <t>Nurse and mother in protest of rate increase. Bills are astronomical.</t>
  </si>
  <si>
    <t>590fa60a-abc9-40a1-971c-15501fc129af</t>
  </si>
  <si>
    <t>Palowoda</t>
  </si>
  <si>
    <t>APS just had a rate increase and $600 M in neet income. Prices are drive up becuase of EV charging ad Data Centers.</t>
  </si>
  <si>
    <t>ff017d62-fa24-4316-bd56-5271a5fd1557</t>
  </si>
  <si>
    <t>Deny rate increase; quoting AZ Republic article 11/2/2025 and Kris Mayes. Against AI and data centers</t>
  </si>
  <si>
    <t>https://docket.images.azcc.gov/E000048535.pdf</t>
  </si>
  <si>
    <t>0c2b0219-f271-46fe-8093-2cad3e3cc23c</t>
  </si>
  <si>
    <t>Hatler</t>
  </si>
  <si>
    <t>Carol (Phil)</t>
  </si>
  <si>
    <t>Deny rate increase: quoting Kris Mayes</t>
  </si>
  <si>
    <t>518e5766-5957-46bb-b94b-823af4108a88</t>
  </si>
  <si>
    <t>Winkler</t>
  </si>
  <si>
    <t>Laurie</t>
  </si>
  <si>
    <t>Deny the APS request for increased prices</t>
  </si>
  <si>
    <t>672e8971-4f10-43a7-9f5e-e3acfc89b470</t>
  </si>
  <si>
    <t>Levinshon</t>
  </si>
  <si>
    <t>Allyson</t>
  </si>
  <si>
    <t>https://docket.images.azcc.gov/E000048550.pdf</t>
  </si>
  <si>
    <t>Docketed 2x</t>
  </si>
  <si>
    <t>55fc4ad0-a1d0-4114-b8c0-95ffe56be348</t>
  </si>
  <si>
    <t>Alger</t>
  </si>
  <si>
    <t>Widow on a very fixed income. Supporting data centers bulit on my back. APS has never been honest or transparent</t>
  </si>
  <si>
    <t>https://docket.images.azcc.gov/E000048581.pdf</t>
  </si>
  <si>
    <t>Offer Assistance Program Info?</t>
  </si>
  <si>
    <t>2cb59aca-5efa-4d99-bbd4-00b75eda1139</t>
  </si>
  <si>
    <t xml:space="preserve"> Seniors on fixed incomes are disproportionately affected by higher summer electric bills</t>
  </si>
  <si>
    <t>https://docket.images.azcc.gov/E000048641.pdf</t>
  </si>
  <si>
    <t>No MEP R3-47 ($99.06)</t>
  </si>
  <si>
    <t>8a1e02f5-7340-4bed-899f-d859155b597e</t>
  </si>
  <si>
    <t>Sally</t>
  </si>
  <si>
    <t>Put a stop to this kind of spending and stop inflation. Enough is enough.</t>
  </si>
  <si>
    <t>https://docket.images.azcc.gov/E000048716.pdf</t>
  </si>
  <si>
    <t>54662750-89f5-4713-8a9e-0f997f16fd19</t>
  </si>
  <si>
    <t>Elliott</t>
  </si>
  <si>
    <t>APS has deep enough pockets to cover these costs. We don't.</t>
  </si>
  <si>
    <t>6c361b6d-3600-4b01-9e19-b2e01ca3d183</t>
  </si>
  <si>
    <t>Pouncy</t>
  </si>
  <si>
    <t>Ernest</t>
  </si>
  <si>
    <t xml:space="preserve">Retired on a fixed income. On-peak hours should change. Unfair, APS had a rate  hike two years ago. </t>
  </si>
  <si>
    <t>9f216fd3-6090-434a-aac1-becb64b1fe89</t>
  </si>
  <si>
    <t>Filice</t>
  </si>
  <si>
    <t>Ridiculous, 22% increase in 3 years. People are struggling. Reject the rate increase.</t>
  </si>
  <si>
    <t>ea51bbc6-5407-4f42-8469-cfcf62b78bce</t>
  </si>
  <si>
    <t>Fixed income, had the foresight to install solar, should not be charged an increase again.</t>
  </si>
  <si>
    <t>b277bc11-7d46-4b75-bdb9-2967aee56949</t>
  </si>
  <si>
    <t xml:space="preserve">Opposed: APS top execs should take a pay cut and try to live on the median income. </t>
  </si>
  <si>
    <t>8abb0724-5eab-4502-870f-161b6c90ddf2</t>
  </si>
  <si>
    <t>Furnas</t>
  </si>
  <si>
    <t>Kirkland</t>
  </si>
  <si>
    <t>yearly reduction of export rates for the past 5 years on solar systems supplying the grid. Non-solar customers have paid the difference</t>
  </si>
  <si>
    <t>c16ea9f9-c717-478c-9195-be5a6f9c5d3e</t>
  </si>
  <si>
    <t>Chesney</t>
  </si>
  <si>
    <t>16% for residential on top of the previous 8% is crippling as a retired person; with solar.</t>
  </si>
  <si>
    <t>9507da9c-ebfe-4bcc-994d-ed8fe24beab9</t>
  </si>
  <si>
    <t>Residents should not have to shoulder repeated increases while APS reports strong profits.</t>
  </si>
  <si>
    <t>No MEP R3-47 ($64.33)</t>
  </si>
  <si>
    <t>0a550a7a-5886-4b9a-829b-665143f5915a</t>
  </si>
  <si>
    <t>McCann</t>
  </si>
  <si>
    <t>We can't afford this type of increase - reeks of greed and corruption and quite frankly if this is passed l'd assume the council is getting bribed.</t>
  </si>
  <si>
    <t>c298aad3-cdf6-41f6-8a01-3461be972314</t>
  </si>
  <si>
    <t>Burkhart</t>
  </si>
  <si>
    <t>Pretty soon, my electric bill will be HALF of what I pay in mortgage. Normal people are struggling.</t>
  </si>
  <si>
    <t>8d093ba7-0792-4082-b2d9-b186afcdd324</t>
  </si>
  <si>
    <t>Lindmark</t>
  </si>
  <si>
    <t>Commission sides with the Developers and Utility Companies; when are you going to side with the people?</t>
  </si>
  <si>
    <t>5837832f-bc6f-4958-9a82-6afff2ca3304</t>
  </si>
  <si>
    <t>Harmonson</t>
  </si>
  <si>
    <t>It should not be allowed to profit off of the working class for things that are a necessity to survive.</t>
  </si>
  <si>
    <t>https://docket.images.azcc.gov/E000048738.pdf</t>
  </si>
  <si>
    <t>No MEP R3-47 ($359.67)</t>
  </si>
  <si>
    <t>ffc6404e-1228-4d07-8acc-1e8ccf1188e1</t>
  </si>
  <si>
    <t xml:space="preserve">Owned home for 15 years and made all the EE improvements and bills are still going up. </t>
  </si>
  <si>
    <t>No MEP R3-47 ($128.88</t>
  </si>
  <si>
    <t>07051099-15c6-471c-bf42-39dae394d829</t>
  </si>
  <si>
    <t xml:space="preserve">Cumulative 23% increase in just over 2 years. Arizona are already struggling. </t>
  </si>
  <si>
    <t>Special Handling Case on Account (3 executive referrals, 1 AG complaint and 1 BBB complaint)</t>
  </si>
  <si>
    <t>bf3fd5e8-c5fa-44fc-a848-c789d4f8b76f</t>
  </si>
  <si>
    <t>Gutierrez-Whitmire</t>
  </si>
  <si>
    <t>Karla</t>
  </si>
  <si>
    <t>35-year customer and retiree on a fixed income. Watch  my neighbors struggle while APS continues to raise rates.</t>
  </si>
  <si>
    <t>37e1993a-092b-415a-9d55-a1b7ceaccd0b</t>
  </si>
  <si>
    <t xml:space="preserve">Pricing should align with SRP. Believes power and water should be government provided. </t>
  </si>
  <si>
    <t>8860aaac-3052-4186-bd34-41cc3bb16f0e</t>
  </si>
  <si>
    <t>Gruber</t>
  </si>
  <si>
    <t>Fixed rate criteria must be updated to reflect hotter climate.</t>
  </si>
  <si>
    <t>8ecb10b1-3819-4f24-a6f9-f735bda195a1</t>
  </si>
  <si>
    <t>Culligan</t>
  </si>
  <si>
    <t>Marianne</t>
  </si>
  <si>
    <t>Huge chip plant - costs should not be shouldered by homeowners/renters and those with solar shoulder an additional monthly fee</t>
  </si>
  <si>
    <t>3aaa7282-86a1-4949-86eb-e00bc623eda6</t>
  </si>
  <si>
    <t>Behnke</t>
  </si>
  <si>
    <t>Lynea</t>
  </si>
  <si>
    <t>Mother to young children, huge portion of paycheck is already going toward electric bill, impossible to save.</t>
  </si>
  <si>
    <t>https://images.edocket.azcc.gov/docketpdf/E000048753.pdf</t>
  </si>
  <si>
    <t>bc4dbe6c-d622-44ec-ba58-73171bd68636</t>
  </si>
  <si>
    <t>Yates-Reiser</t>
  </si>
  <si>
    <t xml:space="preserve">Seen bill  jump from $122 to over $300 after solar panel lease. Fighting to get onto the off-peak plan. </t>
  </si>
  <si>
    <t>31ee0298-008a-4869-8241-3ebbf1a16972</t>
  </si>
  <si>
    <t>Mancuso</t>
  </si>
  <si>
    <t>already too high, wages are stagnant, and the profit margins of this company are absurd.</t>
  </si>
  <si>
    <t>No MEP R3-47 ($336.56)</t>
  </si>
  <si>
    <t>67f3d3ca-bc98-4063-ad45-b9c4aecf176f</t>
  </si>
  <si>
    <t>Dzezinski</t>
  </si>
  <si>
    <t>APS's greed is asking for another hike less than 2  years after the last increase is borderline criminal.</t>
  </si>
  <si>
    <t>74be782b-d65c-4120-8725-0a7a43d1da19</t>
  </si>
  <si>
    <t>Ollis</t>
  </si>
  <si>
    <t>Cannot attend the public comment meeting. Monopoly, $483M profits, Their solar reimbursement program is a scam</t>
  </si>
  <si>
    <t>https://images.edocket.azcc.gov/docketpdf/E000048762.pdf</t>
  </si>
  <si>
    <t>1/22/2026+</t>
  </si>
  <si>
    <t>96446d9b-0b53-4fb4-8256-e35112fa7b20</t>
  </si>
  <si>
    <t>Ciasnocha</t>
  </si>
  <si>
    <t>Opposed, another increase after an 8% increase just 2 y ears ago, punishing solar, alarming FRM, quoting AG</t>
  </si>
  <si>
    <t>https://docket.images.azcc.gov/E000048791.pdf</t>
  </si>
  <si>
    <t>4ad80893-6cdf-4e8d-90dd-81ebd79f4dee</t>
  </si>
  <si>
    <t>Apolinar</t>
  </si>
  <si>
    <t>Alexia</t>
  </si>
  <si>
    <t>Oppose -rate was just increased less than 2 years ago</t>
  </si>
  <si>
    <t>RCPw/TOUE47</t>
  </si>
  <si>
    <t>No MEP R3-47 ($84.24)</t>
  </si>
  <si>
    <t>Please contact customer regarding plan options and additional assistance programs</t>
  </si>
  <si>
    <t>90ca7bc7-2ba2-43ba-aee2-d81a235513de</t>
  </si>
  <si>
    <t>Doris</t>
  </si>
  <si>
    <t>They just got a 16% rate increase and now those greedy people demand more?</t>
  </si>
  <si>
    <t>Participated in public comment session on 1/20</t>
  </si>
  <si>
    <t>87c9eae4-9e57-47a7-92ca-d5bfd889b38b</t>
  </si>
  <si>
    <t>Lister</t>
  </si>
  <si>
    <t xml:space="preserve">Thank you for the opportunity to testify today. Representing Opportunity Arizona. Quotes 12News for data center growth make up energy demand. </t>
  </si>
  <si>
    <t>Participated in public comment session on 1/20 - Representing Opportunity Arizona</t>
  </si>
  <si>
    <t>81fbf18c-e6bd-4c89-9f50-4e095cce54b7</t>
  </si>
  <si>
    <t>Kaur</t>
  </si>
  <si>
    <t>Sue</t>
  </si>
  <si>
    <t xml:space="preserve">Your Constitutional role as Commissioners... set just and reasonalbe rates. Majority of the commission has eyes on higher offices. </t>
  </si>
  <si>
    <t>8fc4a18e-19da-4a47-9747-72c630be884c</t>
  </si>
  <si>
    <t>My bill in the winter was almost $300 last month, and the heat and air were never used - that is criminal.</t>
  </si>
  <si>
    <t>3faefe58-edf6-4e0d-b0ae-4c2aa819e50b</t>
  </si>
  <si>
    <t>Liu</t>
  </si>
  <si>
    <t>Yijeng</t>
  </si>
  <si>
    <t>Why do residents have to pay APS shareholders' dividends more and more each year?</t>
  </si>
  <si>
    <t>7e5c202b-0df9-4a1f-b5d6-87bb88ef4f32</t>
  </si>
  <si>
    <t>Lucas</t>
  </si>
  <si>
    <t xml:space="preserve">For families like mine, this is simply too much... customers should not be expected to absorb constant hikes whiles APS continues to report healthy returns. </t>
  </si>
  <si>
    <t>fd0b491d-0e8c-44af-9ca2-8c8349549118</t>
  </si>
  <si>
    <t>Simon</t>
  </si>
  <si>
    <t xml:space="preserve">Approving yet another rate ncrease-especially one that penalizes solar adoption and inflates transmission costs-would violate your duty. </t>
  </si>
  <si>
    <t>82dfd57e-4dc1-4731-8932-5ebe31d1b490</t>
  </si>
  <si>
    <t>Arriola</t>
  </si>
  <si>
    <t>It's tough as it is to try to keep up with life without yet another increase from APS</t>
  </si>
  <si>
    <t>861fb297-18ac-4b52-939f-9452abcf3bb9</t>
  </si>
  <si>
    <t>Pottorf</t>
  </si>
  <si>
    <t>Jaimie</t>
  </si>
  <si>
    <t>APS is a regulated utility with a statutory right to seek recovery of reasonable costs, however the magnitude of the request, paired with existing profits and the ongoing financial strain on AZ residents makes this application neither fair nor reasonable</t>
  </si>
  <si>
    <t>39a71fca-7fae-4612-b1b2-2e6b5c7e09d0</t>
  </si>
  <si>
    <t>Conte</t>
  </si>
  <si>
    <t>Davide</t>
  </si>
  <si>
    <t xml:space="preserve">Commission review APS's solar rate design and consider whether forcing all solar customers into sunset-aligned peak pricing is consistent with fair cost allocation. </t>
  </si>
  <si>
    <t>e9835d03-1ea7-4297-b025-49919914ed09</t>
  </si>
  <si>
    <t>Baird</t>
  </si>
  <si>
    <t>I have filed numerous complaints with BBB because our bills are sometimes $700! How does a family living on one income afford anymore?!</t>
  </si>
  <si>
    <t>bad101b4-1e3a-4ecc-afa4-a59c980daa08</t>
  </si>
  <si>
    <t>Vassallo</t>
  </si>
  <si>
    <t>Kayla</t>
  </si>
  <si>
    <t>0f1532b8-25ed-42cd-abcc-972351774a3c</t>
  </si>
  <si>
    <t>Burke</t>
  </si>
  <si>
    <t>Victoria</t>
  </si>
  <si>
    <t>d302048e-769f-4389-ba75-c14481ce6674</t>
  </si>
  <si>
    <t>Dahne</t>
  </si>
  <si>
    <t xml:space="preserve">Demand Charge Limiter and Demand Charge Credit... l've dropped my bills about 13% through my work on my electricity usage. Now APS wants to wipe that out just for the benefit of their shareholders and executive pay. </t>
  </si>
  <si>
    <t>156aa46c-918b-4edc-8c7b-020a0c9d1800</t>
  </si>
  <si>
    <t>Peterson</t>
  </si>
  <si>
    <t xml:space="preserve">Familes are trying to survive high interest rates, inflation, and provide for themselves and children. The name Arizona Public Service should be a reminder that electricity is a publis service, not a slush fund. </t>
  </si>
  <si>
    <t>No MEP R3-47 ($402.12)</t>
  </si>
  <si>
    <t>5530106e-60d6-4a70-8f56-0e186691eb58</t>
  </si>
  <si>
    <t>More effective and cheaper "green" policies on your part, APS, can make elevated usage of clean and cheap electricity happen,  not with the rising of prices</t>
  </si>
  <si>
    <t>5bcdb31b-a4f9-4e07-b252-7eb8c9e2a5a9</t>
  </si>
  <si>
    <t>Newbern</t>
  </si>
  <si>
    <t>James Marshall</t>
  </si>
  <si>
    <t>It is not evident that the current return on eequity being earned by APS is inadequate or that it threatens the company's ability to continue its already reliably service</t>
  </si>
  <si>
    <t>4512f44d-b985-47c7-b770-d440bb039897</t>
  </si>
  <si>
    <t>Sagadraca</t>
  </si>
  <si>
    <t>heavily against this price increase as it will add strain to the rising cost of living</t>
  </si>
  <si>
    <t>94949a28-6b10-4e35-b2d0-a461b642aaa4</t>
  </si>
  <si>
    <t>Green</t>
  </si>
  <si>
    <t xml:space="preserve">we are already struggling to balance the rising costs of childcare with our monthly utility bills. </t>
  </si>
  <si>
    <t>No MEP TOUE-47 ($139.27)</t>
  </si>
  <si>
    <t>7bbcde26-d45f-4991-9645-d17c25274a05</t>
  </si>
  <si>
    <t>Downs</t>
  </si>
  <si>
    <t>On a budget and already working 2 jobs to make ends meet, the price hike is nothing but greed.</t>
  </si>
  <si>
    <t>No MEP R3-47 ($42.04)</t>
  </si>
  <si>
    <t>da18219c-931c-496e-8bfa-fca1fa265790</t>
  </si>
  <si>
    <t>Bergeron</t>
  </si>
  <si>
    <t>Electricity is an essential function of daily life and Arizona Public Service is a monolith in service provision in the valley.</t>
  </si>
  <si>
    <t>0006372e-dab9-430e-a31d-baafd6376817</t>
  </si>
  <si>
    <t>Scarborough</t>
  </si>
  <si>
    <t xml:space="preserve">I live with my mentally disabled uncle who is on a low-income. The last rate increased almost sent him to the hospital for heat stroke trying to k eep the AC bill down in his 1000 sq ft house. </t>
  </si>
  <si>
    <t>a695a2d7-29b0-41ec-81e4-c46ecea89acb</t>
  </si>
  <si>
    <t>William III</t>
  </si>
  <si>
    <t>Retired, 2,000 sqft home, large solar system, 2 EV. APS is punishing us and h olding us hostage for doing the right thing for the environment</t>
  </si>
  <si>
    <t>https://docket.images.azcc.gov/E000048819.pdf</t>
  </si>
  <si>
    <t>c38a4f1d-f12c-4126-85ed-7406a8e58894</t>
  </si>
  <si>
    <t>Harrington</t>
  </si>
  <si>
    <t>APS's proposed 14% rate hike is an erroneous and unjustified increase that places unnecessary financial strain on the residents</t>
  </si>
  <si>
    <t>ac4b189b-20a1-4a26-801b-954fbc640663</t>
  </si>
  <si>
    <t xml:space="preserve">Gabriel </t>
  </si>
  <si>
    <t xml:space="preserve">Prices are outrageous and 4 or 5 increases in 5 years is disgraceful and completely shows it's about just money. Old boyz club. </t>
  </si>
  <si>
    <t>ccc1ddfa-4738-4a2f-bc68-7621cca74813</t>
  </si>
  <si>
    <t xml:space="preserve">households are already struggling with rising costs for housing, food, healthcare, and fuel. Wages have not increased at the same pace as utility costs. </t>
  </si>
  <si>
    <t>8d8ceff6-810d-47e3-b901-4f33be8e1d06</t>
  </si>
  <si>
    <t>At what time do we expect APS to reinvest their own profits to upgrade infrastructure?</t>
  </si>
  <si>
    <t>No MEP R3-47 ($55.05)</t>
  </si>
  <si>
    <t>1eefb64f-560c-4cf0-93f7-216459350d2d</t>
  </si>
  <si>
    <t>Akers</t>
  </si>
  <si>
    <t xml:space="preserve">The Federal Government uses is about 2.7%. Why a 14% increase? When does it stop? I understand they need to make a profit but at what point do we say enough is enough. </t>
  </si>
  <si>
    <t>ec18bd95-5b11-4f7d-b997-a6ffe34feaf4</t>
  </si>
  <si>
    <t>Donovan</t>
  </si>
  <si>
    <t>Tricia</t>
  </si>
  <si>
    <t xml:space="preserve">These rate increases are unsubstantiated on a consumer level. There should be an adjusted rate for the corporation over a certain size against the homeowner. </t>
  </si>
  <si>
    <t>30c0f336-0bbb-441b-ae5b-deb93b79ed4d</t>
  </si>
  <si>
    <t>Maynard</t>
  </si>
  <si>
    <t>Margie</t>
  </si>
  <si>
    <t>It is unethical for APS to increase rates 14% after just raising costs by 8% last year. Arizonans are already struggling</t>
  </si>
  <si>
    <t>e9889ed9-f9ff-4b0d-a65a-f091af9637b5</t>
  </si>
  <si>
    <t>Morris</t>
  </si>
  <si>
    <t>Abigail</t>
  </si>
  <si>
    <t xml:space="preserve">We are experiencing a death by a thousand rate hikes with no pathway to homeownership to start our family. </t>
  </si>
  <si>
    <t>ce38f352-27a9-46c1-be49-3f48dde68a8f</t>
  </si>
  <si>
    <t>Cupp</t>
  </si>
  <si>
    <t>Eva</t>
  </si>
  <si>
    <t>I am against any further hikes or increases in cost for electricity</t>
  </si>
  <si>
    <t>3504f2ef-71e4-4b75-94b0-3fd76b05297b</t>
  </si>
  <si>
    <t>Duesbury</t>
  </si>
  <si>
    <t>As a senior on a fixed income, I cannot afford another rate hike by APS especially after they have gotten two in the last few years</t>
  </si>
  <si>
    <t>11f051c0-f823-4458-8a11-49d096409a05</t>
  </si>
  <si>
    <t>Marquez</t>
  </si>
  <si>
    <t>people cannot afford another APS price hike. We live in the desert, and to this company all you see is dollar signs. YOU GUYS SUCK IF YOU INCREASE MORE RATES</t>
  </si>
  <si>
    <t>No MEP RTOUE47 ($27.85)</t>
  </si>
  <si>
    <t>b6b52cab-ccbf-4a06-8a3b-3bb406aa9d51</t>
  </si>
  <si>
    <t>Musselman</t>
  </si>
  <si>
    <t>Williametta</t>
  </si>
  <si>
    <t xml:space="preserve">We purchased solar many  years ago. Now we hear APS wants to double the rate for solar customers. Why? </t>
  </si>
  <si>
    <t>268cea65-4dee-4b86-a35c-337eae93aacf</t>
  </si>
  <si>
    <t xml:space="preserve">Horton </t>
  </si>
  <si>
    <t>Daryl</t>
  </si>
  <si>
    <t xml:space="preserve">Arizonans are struggling with costs for housing, food, and other essentials. This increase is unjust and unreasonable. The Proposed FRM is a blank check. </t>
  </si>
  <si>
    <t>71898d9d-6fca-4fcd-8427-74a28f6bd7de</t>
  </si>
  <si>
    <t>Berger</t>
  </si>
  <si>
    <t>No MEP R3-47 ($311.33)</t>
  </si>
  <si>
    <t>dcfb89c4-0afb-45af-bb66-2096f8fbf7c2</t>
  </si>
  <si>
    <t>Akram</t>
  </si>
  <si>
    <t>Rami</t>
  </si>
  <si>
    <t xml:space="preserve">Aps needs to stop increase the bills. The gas and oil is cheaper there is no reason to increase the rate. </t>
  </si>
  <si>
    <t>4f9594f6-5101-462c-9ffd-aaec740d203c</t>
  </si>
  <si>
    <t>Tocco</t>
  </si>
  <si>
    <t>Hailee</t>
  </si>
  <si>
    <t>0dcf409e-6106-42a0-91ba-e19a110cca5b</t>
  </si>
  <si>
    <t>f70b374e-464a-4858-b6b2-db5e502cb3c1</t>
  </si>
  <si>
    <t>Kocho</t>
  </si>
  <si>
    <t>Eileen</t>
  </si>
  <si>
    <t>rising costs places an undue financial burden on households-especially those on fixed incomes,</t>
  </si>
  <si>
    <t>No MEP R-XS ($11.32)</t>
  </si>
  <si>
    <t>2c566b36-09d9-4ce8-8efd-f97a60441a6a</t>
  </si>
  <si>
    <t>Gewargis</t>
  </si>
  <si>
    <t>Sargis</t>
  </si>
  <si>
    <t xml:space="preserve">I am not fine with this increase and this will be so bad to manage for my home and business. </t>
  </si>
  <si>
    <t>e0d7bd69-3a14-46ab-aee0-9c7f4b06b8c8</t>
  </si>
  <si>
    <t>Youshia</t>
  </si>
  <si>
    <t>This increase places a significant financial burden on households and small businesses</t>
  </si>
  <si>
    <t>No MEP R3-47 ($108.10)</t>
  </si>
  <si>
    <t>275b02cf-d381-4c57-b0ef-8add688600c4</t>
  </si>
  <si>
    <t xml:space="preserve">Costs of electricity are rising much faster than our incomes. People with fixed/limited income can't afford these drastic increases year over year. </t>
  </si>
  <si>
    <t>Not eligible yet</t>
  </si>
  <si>
    <t>Just transitioned from Tier 1 to Tier 2</t>
  </si>
  <si>
    <t>40ca19d7-1a95-4b84-9479-415fbd298f09</t>
  </si>
  <si>
    <t>Kelcey</t>
  </si>
  <si>
    <t>Higher utility rates will place an undue burden on Arizona residents. Energy should remain affordable and accessible to all</t>
  </si>
  <si>
    <t>18b67960-b6bf-4daa-a3f4-944b9951f514</t>
  </si>
  <si>
    <t>Montoya</t>
  </si>
  <si>
    <t>We personally have solar panels which we pay slot of money for only to have our electric bill still high. Our account should be in the negative.</t>
  </si>
  <si>
    <t>820c2e2e-f4f2-4bf2-a8f4-86a70255e811</t>
  </si>
  <si>
    <t>Seifert</t>
  </si>
  <si>
    <t>Lyn</t>
  </si>
  <si>
    <t>APS needs to be pressured to figure out how to keep costs down and find other ways to create cost-effective energy, such as portable nuclear power and natural gas.</t>
  </si>
  <si>
    <t>No MEP R3-47 ($339.29)</t>
  </si>
  <si>
    <t>ddecf856-8391-43da-a595-7067da87a724</t>
  </si>
  <si>
    <t>Rueda</t>
  </si>
  <si>
    <t>Cristiana</t>
  </si>
  <si>
    <t>consider how this affects our total cost of living - many of us struggle to pay rising rent prices without utilities</t>
  </si>
  <si>
    <t>No MEP R-XS ($103.62)</t>
  </si>
  <si>
    <t>4da385ef-ac93-40cf-a9ac-a9ace32b8f6c</t>
  </si>
  <si>
    <t>Huizenga</t>
  </si>
  <si>
    <t>Spend money within their means as opposed to growing the grid to prepare for future growth at the expense of the sonsumer. I invested in solar... costs continue to grow.</t>
  </si>
  <si>
    <t>08a0dc0c-7476-43ac-b1c6-89eb9392f402</t>
  </si>
  <si>
    <t>Lundin</t>
  </si>
  <si>
    <t>This is pure GREED and negatively impacts all constituents. Do not pass this!</t>
  </si>
  <si>
    <t>No MEP R-XS ($845.52)</t>
  </si>
  <si>
    <t>Please contact customer regarding plan options - 3 properties total but 1 property is not on MEP.</t>
  </si>
  <si>
    <t>948263c9-7457-4437-9164-76ae3305ed1d</t>
  </si>
  <si>
    <t>Pillsbury</t>
  </si>
  <si>
    <t>No more rate hikes! Already increased 8% last year! I oppose the 14% proposed increase!</t>
  </si>
  <si>
    <t>e455444a-779a-47dc-8acd-a93aeea21b9a</t>
  </si>
  <si>
    <t>Zegarac</t>
  </si>
  <si>
    <t>Mara</t>
  </si>
  <si>
    <t>No increase in rates is needed or warranted. Put people over profits,</t>
  </si>
  <si>
    <t>No MEP R-BASIC ($40.52)</t>
  </si>
  <si>
    <t>5abbdb6f-8594-4e13-892d-98e276015ad5</t>
  </si>
  <si>
    <t>Zach</t>
  </si>
  <si>
    <t>Increase on those awful dat centers which I'm going tonight to protest against the possibility of Surprise, Arizona, adding another one.</t>
  </si>
  <si>
    <t>e0b66b8e-bad7-4255-a531-9f8926b2e69d</t>
  </si>
  <si>
    <t>Sukhera</t>
  </si>
  <si>
    <t>Jasim</t>
  </si>
  <si>
    <t>a resident of Phoenix AZ oppose the 14% utilities rate increase</t>
  </si>
  <si>
    <t>269f11f7-8205-4acc-a50c-d5c160191689</t>
  </si>
  <si>
    <t>Mahoney</t>
  </si>
  <si>
    <t>Brindle</t>
  </si>
  <si>
    <t xml:space="preserve">Newly widowed, disabled snior. Half the time I don't even use the utilities because I can barely afford them. </t>
  </si>
  <si>
    <t>b9812489-c2d1-4abc-8c53-2fde57a149a5</t>
  </si>
  <si>
    <t>Arias</t>
  </si>
  <si>
    <t>Tessa</t>
  </si>
  <si>
    <t>Double the price I paid in SRP territory. Troubled by the proposal for FRM</t>
  </si>
  <si>
    <t>64731711-b97a-4adf-a213-659a49c2708e</t>
  </si>
  <si>
    <t>Currie</t>
  </si>
  <si>
    <t>Donald</t>
  </si>
  <si>
    <t xml:space="preserve">Solar customers got solar to help sustain the grid and keep our price stable. We paid for these panels. We should not be fee'd to death. Inrease data center even more. </t>
  </si>
  <si>
    <t>55c25895-9fcd-402b-9fb5-987b172952af</t>
  </si>
  <si>
    <t>Neal</t>
  </si>
  <si>
    <t xml:space="preserve">14% APS rate hike is excessive for consumers. I am a senior citizen, struggling already. </t>
  </si>
  <si>
    <t>No MEP R3-47 ($235.41)</t>
  </si>
  <si>
    <t>a4b73abd-e011-4baa-8e8f-6f7e35b30e59</t>
  </si>
  <si>
    <t>Murton</t>
  </si>
  <si>
    <t>OPPOSE the proposed 14% rate increase by APS. Coming on the heels of an 8% increase just last year.</t>
  </si>
  <si>
    <t>97d1fb4f-6433-4029-9909-42d6497d573c</t>
  </si>
  <si>
    <t>d44b47b3-c6fd-4626-bb5d-c92b606e13e7</t>
  </si>
  <si>
    <t>Baughman Vincent</t>
  </si>
  <si>
    <t>Ericaanne</t>
  </si>
  <si>
    <t>Please do not let APS hike our rates! I already  had to cut vidal expenses such as food, medicine because the utilities rates are already out rages!</t>
  </si>
  <si>
    <t>e648f45f-9b87-4b15-8112-473791589f6e</t>
  </si>
  <si>
    <t>Loomis</t>
  </si>
  <si>
    <t>The rate hike for 14 percent is crazy and to change solar customer's a sur change is not right</t>
  </si>
  <si>
    <t>47456f4e-c044-4140-ac6e-45c5f1307cb7</t>
  </si>
  <si>
    <t>My wife and I are on fixed incomes and our bill has risen from $103.52 per month to $174.52 in the last 2 years.</t>
  </si>
  <si>
    <t>No MEP R3-47 ($30.74)</t>
  </si>
  <si>
    <t>f287171a-bddd-4efb-8b77-b4150bc1bae5</t>
  </si>
  <si>
    <t>Pendergraft</t>
  </si>
  <si>
    <t xml:space="preserve">It is unreasonable to expect Arizona families to shoulder another significant iincrease. Quotes APS  mission statement on 'About Us' page. </t>
  </si>
  <si>
    <t>199bbd9f-6b6a-473b-a9cf-bd0ed7757d5f</t>
  </si>
  <si>
    <t>Mueller</t>
  </si>
  <si>
    <t xml:space="preserve">Why do they need YET ANOTHER INCREASE? APS is already charging WAAAAY more than SRP. </t>
  </si>
  <si>
    <t>745edded-1f34-46e8-838a-021e645a74b5</t>
  </si>
  <si>
    <t>Barraza</t>
  </si>
  <si>
    <t xml:space="preserve">Parent of  three children, like many Arizona families, we are already struggling with the rising cost of living. </t>
  </si>
  <si>
    <t>No MEP R-BASIC ($1.22)</t>
  </si>
  <si>
    <t>b93fc180-39ad-4b74-aa03-8677403528a7</t>
  </si>
  <si>
    <t>I also think that data centers should be paying their share for the increased electricity</t>
  </si>
  <si>
    <t>https://docket.images.azcc.gov/E000048828.pdf</t>
  </si>
  <si>
    <t>df51bd2b-7701-4781-83e0-a69541a9ff54</t>
  </si>
  <si>
    <t>McKee</t>
  </si>
  <si>
    <t xml:space="preserve">It is unfathomable that they would request yet another rate hike, especially considering the outrageous amount the APS officers are taking in sompensation. </t>
  </si>
  <si>
    <t>5c9d14a4-88c3-47e3-8f62-5c9bccb7625e</t>
  </si>
  <si>
    <t>Pays for advertising and sponsorships and events. APS could care less about the rate payers</t>
  </si>
  <si>
    <t>0f6e4021-ce92-4f0f-b603-f2b9784d5813</t>
  </si>
  <si>
    <t>Devlin</t>
  </si>
  <si>
    <t>difficult to enjoy my retirement from hard work for 50 years. My family consistently tries to conserve but it seems like large businesses are not pulling their weight.</t>
  </si>
  <si>
    <t>cf735337-21e1-4b36-b193-0767699ebd5c</t>
  </si>
  <si>
    <t>Johancen</t>
  </si>
  <si>
    <t>Pls do NOT let them raise the elec rate, $600 million last year seems like they are doing OK</t>
  </si>
  <si>
    <t>https://docket.images.azcc.gov/E000048860.pdf</t>
  </si>
  <si>
    <t>7e50f960-dacd-4d6c-8a9d-6e84b85a681b</t>
  </si>
  <si>
    <t>Keliher</t>
  </si>
  <si>
    <t>Prices at the grocery store and it has tripled the cost per month that we pay for food. This has really out into our budget.</t>
  </si>
  <si>
    <t>6f05cfc6-c27f-4d2d-b45b-61e49c70ea62</t>
  </si>
  <si>
    <t>Schedler</t>
  </si>
  <si>
    <t xml:space="preserve">As a person of faith, I believe it is morally wrong to ask for yet another rate increase for APS customers while simultaneously abandoning clean energy goals. </t>
  </si>
  <si>
    <t>38abe5bd-2041-4646-8424-75f220db7e8c</t>
  </si>
  <si>
    <t>Regen</t>
  </si>
  <si>
    <t>b0d88b50-3e3c-4d45-9e02-ababbf42e787</t>
  </si>
  <si>
    <t>Dapcedich</t>
  </si>
  <si>
    <t>A 16%+ increase is unreasonable and unjustified. APS has made little improvements to their infrastructure compared to the increased amount of customers and revenue.</t>
  </si>
  <si>
    <t>https://docket.images.azcc.gov/E000048844.pdf</t>
  </si>
  <si>
    <t>c40fcb2c-1377-4b37-b44b-b54e0ff1e499</t>
  </si>
  <si>
    <t>Triggs</t>
  </si>
  <si>
    <t>Jovada</t>
  </si>
  <si>
    <t>Live with my daughter and am on a fixed income. Even with a discounted plan, I am still paying over $100 per month. I can't afford another increase. This is unfair</t>
  </si>
  <si>
    <t>https://docket.images.azcc.gov/E000048847.pdf</t>
  </si>
  <si>
    <t>bbef9225-e478-4fb3-8d1e-aa2958458fb5</t>
  </si>
  <si>
    <t>Gaydos</t>
  </si>
  <si>
    <t>I worry about our schools. It should be the developers building that should be paying for the expansion and infrastructure to support our power grid.</t>
  </si>
  <si>
    <t>045308b8-cb0a-4826-8da8-f918256cbe6b</t>
  </si>
  <si>
    <t>Griffis</t>
  </si>
  <si>
    <t>Arizonans are already struggling to afford. This proposal comes after multiple rate increases in recent years,</t>
  </si>
  <si>
    <t>https://docket.images.azcc.gov/E000048888.pdf</t>
  </si>
  <si>
    <t>031c9083-9267-49e1-b7d9-0979a3411756</t>
  </si>
  <si>
    <t>Crawley</t>
  </si>
  <si>
    <t xml:space="preserve">I'm opposed to a rate increase from APS. It is difficult to pay our current bill, let alone an additional increase. We (retired folks) only received a $34 increase on our SS. </t>
  </si>
  <si>
    <t>??</t>
  </si>
  <si>
    <t>c3466ff9-91e9-4a61-9bf4-b340cc0c51da</t>
  </si>
  <si>
    <t>Frampton</t>
  </si>
  <si>
    <t>This is an unreasonable increase, particularly since APS just abandoned its clean energy goals.</t>
  </si>
  <si>
    <t>db3a1352-1656-4504-bb2b-3aa3267ed736</t>
  </si>
  <si>
    <t>Tuggle</t>
  </si>
  <si>
    <t>Nora</t>
  </si>
  <si>
    <t xml:space="preserve">I am 72 years old, a disabled veteran on a fixed income. I am left questiong what options are available to me. </t>
  </si>
  <si>
    <t>5cc7634e-955b-40a1-af0f-c3393f140820</t>
  </si>
  <si>
    <t>Previous utility employee. Keep coal plants running. Solar customers should  not be penalized.</t>
  </si>
  <si>
    <t>0763b2d2-b01b-4579-85cb-096a3c1f3d9b</t>
  </si>
  <si>
    <t>The data copanies monopolizing the most usage need to pair their fair share. Do not put it off on the residential customers</t>
  </si>
  <si>
    <t>7bb88b8f-0198-42c1-ac91-f66ad06d2d5b</t>
  </si>
  <si>
    <t>Gerald</t>
  </si>
  <si>
    <t>A 14% rate increase is unreasonable and unconscionable.It puts an unnecessary burden upon the average consumer</t>
  </si>
  <si>
    <t>https://docket.images.azcc.gov/E000048866.pdf</t>
  </si>
  <si>
    <t>ba53b08c-685d-40eb-92f1-989a6e4a2f02</t>
  </si>
  <si>
    <t>Chettle</t>
  </si>
  <si>
    <t>We are opposed to the proposed rate increase of 14% in 2026</t>
  </si>
  <si>
    <t>d304534a-4428-44d2-a49b-e76e7d6163d2</t>
  </si>
  <si>
    <t xml:space="preserve">Hill </t>
  </si>
  <si>
    <t>We the people the voters can't afford to have another increase in our electric. Data centers should be paying even more</t>
  </si>
  <si>
    <t>Participated in public comment session on 1/26</t>
  </si>
  <si>
    <t>d1285ad0-6ce5-4651-ae69-1cd6be8cc614</t>
  </si>
  <si>
    <t>Ewing</t>
  </si>
  <si>
    <t>We are already paying historic rate heights while the data centers receive their power at a discounted rate. Enough is enough!</t>
  </si>
  <si>
    <t>https://docket.images.azcc.gov/E000048893.pdf</t>
  </si>
  <si>
    <t>341a8143-5bff-4d77-909d-dac134a92f9a</t>
  </si>
  <si>
    <t>Threadgill</t>
  </si>
  <si>
    <t>If their expenses are on the rise pass the rate increases off to the mega users-Al &amp; Fab, plants not us</t>
  </si>
  <si>
    <t>Multiple Acct</t>
  </si>
  <si>
    <t>a83c8d35-b78b-495d-abcb-cde1e1f7cbc9</t>
  </si>
  <si>
    <t xml:space="preserve">ACC should require APS to demonstrate stronger cost controls, clearer justification for projected expensses and meaningful efforts to protect low-income customers. </t>
  </si>
  <si>
    <t>This customer was re-assigned from Tier 1 to Tier 3. Likely not their best rate. Needs 3 months of data to see if RTOUE or R3 would be better.</t>
  </si>
  <si>
    <t>9d9e7e58-e2d3-4a65-9cc4-ce164b439f52</t>
  </si>
  <si>
    <t>Hamrick</t>
  </si>
  <si>
    <t>Trying get help because every year my rent goes up</t>
  </si>
  <si>
    <t>https://docket.images.azcc.gov/E000048917.pdf</t>
  </si>
  <si>
    <t>May need information for additional assistance programs?</t>
  </si>
  <si>
    <t>ed2a2e76-f5fa-4421-a498-5c6010853874</t>
  </si>
  <si>
    <t xml:space="preserve">Make a change now away from the Green new deal and do not allow APS to rais their rates. </t>
  </si>
  <si>
    <t>d7e06a6a-d754-4a23-b9da-cd90790b8bc3</t>
  </si>
  <si>
    <t>Unkown</t>
  </si>
  <si>
    <t>Representing Arizona Mormon Women for Ethical Government</t>
  </si>
  <si>
    <t>https://images.edocket.azcc.gov/docketpdf/E000048922.pdf</t>
  </si>
  <si>
    <t>759c7a03-a7fb-4e0e-bc97-721085b1c93a</t>
  </si>
  <si>
    <t>6efcfdeb-6191-4185-b648-12ed53f69a04</t>
  </si>
  <si>
    <t>Roberta</t>
  </si>
  <si>
    <t>I would like to ask why you weren't at the meeting as you are an elected official and you are one of the members in charge of making this important decision. I have lived in my current home that uses APS for 11 years. I have seen my rates inrease 3 times.</t>
  </si>
  <si>
    <t>https://docket.images.azcc.gov/E000048953.pdf</t>
  </si>
  <si>
    <t>No MEP R3-47 ($393.92)</t>
  </si>
  <si>
    <t>Please contact customer regarding rate options. Participated in public comment session on 1/20, Docketed 2x</t>
  </si>
  <si>
    <t>ae492e00-cfd3-4655-8b75-0b5d24768aa5</t>
  </si>
  <si>
    <t>Keithly</t>
  </si>
  <si>
    <t>https://docket.images.azcc.gov/E000048950.pdf</t>
  </si>
  <si>
    <t>???</t>
  </si>
  <si>
    <t>55d0b2d5-beb7-49fb-969a-6f49bf36d4f5</t>
  </si>
  <si>
    <t xml:space="preserve">Let's not California our state. As a republican I know that you'r first instinct is to help the people of Arizona not to line APS pockets. </t>
  </si>
  <si>
    <t>d2b5b9e4-1e03-4636-91b7-fe1d3b619354</t>
  </si>
  <si>
    <t>Cook</t>
  </si>
  <si>
    <t>$5 billion scheme to build a pipeline to bring gas from Texas, they're moving Arizona away from a clean energy future</t>
  </si>
  <si>
    <t>https://docket.images.azcc.gov/E000048958.pdf</t>
  </si>
  <si>
    <t>b9f5b019-6f96-43b0-878c-4a1bb5f58e12</t>
  </si>
  <si>
    <t>Gerheauser</t>
  </si>
  <si>
    <t>Why aren't savings from the alternate sources applied to customers, or invested in more alternate sources?</t>
  </si>
  <si>
    <t>73c4e731-0c07-476b-ae18-4c9491460660</t>
  </si>
  <si>
    <t>Spear</t>
  </si>
  <si>
    <t>I don't think it is right for the existing residential homes to foot the bill in the form of rate increases for new residential and new commercial development.</t>
  </si>
  <si>
    <t>dec0ca98-ebba-4001-894f-0f1a0928b93a</t>
  </si>
  <si>
    <t>Chaison</t>
  </si>
  <si>
    <t>Please don't raise my rates! l can't afford the rates now! Help!</t>
  </si>
  <si>
    <t>a2f21d47-ac2b-4ecd-8fe3-3e3a619319ae</t>
  </si>
  <si>
    <t>Gloria</t>
  </si>
  <si>
    <t>They are already initially to high '??</t>
  </si>
  <si>
    <t>92326a75-70ca-44f8-b532-15ebe84d8ea8</t>
  </si>
  <si>
    <t>Jeana</t>
  </si>
  <si>
    <t xml:space="preserve">Over the past 12 months our electricy expenses have totaled under $5,000 for a family of five, despite having no major electricity draws or unusually high usage. </t>
  </si>
  <si>
    <t>342fd994-95c3-4c0f-a0a7-9ccf6c2b8541</t>
  </si>
  <si>
    <t>Bollinger</t>
  </si>
  <si>
    <t>You want to raise but what are you going to tell disabled people like me that are basically trying to stay afloat</t>
  </si>
  <si>
    <t>No MEP TOUE-47 ($384.68)</t>
  </si>
  <si>
    <t>f9c6d46e-14f4-4bbe-a7a7-fed3a2e1e711</t>
  </si>
  <si>
    <t>Hudson</t>
  </si>
  <si>
    <t xml:space="preserve"> it's impossible for the average Arizona. To afford electricity , if they continue to do this every single year.</t>
  </si>
  <si>
    <t>RTOUE</t>
  </si>
  <si>
    <t>No MEP R3-47 ($641.78)</t>
  </si>
  <si>
    <t>2cdbf5d0-1e4c-4680-8e8e-baa65904b70d</t>
  </si>
  <si>
    <t>Gardella</t>
  </si>
  <si>
    <t>An average of $20 being added to simmer until bill will make it almost unmanageable for residents on a fixed income.</t>
  </si>
  <si>
    <t>https://docket.images.azcc.gov/E000048995.pdf</t>
  </si>
  <si>
    <t>bd78f3c7-c328-438b-bc67-17943d9f07ae</t>
  </si>
  <si>
    <t>Zamora</t>
  </si>
  <si>
    <t>Jeannette</t>
  </si>
  <si>
    <t>I am a retired individual who really can't afford the rate hikes that you continue to add. Tell the good people of Arizona why the hikes are so high</t>
  </si>
  <si>
    <t>88219f12-547a-4c5e-bf9a-729b67742722</t>
  </si>
  <si>
    <t>Adena</t>
  </si>
  <si>
    <t>I live on a fixed income. Take care of an 82-year-old man you continuously increase these rates. I am unable to sustain payments so consider this my hardship letter if rates go up.</t>
  </si>
  <si>
    <t>769a5106-1037-40da-8acd-399ee46fe68d</t>
  </si>
  <si>
    <t>Aho</t>
  </si>
  <si>
    <t>Tammy</t>
  </si>
  <si>
    <t>I'm currently 3 months behind and I've called every publlis assistance agency for help. Rate hikes will for sure 100% cut my electric off for my family. When is enough enough???</t>
  </si>
  <si>
    <t>5e31856c-f3a4-44ad-b1ff-de82bbd7712d</t>
  </si>
  <si>
    <t>Raggio</t>
  </si>
  <si>
    <t xml:space="preserve">Family of 6... I've already seen enough increases over the years that l'm constantly having to decide how to move my budget around to adjust for rising power costs. </t>
  </si>
  <si>
    <t>https://docket.images.azcc.gov/E000048963.pdf</t>
  </si>
  <si>
    <t>abf22837-c346-4bc9-a22e-f2560d1b9574</t>
  </si>
  <si>
    <t>Murad</t>
  </si>
  <si>
    <t xml:space="preserve">I live in a 2-bedroom, 2-bathroom unit, yet last summer my bill was as high as someone living in a 2,000 sq. ft. house. The tier system they use is also a mess. </t>
  </si>
  <si>
    <t>This customer was re-assigned from Tier 1 to Tier 2. Likely not their best rate. Needs 3 months of data to see if RTOUE or R3 would be better.</t>
  </si>
  <si>
    <t>d9ef46c4-adca-454c-af85-56bfdb02346c</t>
  </si>
  <si>
    <t>Maillie</t>
  </si>
  <si>
    <t xml:space="preserve">I work part time since 2023 march when I lost my job due to an accident. I help take care of a 73yr. cripple that requires 24/7/365 care. </t>
  </si>
  <si>
    <t>3b65f891-41c9-4109-b597-84b1566ecdb1</t>
  </si>
  <si>
    <t>Vitagliano</t>
  </si>
  <si>
    <t>Lori</t>
  </si>
  <si>
    <t>As a teacher I can barely afford the costs of electricity as is let alone with a 14% increase.</t>
  </si>
  <si>
    <t>https://images.edocket.azcc.gov/docketpdf/E000049005.pdf</t>
  </si>
  <si>
    <t>fce862ad-86fc-4e5c-82f1-ecf14f20a0e0</t>
  </si>
  <si>
    <t>Cortez</t>
  </si>
  <si>
    <t>They already got a hike no more greed please</t>
  </si>
  <si>
    <t>13f2b8a7-c0cb-415e-9cc8-0f83fe976e6e</t>
  </si>
  <si>
    <t>Deborah</t>
  </si>
  <si>
    <t>I am one of the many retired members living here and feel that they ahve taken advantage of the people long enough</t>
  </si>
  <si>
    <t>https://docket.images.azcc.gov/E000048921.pdf</t>
  </si>
  <si>
    <t>cfef25f8-cb35-416a-9b8f-bea538c52c1c</t>
  </si>
  <si>
    <t>Parkhurst</t>
  </si>
  <si>
    <t>Phil</t>
  </si>
  <si>
    <t>APS's Continued quest for rate increases must be stopped.either they are guilty of outlandish greed or are incredibly inefficient</t>
  </si>
  <si>
    <t>48805b0b-8aaf-4cbb-8bb9-630683744791</t>
  </si>
  <si>
    <t>Holmes</t>
  </si>
  <si>
    <t>They are selling there power to California at a profit. They should be cost conscious of the people of AZ!</t>
  </si>
  <si>
    <t>9a230b05-c2e2-4616-88da-71d4b7a6ede4</t>
  </si>
  <si>
    <t>Perez</t>
  </si>
  <si>
    <t>Martha</t>
  </si>
  <si>
    <t>Have a heart in Jesus Christ we beg for lower cost. Please help American people with solar is the best option for all if</t>
  </si>
  <si>
    <t>744214d2-d793-4ad2-bdec-eab451d40cba</t>
  </si>
  <si>
    <t>Bingham</t>
  </si>
  <si>
    <t>Why does the commission always side with APS ? When will you side with poor and retired citizens</t>
  </si>
  <si>
    <t>7cfd26ba-bd16-42f2-ae0c-e9b534ac6e02</t>
  </si>
  <si>
    <t>Yolanda</t>
  </si>
  <si>
    <t>struggling to stay a float and you're trying to add another blow to our lives, NO WAY! Stop this madness and let us be able to feed our families</t>
  </si>
  <si>
    <t>f9115743-d554-4b0b-9760-378da827af31</t>
  </si>
  <si>
    <t>Palomino</t>
  </si>
  <si>
    <t>Erica</t>
  </si>
  <si>
    <t>The service is expensive.</t>
  </si>
  <si>
    <t>Spanish Preference</t>
  </si>
  <si>
    <t>2a693d08-c8f2-4a29-bb94-219a59dfdb8d</t>
  </si>
  <si>
    <t xml:space="preserve">I worked for a water company at for 27 years in California... people are flocking to AZ which creates huge amounts of revenue. </t>
  </si>
  <si>
    <t>8d8e3c81-fbc2-4129-bf4e-e8d961b2f561</t>
  </si>
  <si>
    <t>Munoz</t>
  </si>
  <si>
    <t>Olga</t>
  </si>
  <si>
    <t>Please do not allow APS to rise the rate on electricity.</t>
  </si>
  <si>
    <t>d30b00eb-1f0b-4593-854f-193357109464</t>
  </si>
  <si>
    <t>Ann</t>
  </si>
  <si>
    <t xml:space="preserve">As a senior citizen on a very fixed income; aware of help services but qualify for none. I haven't been able to afford red meat for 3 years. </t>
  </si>
  <si>
    <t>d80e002b-a39d-4e4c-988e-e932b6f1f9de</t>
  </si>
  <si>
    <t>Crnich</t>
  </si>
  <si>
    <t>Betty</t>
  </si>
  <si>
    <t>everyone keep raising prices and the increase they give each year doesn't even begin to help us on cost of living</t>
  </si>
  <si>
    <t>1dfa5edc-e921-4eec-b1f0-27c2bdbff70e</t>
  </si>
  <si>
    <t>Richter</t>
  </si>
  <si>
    <t>Klaus</t>
  </si>
  <si>
    <t>I am against the increase APS is planning</t>
  </si>
  <si>
    <t>EPR6w/ET</t>
  </si>
  <si>
    <t>6f6c4ef1-4517-4d41-a949-31ba1394b218</t>
  </si>
  <si>
    <t>Hopper</t>
  </si>
  <si>
    <t xml:space="preserve"> I'm on a payment plan now. Paying back the money owed during summer. (Which I can't afford) I still have 2-3 more payments</t>
  </si>
  <si>
    <t>0897e06d-00f2-438e-9e3d-098f21131e4f</t>
  </si>
  <si>
    <t>Reis</t>
  </si>
  <si>
    <t>I am apposed to APS rate hike stop using the inefficient green energy and get more of the power from the PV plant</t>
  </si>
  <si>
    <t>5f810023-e8f8-43b7-a59e-ca9e45053c5b</t>
  </si>
  <si>
    <t>Velasquez</t>
  </si>
  <si>
    <t>Geordanny</t>
  </si>
  <si>
    <t>APS already earns substantial profits, and raising rates again would place an unfair burden on Arizona households</t>
  </si>
  <si>
    <t>9cbb7a8e-6638-486c-ba66-28ac8cbd6a89</t>
  </si>
  <si>
    <t>Orville</t>
  </si>
  <si>
    <t>Laveen</t>
  </si>
  <si>
    <t xml:space="preserve">When is enough enough. The more we give the more they ask for. But our pay as employees remains the same. </t>
  </si>
  <si>
    <t>2b4bf6bb-ec0a-411f-a5dd-9caf79dc6d1c</t>
  </si>
  <si>
    <t>Devita</t>
  </si>
  <si>
    <t>This company is scamming their customers... newsletter tips, want people to only do their heave use during off hours, they are the AT&amp;T of Arizona</t>
  </si>
  <si>
    <t>79df254f-01cf-4d63-af0a-5768f73629e0</t>
  </si>
  <si>
    <t>Merriam</t>
  </si>
  <si>
    <t>Danyial</t>
  </si>
  <si>
    <t>When you have to decide to cool your home so your babies wont die, or to buy food something is terribly wrong.</t>
  </si>
  <si>
    <t>955afe14-6966-4889-b288-f1c00e021b18</t>
  </si>
  <si>
    <t>Theadora</t>
  </si>
  <si>
    <t>They are charging at least half of the APS charges in taxes on top of the usage charges. That's wrong.</t>
  </si>
  <si>
    <t>0f6325a7-088a-456e-a054-9695ab86235e</t>
  </si>
  <si>
    <t>Avery</t>
  </si>
  <si>
    <t>Some of us are barely making ends meet as it is already! Please vote NO to APS!!</t>
  </si>
  <si>
    <t>f67e1b04-5397-47ed-b41b-a0891075a2bd</t>
  </si>
  <si>
    <t>Parks</t>
  </si>
  <si>
    <t>Drop some of your expensive sponsorships that benefit few of us and keep your rates the same.</t>
  </si>
  <si>
    <t>b306e6ae-d674-488b-99cd-81d302d9d1ae</t>
  </si>
  <si>
    <t>Hubler</t>
  </si>
  <si>
    <t>Sherrie</t>
  </si>
  <si>
    <t xml:space="preserve">Notes company revenue, executive order to re-open Cholla, donations to Katie Hobbs and Kari Lake. </t>
  </si>
  <si>
    <t>66f11ede-187c-4398-a421-7df1505b1be9</t>
  </si>
  <si>
    <t>Merrick</t>
  </si>
  <si>
    <t>m against the continuous increase in utilities. The cost of living isn't keeping up with these hikes.</t>
  </si>
  <si>
    <t>May be linked to a closed account in Peoria with a write off balance</t>
  </si>
  <si>
    <t>f2c5503a-3c2d-4167-b0a2-972b46896c36</t>
  </si>
  <si>
    <t>Nield</t>
  </si>
  <si>
    <t>Carolyn</t>
  </si>
  <si>
    <t xml:space="preserve">Most AZ citizens are like my Mother in law living on a fxed income from Social Security or disability. The prices are getting out of control. </t>
  </si>
  <si>
    <t>e1632828-942b-400e-8bdd-c8b177ed4b71</t>
  </si>
  <si>
    <t>Wahlert</t>
  </si>
  <si>
    <t xml:space="preserve">Our living expenses have skyrocketed and it I have to stay cool in summer and warm in the winter. Please don't raise the fees again. </t>
  </si>
  <si>
    <t>No MEP R3-47 ($173.12)</t>
  </si>
  <si>
    <t>cf38bf35-2b16-4d07-b6d5-c7c88415e447</t>
  </si>
  <si>
    <t>Amaro</t>
  </si>
  <si>
    <t>I have only one limited income to keep my home warm in the winter and especiall cooler in the hot hot summer months</t>
  </si>
  <si>
    <t>6b7a581f-18c6-4a06-8517-0f51958e0ae9</t>
  </si>
  <si>
    <t>Chrzanowski</t>
  </si>
  <si>
    <t>Alma</t>
  </si>
  <si>
    <t>The average family is struggling enough just to put food on the table...we don't need our power company to "stick it to us",</t>
  </si>
  <si>
    <t>97ddc1cb-ea37-4609-9721-6d9050f9bd9c</t>
  </si>
  <si>
    <t>McAnney</t>
  </si>
  <si>
    <t>Congress</t>
  </si>
  <si>
    <t>APS already charges exorbitant fees for poor quality services. We as consumers cannot afford higher prices</t>
  </si>
  <si>
    <t>4d091e3b-4b1f-4c93-b94e-7f4ebc9fd38b</t>
  </si>
  <si>
    <t xml:space="preserve"> I struggle and inconvenience my family trying to keep power bill under 400.00! And most of the time can't.</t>
  </si>
  <si>
    <t>3f6ccc38-42ea-45e6-b768-9f3612302f0c</t>
  </si>
  <si>
    <t>Dunne</t>
  </si>
  <si>
    <t>Utility costs are already high, unaffordable energy costs will hurt our economy.</t>
  </si>
  <si>
    <t>7382efff-2a12-4bfc-af5c-b2c2b2273a01</t>
  </si>
  <si>
    <t>Wyndy</t>
  </si>
  <si>
    <t>Enough is enough. People are at the limit, trying to make ends meet.</t>
  </si>
  <si>
    <t>31062dcc-2716-44e8-b003-04ed5056a07a</t>
  </si>
  <si>
    <t>Loiselle</t>
  </si>
  <si>
    <t>Jeffery</t>
  </si>
  <si>
    <t>APS continues to make 100+ million in profit. How much is enough? Till people particularly the elderly on fixed incomes can't afford it in the extreme heat or cold?</t>
  </si>
  <si>
    <t>75bcb532-31fd-4535-83e0-0fbf26850c3d</t>
  </si>
  <si>
    <t>Corlew</t>
  </si>
  <si>
    <t>We can no longer afford it I will need to sell and move if this continues Can you please give seniors a discount??</t>
  </si>
  <si>
    <t>9da74249-c827-41d1-a3fe-af32f1b9defa</t>
  </si>
  <si>
    <t>Sadolfo</t>
  </si>
  <si>
    <t>As a military veteran and current government employee, we only received a 1% raise for 2026</t>
  </si>
  <si>
    <t>81a64a60-87d2-4279-b176-c8c3baf8afea</t>
  </si>
  <si>
    <t>Harlene</t>
  </si>
  <si>
    <t xml:space="preserve">decide if I want heat or cool or or food and medicines. Using increases are going way over my head. Please help to keep them not going up. </t>
  </si>
  <si>
    <t>No MEP R3-47 ($66.61)</t>
  </si>
  <si>
    <t>66da1145-aecf-4ba9-8aa0-531be2a872a4</t>
  </si>
  <si>
    <t>DiGiovanni</t>
  </si>
  <si>
    <t>Vote No and gain some respect and integrity for once in your life.</t>
  </si>
  <si>
    <t>9cf30239-9f1e-447e-b244-4c495b9e272e</t>
  </si>
  <si>
    <t>Milinovich</t>
  </si>
  <si>
    <t>Seniors will suffer in the summer heat because they can't afford to cool their homes in the summer.</t>
  </si>
  <si>
    <t>399fb831-ea43-4978-805c-dc22e72e919f</t>
  </si>
  <si>
    <t>Kenyon</t>
  </si>
  <si>
    <t>From 2023 to 2024 they increase profits by about 400%. Now wanting an 18% increase is just corporate theft from the Arizona residents.</t>
  </si>
  <si>
    <t>6fa68fb1-79ed-4d0e-b20d-7be46346cdf6</t>
  </si>
  <si>
    <t>Busby</t>
  </si>
  <si>
    <t>Public utilities along with a mortgage and food are necessities. Controlling the cost of these things is a must.</t>
  </si>
  <si>
    <t>e831935b-8005-48b6-ae93-a1cdbf26965a</t>
  </si>
  <si>
    <t>Casillas</t>
  </si>
  <si>
    <t>Danielle Salas</t>
  </si>
  <si>
    <t>It breeds gentrification and pushes out already at risk communities. The last thing our communities need are price hikes.</t>
  </si>
  <si>
    <t>db8de61c-6e98-4c98-b158-909aa6aa95d0</t>
  </si>
  <si>
    <t>The 14% rate hike your company is asking for is uncalled for. You raised your rate last year.</t>
  </si>
  <si>
    <t>1fa15d2e-e81d-4077-8c9a-161797c9b6f4</t>
  </si>
  <si>
    <t>Don't you think we pay enough for power ? The data centers should pay any increase in power rates.</t>
  </si>
  <si>
    <t>f8a98722-7bed-4a34-89fd-06fd4ff23815</t>
  </si>
  <si>
    <t>Company already making millions in profits and therefore does not need an increase in revenue.</t>
  </si>
  <si>
    <t>56ec8539-68b7-4129-9760-8eb91dc4072a</t>
  </si>
  <si>
    <t>Helie</t>
  </si>
  <si>
    <t>Jay</t>
  </si>
  <si>
    <t>Who in there right mind would vote Democrat and higher rates, there isn't any God nor the people in these price gougers</t>
  </si>
  <si>
    <t>70bad558-b969-479d-b25d-6df4a08f9263</t>
  </si>
  <si>
    <t>Hanlon</t>
  </si>
  <si>
    <t>I am a 71 year old senior and my Social security is $956.00 a month. I am having trouble keeping my electric bill paid now</t>
  </si>
  <si>
    <t>eb055652-d1e0-40c1-912e-2e64b40938a0</t>
  </si>
  <si>
    <t>Koukal</t>
  </si>
  <si>
    <t>Autumn</t>
  </si>
  <si>
    <t>ONE MILLION DOLLARS. ONE MILLION DOLLARS base pay is what Our APS CEO's salary is! That's Outrageous!</t>
  </si>
  <si>
    <t>No MEP R-BASIC ($213.65)</t>
  </si>
  <si>
    <t>8352e61a-d835-4e42-850e-cb3205c5ba34</t>
  </si>
  <si>
    <t>Birtciel</t>
  </si>
  <si>
    <t>We can barely afford the electric bills now! No to a rate increase!</t>
  </si>
  <si>
    <t>0c21087e-bde1-424b-81e1-797b3ac3c283</t>
  </si>
  <si>
    <t>Mosher</t>
  </si>
  <si>
    <t>Tonia</t>
  </si>
  <si>
    <t>customers cannot afford such a large increase at this time, especially because it has been only a short time since the rates were last raised.</t>
  </si>
  <si>
    <t>a28a43c3-9666-48b3-a9fd-a6717d630d39</t>
  </si>
  <si>
    <t>Chester</t>
  </si>
  <si>
    <t>When is enough enough ? The price is already at an all time high. No more increase</t>
  </si>
  <si>
    <t>EPR6w/ECT-2</t>
  </si>
  <si>
    <t>2971f4be-e2f1-4024-ba5e-673984e18641</t>
  </si>
  <si>
    <t>Ricci</t>
  </si>
  <si>
    <t>the cost of everything else skyrocketing someone like me who is 66 yrs old and 100% disabled will be homeless if the rates go up AGAIN!</t>
  </si>
  <si>
    <t>Past account has write off balance</t>
  </si>
  <si>
    <t>e511d334-5a19-4d9f-a8b3-b3dfa3829b7e</t>
  </si>
  <si>
    <t>Andrea</t>
  </si>
  <si>
    <t xml:space="preserve">we cannot lower the A/C enough to stay cool in the summer. Sleeping in temps above 70 are not optimal for our health and well being and feeling rested. </t>
  </si>
  <si>
    <t>20b4c2b6-b5c7-4de7-84c1-6ae13a0df4fc</t>
  </si>
  <si>
    <t>Andujar</t>
  </si>
  <si>
    <t>I believe that aps should lower the cost because not all of us has the funds to keep paying a lot of money</t>
  </si>
  <si>
    <t>No MEP RTOUE47 ($64.15)</t>
  </si>
  <si>
    <t>84270de2-7d0e-44d9-a2d2-62bd4cbf18cc</t>
  </si>
  <si>
    <t>Vallejo</t>
  </si>
  <si>
    <t>David S</t>
  </si>
  <si>
    <t>I could agree to a rate increase if the salaries of the highest paid were lessened and bonuses across the board were eliminated.</t>
  </si>
  <si>
    <t>de09cc5b-3639-4358-b5f8-879cbcff21d1</t>
  </si>
  <si>
    <t>Arends</t>
  </si>
  <si>
    <t>TeNisha</t>
  </si>
  <si>
    <t>We have the sun at our disposal. Why isn't APS taking advantage of that to help the consumers that need their services</t>
  </si>
  <si>
    <t>0197bfd0-6b61-48d9-9ec4-eb257494c4f5</t>
  </si>
  <si>
    <t xml:space="preserve">I believe all the data centers you've allowed in our state are the biggest reason for the proposed increase. </t>
  </si>
  <si>
    <t>No MEP RTOUE47 ($37.10)</t>
  </si>
  <si>
    <t>605e2cab-e70a-4e07-b474-dbccae5da8b0</t>
  </si>
  <si>
    <t>Kleiner</t>
  </si>
  <si>
    <t>I am sick and tired of APS ripping me off every time you turn around the rates are going up because they can't manage their business</t>
  </si>
  <si>
    <t>c931f878-be11-422c-9626-bc3c8f52de63</t>
  </si>
  <si>
    <t>Benge</t>
  </si>
  <si>
    <t>Robert E</t>
  </si>
  <si>
    <t>Power is hi enough</t>
  </si>
  <si>
    <t>4aaf3fff-bb7c-4173-bd6d-62349c063fd1</t>
  </si>
  <si>
    <t>Senior on a fixed income... I will petition to not pass the rate hike. How much more do you need? Will blood be enough?</t>
  </si>
  <si>
    <t>RCPw/RTOUE</t>
  </si>
  <si>
    <t>7614bed8-17fb-4597-ab9f-4a194cc368b2</t>
  </si>
  <si>
    <t>Krukovsky</t>
  </si>
  <si>
    <t xml:space="preserve">Aps has raised our bills enough they need to be stopped people on social security can't afford it </t>
  </si>
  <si>
    <t>89e2d33e-c7d5-4755-acd6-f093d6adf0b4</t>
  </si>
  <si>
    <t>Danica</t>
  </si>
  <si>
    <t>Utility prices are high enough and your profit margin is also high enough.</t>
  </si>
  <si>
    <t>4b97495e-7438-4570-88be-ddc6621f200e</t>
  </si>
  <si>
    <t>Zickau</t>
  </si>
  <si>
    <t>l'm against the concept of consent price hikes</t>
  </si>
  <si>
    <t>7963e5ae-f85d-48ca-ad36-260b971b2d0a</t>
  </si>
  <si>
    <t>Mitchell</t>
  </si>
  <si>
    <t>Electricity costs are already causing people to go without enough heat.</t>
  </si>
  <si>
    <t>bcb137da-8cac-4f7d-bea9-c99c35edb583</t>
  </si>
  <si>
    <t>Foutch</t>
  </si>
  <si>
    <t xml:space="preserve"> Everytime we turn around our rates go up. Enough is enough</t>
  </si>
  <si>
    <t>27be6c76-7225-4c04-ad36-5287651545c2</t>
  </si>
  <si>
    <t>Young Town</t>
  </si>
  <si>
    <t>Against</t>
  </si>
  <si>
    <t>5b52ad7b-5a25-42fd-90f5-a411c35c6087</t>
  </si>
  <si>
    <t>Rodger</t>
  </si>
  <si>
    <t>Electric need to come down on price the power plant in joe city need to be operation at 100 %</t>
  </si>
  <si>
    <t>781c6499-6444-42bc-93d2-14641be7285a</t>
  </si>
  <si>
    <t>Cassidy</t>
  </si>
  <si>
    <t>In my opinion APS rates are already crippling high for a lot of people</t>
  </si>
  <si>
    <t>8f378c14-8a0e-4742-8c2f-a067faebfc83</t>
  </si>
  <si>
    <t>Don't raise rates!</t>
  </si>
  <si>
    <t>acb9bf27-baad-4371-95b0-dc7d06a4929e</t>
  </si>
  <si>
    <t>Varga</t>
  </si>
  <si>
    <t>affordable access to power can be a matter of life and death.</t>
  </si>
  <si>
    <t>eaf9eec5-2ba1-4561-8f5a-ca6ea40c26c3</t>
  </si>
  <si>
    <t>Bugenski</t>
  </si>
  <si>
    <t>I'm against the rate hike we are expensive enough</t>
  </si>
  <si>
    <t>02e34ded-a223-4326-8257-8d1e4591f9d7</t>
  </si>
  <si>
    <t>We already pay for high electric bills why raise it? Why not help the community</t>
  </si>
  <si>
    <t>ce5dca45-d700-472e-ba34-38730025ff18</t>
  </si>
  <si>
    <t>Brewer</t>
  </si>
  <si>
    <t>No price increase. APS is price gauging. They spent millions to keep solar energy out of Arizona.</t>
  </si>
  <si>
    <t>880ac443-fbe4-435f-b6fe-ddfccecb2af5</t>
  </si>
  <si>
    <t>Tracy</t>
  </si>
  <si>
    <t>Stop this current rate hike</t>
  </si>
  <si>
    <t>d9452671-5f16-488e-ad9c-285207cf6789</t>
  </si>
  <si>
    <t>Herrington</t>
  </si>
  <si>
    <t>Holly</t>
  </si>
  <si>
    <t>Aps is already making huge profits. Americans are already struggling. 14% would just hurt already struggling</t>
  </si>
  <si>
    <t>ba55e7d7-3067-4ec9-9693-859166371e46</t>
  </si>
  <si>
    <t>Masingale</t>
  </si>
  <si>
    <t>Drayanna</t>
  </si>
  <si>
    <t>Seniors; We are already down to remen daily if we want our Rx or no meds if we eat a roast.</t>
  </si>
  <si>
    <t>15844215-b3e7-4e70-abd8-e3a172459d7a</t>
  </si>
  <si>
    <t>Terra</t>
  </si>
  <si>
    <t xml:space="preserve">I am against a rate increase for APS or SRP or any other peivate entity wishing to raise rates </t>
  </si>
  <si>
    <t>41efb274-86f0-46ec-b406-0f2355ea8f0a</t>
  </si>
  <si>
    <t>Rasor</t>
  </si>
  <si>
    <t>Against yet ANOTHER rate increase.</t>
  </si>
  <si>
    <t>Noe</t>
  </si>
  <si>
    <t>d151bfa1-2c5c-4da1-ad1d-993213a5dc3c</t>
  </si>
  <si>
    <t>Kelli</t>
  </si>
  <si>
    <t>APS is receiving over millions of dollars and this price increase would negatively affect our families</t>
  </si>
  <si>
    <t>c4a8c05c-3d04-4428-b062-9aed09d35deb</t>
  </si>
  <si>
    <t>Guerena</t>
  </si>
  <si>
    <t>We don't need a rate increase. We pay enough as is. We have other things to pay for as well.</t>
  </si>
  <si>
    <t>c3870dd6-e1cd-47c2-84b9-4bfdf8d134fd</t>
  </si>
  <si>
    <t xml:space="preserve"> l'm a senior citizen on a fixed income and they are already profiting millions of dollars a year</t>
  </si>
  <si>
    <t>36a3fb4a-4ff4-4129-add9-fa781c328e81</t>
  </si>
  <si>
    <t>Jasmyne</t>
  </si>
  <si>
    <t xml:space="preserve">I am a single mom of 6.  I am already working two jobs just to handle the demand of the bills and other necessities </t>
  </si>
  <si>
    <t>566e3cdb-e898-48cf-821b-72a575a89f42</t>
  </si>
  <si>
    <t>Richardson</t>
  </si>
  <si>
    <t>This hike will hurt me and make me choose food or electricity. We do everything we can to conserve energy</t>
  </si>
  <si>
    <t>No MEP R3-47 ($239.72)</t>
  </si>
  <si>
    <t>2ef4aa2f-44cc-42dd-979b-f32b92817dbd</t>
  </si>
  <si>
    <t>Terrones</t>
  </si>
  <si>
    <t>Sharice</t>
  </si>
  <si>
    <t>I urge the commission and APS to consider alternative solutions that do not disproportionately impact customers</t>
  </si>
  <si>
    <t>47524a92-3947-48d7-a017-dcdbf8c586b4</t>
  </si>
  <si>
    <t>Lederer</t>
  </si>
  <si>
    <t>Gordon</t>
  </si>
  <si>
    <t>Economy is barely catching up and we've just recently had a rate hike of 8% in 2024.</t>
  </si>
  <si>
    <t>f761e670-a362-4556-abe6-ef5c69065c06</t>
  </si>
  <si>
    <t>Lawhead</t>
  </si>
  <si>
    <t>Jon</t>
  </si>
  <si>
    <t>l'll not pay more. l'II go off the grid</t>
  </si>
  <si>
    <t>No MEP R-BASIC ($73.44)</t>
  </si>
  <si>
    <t>6400c69a-ee10-4e49-a92b-760aa803bef6</t>
  </si>
  <si>
    <t>Colcord</t>
  </si>
  <si>
    <t>APS already makes millions off of us. Corporate greed is a pox on society and the people deserve better.</t>
  </si>
  <si>
    <t>466cfbcf-685d-4d6c-8a66-f33eae00cc08</t>
  </si>
  <si>
    <t>please take a minute or two and try to remember what it was like to get through the day when you don't have all the money in the world</t>
  </si>
  <si>
    <t>No MEP R-XS ($159.52)</t>
  </si>
  <si>
    <t>4dbd2af5-a0c2-4ac9-b7d4-7a4ddbab172f</t>
  </si>
  <si>
    <t>Rothanburg</t>
  </si>
  <si>
    <t>I have not turned my heat on this winter because I can't afford it. Yet their pockets and those of stockholders get fatter</t>
  </si>
  <si>
    <t>66db6ce1-a918-4f3a-871c-17ec78b0c2de</t>
  </si>
  <si>
    <t>Sisco</t>
  </si>
  <si>
    <t>Christina</t>
  </si>
  <si>
    <t xml:space="preserve">My husband and I are retired. We can barely pay for our utilities, food, mortgage and meds. </t>
  </si>
  <si>
    <t>1ef4bf5c-0894-4969-84c0-999fd917722d</t>
  </si>
  <si>
    <t>Perryman</t>
  </si>
  <si>
    <t xml:space="preserve">I also believe the higher cost of electricity is caused by electric car use. The country was not prepared for this at all. The grid is too small so APS... make prices higher. </t>
  </si>
  <si>
    <t>4252d7f2-b28f-468e-ba97-633fb6f6f078</t>
  </si>
  <si>
    <t>Saliba</t>
  </si>
  <si>
    <t>(APS) already profits millions, but they're trying to raise our prices even more</t>
  </si>
  <si>
    <t>c89a9303-2b70-4068-ad41-40217539ddf7</t>
  </si>
  <si>
    <t>Maribel</t>
  </si>
  <si>
    <t>Bills are already high I'm living pay check to pay check. Please don't raise the price up.</t>
  </si>
  <si>
    <t>dd955578-ba17-4bb0-8c58-408eee41550a</t>
  </si>
  <si>
    <t>You people keep raising prices having no concern for the customers and are only focused on your shareholders</t>
  </si>
  <si>
    <t>7855a6e0-5070-49dc-9d6b-5f26be16305e</t>
  </si>
  <si>
    <t>Sours</t>
  </si>
  <si>
    <t>No NetZero... Keep energy cheap and affordable and reliable!! Nobody wants blackouts when it's 114 at night time!</t>
  </si>
  <si>
    <t>0d331440-7bec-4efb-9835-034ebd45b0e7</t>
  </si>
  <si>
    <t>Kasten</t>
  </si>
  <si>
    <t>Surpsie</t>
  </si>
  <si>
    <t>No other company in the world gets to increase rates over 20% in a years time. If you make record profits</t>
  </si>
  <si>
    <t>cdabd09c-ff22-4c8a-841d-63a40f8fae9d</t>
  </si>
  <si>
    <t>Hatfield</t>
  </si>
  <si>
    <t>lm a handicapped senior with medical problems and I live on sandi so I have no money for a increase</t>
  </si>
  <si>
    <t>2262ec7b-b37f-4847-89eb-892440c09744</t>
  </si>
  <si>
    <t>Zazzi</t>
  </si>
  <si>
    <t>My APS bill is so high . I struggle every month just to get it paid.</t>
  </si>
  <si>
    <t>df42edda-bba6-4a1e-a5fb-ed67fb60b008</t>
  </si>
  <si>
    <t>its CEO almost $15,000,00. Seriously. And we have to pay an increase on a $30,000 salary a year.</t>
  </si>
  <si>
    <t>22ff5232-09eb-4533-91b2-9a7b3713c17d</t>
  </si>
  <si>
    <t>Rates have risen every year up to 5% We even have solar and are still paying over 200.00</t>
  </si>
  <si>
    <t>af364c5f-e354-40c0-a636-d7a63b72a780</t>
  </si>
  <si>
    <t>They say the grid needs improvement and corporations pay little or nothing ; they need to pay for improvements not residential</t>
  </si>
  <si>
    <t>21ad25d4-67b0-4e8d-895d-c66e6d3eccc1</t>
  </si>
  <si>
    <t>Shauna</t>
  </si>
  <si>
    <t>Please don't raise prices I'm already trying my hardest at 64 years old and working restaurants</t>
  </si>
  <si>
    <t>86dbe480-518e-4851-826d-4914e3735d81</t>
  </si>
  <si>
    <t>Viggiani</t>
  </si>
  <si>
    <t>Karineh</t>
  </si>
  <si>
    <t>My bill is already high and for single seniors that are living off of social security it will be almost impossible</t>
  </si>
  <si>
    <t>48a95081-7d20-4279-8849-f34c6207573a</t>
  </si>
  <si>
    <t>Stop the price increases let the utilities take it out of thief not consumers pockets</t>
  </si>
  <si>
    <t>09d54fc1-f7e9-4d77-b996-cbc138c62d16</t>
  </si>
  <si>
    <t>Bell</t>
  </si>
  <si>
    <t>Esther</t>
  </si>
  <si>
    <t>Prices are too high already being on a fixed income it will hurt</t>
  </si>
  <si>
    <t>No MEP R3-47 ($97.32)</t>
  </si>
  <si>
    <t>f87b5807-c5b9-4caa-9ebb-6eaa2620b8d1</t>
  </si>
  <si>
    <t>Weiss</t>
  </si>
  <si>
    <t>Please stop raising our electric bills no one can afford this . Plus the big shots are getting very rich</t>
  </si>
  <si>
    <t>25bdb4d6-0f1e-4da4-b1ed-5acd787dbbcd</t>
  </si>
  <si>
    <t xml:space="preserve">Bradley </t>
  </si>
  <si>
    <t xml:space="preserve">The company is already making so much and instead of working to reduce costs, they just go for price increases. </t>
  </si>
  <si>
    <t>8735865c-5a18-493d-bc65-f55030933636</t>
  </si>
  <si>
    <t>Zavala</t>
  </si>
  <si>
    <t>everything is so expensive we can't no longer are able to support ourselves on the income we receive from social security</t>
  </si>
  <si>
    <t>90076ef3-282c-4299-bfe3-2d4735ab2744</t>
  </si>
  <si>
    <t>Lorrie</t>
  </si>
  <si>
    <t>Do not support increase for APS Please!!!!!!</t>
  </si>
  <si>
    <t>59f87a82-14b0-4014-8fca-8ba5f9dd8753</t>
  </si>
  <si>
    <t>Qiyan</t>
  </si>
  <si>
    <t>Bee</t>
  </si>
  <si>
    <t>APS NEEDS TO INVEST IN WINDMILL POWER SOURCE.</t>
  </si>
  <si>
    <t>8c417482-5897-4375-a08a-bbfb25fbe516</t>
  </si>
  <si>
    <t>Stewart</t>
  </si>
  <si>
    <t>They dent need a rate increase. They make millions in profits. Consumers deserve a rate cut!</t>
  </si>
  <si>
    <t>7dd42e64-d1e5-49bd-aea2-4dd537967e7a</t>
  </si>
  <si>
    <t>Wilkes</t>
  </si>
  <si>
    <t>Give us all a break! Prices way too high!</t>
  </si>
  <si>
    <t>ada03840-19eb-484a-a38b-f38b777e0d22</t>
  </si>
  <si>
    <t>Ong</t>
  </si>
  <si>
    <t>Please do not approve this, many of us are already living paycheck to paycheck for these billionaires to line their pockets</t>
  </si>
  <si>
    <t>ac786fbf-b13e-4a08-a43e-8d4fd77d9962</t>
  </si>
  <si>
    <t>La Fever</t>
  </si>
  <si>
    <t>we are already getting taxed a bunch I can varely afford the bill now</t>
  </si>
  <si>
    <t>1d345040-1b3a-4b9a-bf53-c74d1fd07fb2</t>
  </si>
  <si>
    <t>In today's improved economy (just ask Trump) and with the help from AI, APS should be able to figure out how to keep expenses down</t>
  </si>
  <si>
    <t>24b2758e-b6ad-408c-a14d-9a8e07a515e4</t>
  </si>
  <si>
    <t>Use least amount of electricity, best plan, hard time now paying my bill</t>
  </si>
  <si>
    <t>d1255cf6-bd22-43cc-b792-1d41ae754487</t>
  </si>
  <si>
    <t>Jacobs</t>
  </si>
  <si>
    <t>Rodney</t>
  </si>
  <si>
    <t>They claim to be honest and trustworthy to help it's customers but at the same time increase utilities with a smile</t>
  </si>
  <si>
    <t>3f942cc4-8307-43c9-8e48-e768055ecccc</t>
  </si>
  <si>
    <t>Marilyn</t>
  </si>
  <si>
    <t>The Corporation Commission has burdened the rate payers of Arizona for years.</t>
  </si>
  <si>
    <t>066028e3-ab53-4e3b-9284-96c00dce1818</t>
  </si>
  <si>
    <t>Heller Walstra</t>
  </si>
  <si>
    <t>MORE hardship than already has been committed, I want to use harsher language, but am restraining myself</t>
  </si>
  <si>
    <t>89b98e81-3b0d-4875-8d9a-e0ce4817a969</t>
  </si>
  <si>
    <t>I am widowed, on a fixed income. My income dropped in half after my husband passed away. My income pretty much stays the same</t>
  </si>
  <si>
    <t>3e727dce-b905-4ccd-ade4-9f2d79fe740f</t>
  </si>
  <si>
    <t>Paulden</t>
  </si>
  <si>
    <t xml:space="preserve">The current rates are high enough and any increase would put an unfair burden on those of us in the lower income bracket. </t>
  </si>
  <si>
    <t>44736e8d-71bf-4197-ad7d-c391757294fb</t>
  </si>
  <si>
    <t>Delores</t>
  </si>
  <si>
    <t>Senior on a fixed income with UTILITIES CONSTANTLY GOING UP..CAN WE PLEASE GET A BREAK...PLEASE.. THANK YOU AND</t>
  </si>
  <si>
    <t>dcc24b8d-c7e2-4916-9ab2-88b35b44d4e1</t>
  </si>
  <si>
    <t>Monroe</t>
  </si>
  <si>
    <t>Constance</t>
  </si>
  <si>
    <t>We are on a fixed income and can't afford this utilities hike. Our golden years is now fools gold .</t>
  </si>
  <si>
    <t>396c1565-5281-487e-8367-c4bc41676283</t>
  </si>
  <si>
    <t>No hike needed</t>
  </si>
  <si>
    <t>da6109c1-2a0e-4d96-93ad-9f3daa5c8c03</t>
  </si>
  <si>
    <t>Buglione</t>
  </si>
  <si>
    <t>Jerald</t>
  </si>
  <si>
    <t xml:space="preserve">Once the economy is better we can talk about it. Everything right now is in a up wing. So please wait. </t>
  </si>
  <si>
    <t>3cb74dd8-7789-4ae5-bcc9-62d7eba74c99</t>
  </si>
  <si>
    <t>Mer</t>
  </si>
  <si>
    <t>watch and say maybe this one will break them. Then start raking in all your mafia corporation greed blood money</t>
  </si>
  <si>
    <t>e4dc6e64-13ce-400c-83ae-79d35b5b65b2</t>
  </si>
  <si>
    <t>Crow</t>
  </si>
  <si>
    <t>Becky</t>
  </si>
  <si>
    <t>It can mean children won't have heat, people could end up losing their kids because of this. Money only goes so far</t>
  </si>
  <si>
    <t>743958fc-81cc-4b0a-8d4f-858a323493bc</t>
  </si>
  <si>
    <t>Cannon</t>
  </si>
  <si>
    <t>We the people cannot, for the most part, cannot afford a raise on our port bills. The rich are already rich</t>
  </si>
  <si>
    <t>f1646939-59a5-48ee-b4ae-10b622c0c6c9</t>
  </si>
  <si>
    <t>No More Rate hikes. We are paying for their upgrades without them having to spend from their bottom line.</t>
  </si>
  <si>
    <t>46ad0f91-ed95-4598-93dd-ccd33827f256</t>
  </si>
  <si>
    <t>Shirk</t>
  </si>
  <si>
    <t>There presently no justification for an increase in utility rates. The present profit level meets their operating needs</t>
  </si>
  <si>
    <t>7cadb7d9-16d9-4dee-bfb3-cef85e1677c0</t>
  </si>
  <si>
    <t>Corinne</t>
  </si>
  <si>
    <t xml:space="preserve">Proces on everything has increased enough and wages for my work aren't changing with it. </t>
  </si>
  <si>
    <t>24a2b724-b7e3-46c9-ad2f-83beac1a62f7</t>
  </si>
  <si>
    <t>Beas</t>
  </si>
  <si>
    <t>Kristina</t>
  </si>
  <si>
    <t>increase in cost is hurting my family to the point we almost get our services shut down.</t>
  </si>
  <si>
    <t>52f6f840-971d-409e-827a-fc1aad2fe047</t>
  </si>
  <si>
    <t>Pittenridge</t>
  </si>
  <si>
    <t>My summer bills are already between $500-$600, I have solar (another $110) that APS buys for pennies on the dollar</t>
  </si>
  <si>
    <t>5305f102-4870-43de-9848-0474a6dabf6e</t>
  </si>
  <si>
    <t>Denning</t>
  </si>
  <si>
    <t>Charlene (Mark)</t>
  </si>
  <si>
    <t>HAVE NO MONEY TO LIVE ON. An a.p.s. keep sucking and sucking more money out of us elderly and disable.</t>
  </si>
  <si>
    <t>May need information for additional assistance programs? COR filed ACC complaint 3/26/2025</t>
  </si>
  <si>
    <t>9603b18c-fc5c-4c70-9c7c-d62a86adfe9f</t>
  </si>
  <si>
    <t>What we need is more reliable service before we ever discuss rate increases</t>
  </si>
  <si>
    <t>Multiple accts</t>
  </si>
  <si>
    <t>3fedef79-a455-4866-82a3-4049da228f4f</t>
  </si>
  <si>
    <t>I'm begging you to freeze the price increase. We simply can't afford to be squeezed any more,</t>
  </si>
  <si>
    <t>39aad754-561d-484a-a717-377618ead85b</t>
  </si>
  <si>
    <t>Isis</t>
  </si>
  <si>
    <t>After the emergency heat warning is over, I shouldn't be paying off my light bill from a few months ago. It's sick to profit off of a necessity</t>
  </si>
  <si>
    <t>ca7187e7-a5e3-44c6-af76-57d0c7e10ba6</t>
  </si>
  <si>
    <t>Fought</t>
  </si>
  <si>
    <t>Jacquelyn</t>
  </si>
  <si>
    <t xml:space="preserve">Should be rejected unless APS demonstrates that residential customers are not subsidizing private industrial development. Quotes AG... </t>
  </si>
  <si>
    <t>9b237ff4-9cf7-4460-a478-fdebfb25449a</t>
  </si>
  <si>
    <t>Weston</t>
  </si>
  <si>
    <t>Your CEO and CFO and all the top executives are making a fortune off of us! Please think of the average Arizonans.</t>
  </si>
  <si>
    <t>b17a43b6-9d4a-4d73-9eba-cd7d64dbb6d4</t>
  </si>
  <si>
    <t>Caruso</t>
  </si>
  <si>
    <t xml:space="preserve">Aps can't keep my power going as it is and want to raise rates. When the service gets better then we can talk about the 15% insrease. </t>
  </si>
  <si>
    <t>2efa26b0-183e-4e90-a9c4-ca1df8578ef0</t>
  </si>
  <si>
    <t>Ellingson</t>
  </si>
  <si>
    <t xml:space="preserve"> It is already so expensive - when I lived in MN it was cheaper to heat a four story house in the middle of a snow storm!</t>
  </si>
  <si>
    <t>0e7bff67-3784-4ad8-8948-c8118ab37c25</t>
  </si>
  <si>
    <t>Please stop raising the utility rates</t>
  </si>
  <si>
    <t>629a0461-5ed4-4287-9409-948e969102a5</t>
  </si>
  <si>
    <t>Melvinna</t>
  </si>
  <si>
    <t xml:space="preserve"> it's time to humble oneself because God is coming to humble those who feel they are in control</t>
  </si>
  <si>
    <t>efea5623-439b-4864-be52-838c17dd6174</t>
  </si>
  <si>
    <t>Escalera</t>
  </si>
  <si>
    <t>Arturo</t>
  </si>
  <si>
    <t>We are against any more rate hikes from APS</t>
  </si>
  <si>
    <t>43a71ce5-c2de-4350-8219-b7cff0edd780</t>
  </si>
  <si>
    <t>Corrales</t>
  </si>
  <si>
    <t>please don't let asp rise the price on our electric bill and l don't find it fair</t>
  </si>
  <si>
    <t>No MEP R3-47 ($170.72)</t>
  </si>
  <si>
    <t>408363b7-995c-4f05-b1b9-a8b4e026a393</t>
  </si>
  <si>
    <t>DeMarco</t>
  </si>
  <si>
    <t>As it is as a senior it is hard enough to pay the electric bill now without a raise. Enough is enough.</t>
  </si>
  <si>
    <t>51eec709-8599-47bd-ae96-1254021b80e2</t>
  </si>
  <si>
    <t>Sluis</t>
  </si>
  <si>
    <t xml:space="preserve">I think the service fees are already very high. It is hard enough to pay the bills. </t>
  </si>
  <si>
    <t>93263a34-2094-42c4-8af9-cd761d0e932d</t>
  </si>
  <si>
    <t>Hopley</t>
  </si>
  <si>
    <t>The increases in utilities are ridiculous. Our income is fixed and does not increase</t>
  </si>
  <si>
    <t>132ad230-752b-49ad-a3ab-15337cb21520</t>
  </si>
  <si>
    <t>Gier</t>
  </si>
  <si>
    <t>Sandye</t>
  </si>
  <si>
    <t>Pine</t>
  </si>
  <si>
    <t>Make it STOP please! Enough is enough. The burden is too much. These constant rate hikes are breaking us</t>
  </si>
  <si>
    <t>Not Eligible - Non-AMI Analog</t>
  </si>
  <si>
    <t>0f92180a-0c85-4a60-9016-b9e1c79fa0a7</t>
  </si>
  <si>
    <t>Boyle</t>
  </si>
  <si>
    <t>nothing to do with improving services. They are pricing consumers right out of living.</t>
  </si>
  <si>
    <t>bf86b1d4-ff96-4ec2-b625-98b5fa6f3063</t>
  </si>
  <si>
    <t>Chaparro</t>
  </si>
  <si>
    <t>Giselle</t>
  </si>
  <si>
    <t>we are being censored and how none of the people we voted for care about the citizens of Arizona. May I remind them we pay their underseved salaries</t>
  </si>
  <si>
    <t>0d4e0464-655b-4746-9a87-0fd7198db0d1</t>
  </si>
  <si>
    <t>Gayle</t>
  </si>
  <si>
    <t>APS is raping the customers! The educated have not forgotten the APS &amp; Republicans scandal just a few years ago! It's time to stop the corruption.</t>
  </si>
  <si>
    <t>cf4eb291-623f-49bd-8973-b54d6b042633</t>
  </si>
  <si>
    <t>Luchini</t>
  </si>
  <si>
    <t>Lining the pockets of the people at the top, but if there's no substantial change in infrastructure, there's no reason to increase our bills</t>
  </si>
  <si>
    <t>ead4123c-6002-41f3-b062-3747da9d99cc</t>
  </si>
  <si>
    <t>Vago</t>
  </si>
  <si>
    <t>Most of us are going to have to pay around 50.00 more per month than 2 years ago. When is the public going to get a break.</t>
  </si>
  <si>
    <t>720c825b-aa5f-4dce-9448-5988c2c7c7cc</t>
  </si>
  <si>
    <t>Chavira</t>
  </si>
  <si>
    <t>In this day &amp; age of changes to our atmosphere, climate shifting to Mid Central, Southwestern states in our Country.</t>
  </si>
  <si>
    <t>806c135b-3e56-4033-a6cc-3fb66f1112fd</t>
  </si>
  <si>
    <t>Temp</t>
  </si>
  <si>
    <t>People can't afford things as it is. Please don't raise rates on our utilities.</t>
  </si>
  <si>
    <t>5f0d3580-77c6-40c8-af80-6c1b68feaf27</t>
  </si>
  <si>
    <t>Alcaraz</t>
  </si>
  <si>
    <t>get rid of all the unnecessary fees and reduce the salary of your executives and board of directors.</t>
  </si>
  <si>
    <t>7153ae43-c859-4ae6-98a9-94a90ab87ea6</t>
  </si>
  <si>
    <t>Dannen</t>
  </si>
  <si>
    <t xml:space="preserve">APS needs to start cutting costs just like the rest of us... instead of running a poor business model and coming running to the Corporation Commission. </t>
  </si>
  <si>
    <t>c257467f-50e8-4754-8b76-af44ab603590</t>
  </si>
  <si>
    <t>Bapst</t>
  </si>
  <si>
    <t xml:space="preserve">I'm a single mom - I can't even afford internet let alone an increase in one of my normal costs. </t>
  </si>
  <si>
    <t>182fab2c-20c7-43e1-beac-fa6b5236e0a1</t>
  </si>
  <si>
    <t>Gruhlke</t>
  </si>
  <si>
    <t>Why? Are energy prices not high enough? in an era of gauging, be less greedy.</t>
  </si>
  <si>
    <t>2e68ec29-1c08-4365-a15c-28d69b51e822</t>
  </si>
  <si>
    <t>Brunton</t>
  </si>
  <si>
    <t>It's hard to keep up with the cost in the heat of Arizona let alone for the rest of the year. I have a family of four and it's really hard</t>
  </si>
  <si>
    <t>6e57f0ca-7705-44d0-bbbf-c29146ddfc74</t>
  </si>
  <si>
    <t>Nepley</t>
  </si>
  <si>
    <t>Claudia</t>
  </si>
  <si>
    <t>Best plan; solar panels, turn off electric from 4-7, affects my fibromyalgia.</t>
  </si>
  <si>
    <t>cd62221b-7301-4995-8b9d-1de95cfdc11a</t>
  </si>
  <si>
    <t>Ariel</t>
  </si>
  <si>
    <t>APS already profits millions off us. There is no other reason to raise rates other than greed.</t>
  </si>
  <si>
    <t>3c6b1e9a-a560-4555-a1f8-7c060a8dfa7e</t>
  </si>
  <si>
    <t>Stevens</t>
  </si>
  <si>
    <t>There is no need to raise consumer rates. The need is for APS to cut the fat!</t>
  </si>
  <si>
    <t>07a9f24e-67ee-4a1a-a905-45ac0cb9ca3f</t>
  </si>
  <si>
    <t>Kamb</t>
  </si>
  <si>
    <t>If the parent company is unable to run the utility without requiring huge profits from the public need, perhaps they should sell to the State of Arizona</t>
  </si>
  <si>
    <t>a8e986fc-cd32-447b-8015-17d17044f0fd</t>
  </si>
  <si>
    <t>Mikles</t>
  </si>
  <si>
    <t>Merry</t>
  </si>
  <si>
    <t>I invested in solar and they still charge excessive amounts in the summer when it's high usage in Arizona</t>
  </si>
  <si>
    <t>90bf651e-ef20-48c1-a4e1-089522da05da</t>
  </si>
  <si>
    <t>company shouldn't be benefiting from their customers as everything is so expensive and we no longe can afford anything with social security income</t>
  </si>
  <si>
    <t>33f0667d-5569-42f4-abe3-e98322bba754</t>
  </si>
  <si>
    <t>Griffin</t>
  </si>
  <si>
    <t>Robert S</t>
  </si>
  <si>
    <t>We are Directors if the Southwest Indian Missionary Association. APS classifies the chapel and SWIMA office accounts as commercial. We are NOT a store or a business</t>
  </si>
  <si>
    <t>6ed0a55e-011d-48cf-896b-fa79f77ddc3a</t>
  </si>
  <si>
    <t>Jorgensen</t>
  </si>
  <si>
    <t>Faith</t>
  </si>
  <si>
    <t>We already pay incredibly high energy prices in the summer. I do not approve of any increases in prices.</t>
  </si>
  <si>
    <t>27266b3b-fe42-4144-b186-230703bcd35e</t>
  </si>
  <si>
    <t>Quit with the money grab and lower our bills, charge the data centers and other high users more</t>
  </si>
  <si>
    <t>https://docket.images.azcc.gov/E000049100.pdf</t>
  </si>
  <si>
    <t>7e510882-b148-4e54-945c-a45ce2b803fe</t>
  </si>
  <si>
    <t>Instead of raising utilities, why can't you find out how to recycle cables, copper, metal and use it like SRP. I am a retired... can't afford the rate hikes</t>
  </si>
  <si>
    <t>d3d11da4-7a70-47b1-9e30-63f3389ec978</t>
  </si>
  <si>
    <t>This seems to be a total disregard for the welfare of others with such a ridiculous increase. l'd like for someone, anyone to explain why</t>
  </si>
  <si>
    <t>a24938e3-a999-4b41-b078-6d0d982b5fb4</t>
  </si>
  <si>
    <t>My experience with APS has been defined by a total lack of transparency and poor service</t>
  </si>
  <si>
    <t>de8d20bd-72db-4bbb-9a5a-088a118fe67d</t>
  </si>
  <si>
    <t>Gajon</t>
  </si>
  <si>
    <t>Anaisabel</t>
  </si>
  <si>
    <t>Everything is too expensive. It is impossible to afford electricity in this heat as is,</t>
  </si>
  <si>
    <t>No MEP R3-47 ($107.12)</t>
  </si>
  <si>
    <t>Please contact customer regarding plan options and additional assistance programs?</t>
  </si>
  <si>
    <t>0f081474-8617-4909-a650-58e4f1c129bd</t>
  </si>
  <si>
    <t>Prices continue to go up as l currently sit in a power outage at 8:30pm which was scheduled with less than 24 hours notice.</t>
  </si>
  <si>
    <t>a1508514-3bf3-4bdc-bcc2-62b37cd0e507</t>
  </si>
  <si>
    <t>Pittman</t>
  </si>
  <si>
    <t>you've supported everything the federal government has done in the last year. Eat your costs, provide your public service</t>
  </si>
  <si>
    <t>202cf894-4239-46aa-95d6-238b8ae35090</t>
  </si>
  <si>
    <t>The continual increase of pricing is hurting the community more than they know.</t>
  </si>
  <si>
    <t>130cd06d-ef4e-4426-b0ff-e7c917327238</t>
  </si>
  <si>
    <t>STOP RAISING THE PRICES WE CANT KEEP DOING THIS</t>
  </si>
  <si>
    <t>78285645-a13c-4ab5-8729-540af258ce84</t>
  </si>
  <si>
    <t>Carmody</t>
  </si>
  <si>
    <t>I am 75 years old and living on a fixed income. APS is constantly raising the electric bill because of political nonsense</t>
  </si>
  <si>
    <t>16289834-a87c-4cda-b722-44104882eaaf</t>
  </si>
  <si>
    <t>Bright</t>
  </si>
  <si>
    <t>it is wrong to ask for more when their profits are through the roof. People are already struggling to pay their basic bills</t>
  </si>
  <si>
    <t>88ea7b57-c4b9-4aac-b6e0-b2f1e660d691</t>
  </si>
  <si>
    <t xml:space="preserve">My fiance and I are raising two kids as a middle-class household, but with these increasing costs, it doesn't even feel like we are middle class anymore. </t>
  </si>
  <si>
    <t>a664ee67-365b-494e-80b6-4403b122450c</t>
  </si>
  <si>
    <t>Smouse</t>
  </si>
  <si>
    <t>Rachelle</t>
  </si>
  <si>
    <t xml:space="preserve"> I am a public school teacher and my pay cannot keep up. AC set to 80 degrees, got solar</t>
  </si>
  <si>
    <t>3b296757-f343-4a86-aa73-7dea2c4746f2</t>
  </si>
  <si>
    <t>Crozier</t>
  </si>
  <si>
    <t xml:space="preserve">We are living paycheck to paycheck, but it's just over the limit for help with our utilities. We live in a small trailer in a RV park. </t>
  </si>
  <si>
    <t>208d8934-4e76-40c5-b272-6f4d53d9423a</t>
  </si>
  <si>
    <t>Kolodinsky</t>
  </si>
  <si>
    <t>seeking to skirt the historical process of public comment and rate making procedure. Particularly in light of the fact that APS has not followed through with prior commitment to clean energy</t>
  </si>
  <si>
    <t>3cfde321-6e19-44a7-bce6-e80e88b4eb2e</t>
  </si>
  <si>
    <t>Alsbrook</t>
  </si>
  <si>
    <t>Darlene</t>
  </si>
  <si>
    <t>The  mental &amp; emotional impact of rising costs in each of these areas is contributing to the decline in mental health and directly to the riots &amp; civil unrest</t>
  </si>
  <si>
    <t>c5a79355-5055-43b5-950c-560d13caa4ab</t>
  </si>
  <si>
    <t>They already got a hike no more greed please.</t>
  </si>
  <si>
    <t>440b316d-ccf9-47be-836a-3277bfbbb74e</t>
  </si>
  <si>
    <t>APS wants to increase cost of payback of line use on transmission of solar that they sell to others at a higer rate.</t>
  </si>
  <si>
    <t>e63a787d-74db-4ea6-9c89-77d654bab25e</t>
  </si>
  <si>
    <t>Schrieber</t>
  </si>
  <si>
    <t>Silvia</t>
  </si>
  <si>
    <t>Cut back other places and do not charge residents one penny for the construction of data centers</t>
  </si>
  <si>
    <t>https://docket.images.azcc.gov/E000049142.pdf</t>
  </si>
  <si>
    <t>21635c08-f456-4715-a568-2dbb308e443b</t>
  </si>
  <si>
    <t>Tolmachoff</t>
  </si>
  <si>
    <t>As a mom helping to support a family of six, our electricity costs are already overwhelming</t>
  </si>
  <si>
    <t>c42db0f4-4a04-4197-bbea-76b22528fd2b</t>
  </si>
  <si>
    <t>Gorski</t>
  </si>
  <si>
    <t>Rates continue rising every year without any protection for consumers. We need help lowering rates.</t>
  </si>
  <si>
    <t>No MEP R3-47 ($106.33)</t>
  </si>
  <si>
    <t>2cb25fcd-cfef-404b-8551-57dd1100ca79</t>
  </si>
  <si>
    <t>Take care of an 82-year-old man you continuously increase these rates... will need assistance.</t>
  </si>
  <si>
    <t>748a825e-f4ac-4e52-be0b-4773986523ac</t>
  </si>
  <si>
    <t>asking ratepayers to absorb such a significant increase while the utility continues to receive guaranteed returns and protected profits-raises serious concerns about fairness,</t>
  </si>
  <si>
    <t>74396b16-5787-4acd-873a-e782c9f63da3</t>
  </si>
  <si>
    <t>Ulreich-Power</t>
  </si>
  <si>
    <t>Siobhan</t>
  </si>
  <si>
    <t>Do NOT pass the bill to increase our costs. Encourage solar power - Arizona should be a leader in solar, not dragging our feet!</t>
  </si>
  <si>
    <t>611e76e2-224b-4c04-a2de-5204c7db10e7</t>
  </si>
  <si>
    <t>If the ACC votes to allow APS to have ANY increase again, I can assure you not one Republican will be voted into office again. Y</t>
  </si>
  <si>
    <t>https://docket.images.azcc.gov/E000049112.pdf</t>
  </si>
  <si>
    <t>16e24aa3-196d-41f9-802c-ae0e8f72b1bf</t>
  </si>
  <si>
    <t xml:space="preserve"> I have emailed you numerous times stating how STRONGLY I AM AGAINST ANY RATE INCREASE FOR APS. I will be waiting for you to email me with the requested information. </t>
  </si>
  <si>
    <t>https://docket.images.azcc.gov/E000049115.pdf</t>
  </si>
  <si>
    <t>76220d5d-e7ff-4324-be57-8c1f144b3c6c</t>
  </si>
  <si>
    <t>Rosalina</t>
  </si>
  <si>
    <t>A $700 light bill for a 1,691 square foot house is outrageous. Why should we need to depend on (assistance) programs...</t>
  </si>
  <si>
    <t>https://docket.images.azcc.gov/E000049211.pdf</t>
  </si>
  <si>
    <t>d7e60022-11cf-4dbb-b78a-bce52cdce39d</t>
  </si>
  <si>
    <t>Haas</t>
  </si>
  <si>
    <t>(Rates) are well above inflation and need to be skated back. These large increases should be placed on all the large data centers</t>
  </si>
  <si>
    <t>c9f2d9ee-c125-4008-9fa9-3a7499dd6713</t>
  </si>
  <si>
    <t>Jan</t>
  </si>
  <si>
    <t>we just can not afford all these increases. Especially not when we see the savings being passed on to the large customers in terms of lower rates.</t>
  </si>
  <si>
    <t>https://docket.images.azcc.gov/E000049176.pdf</t>
  </si>
  <si>
    <t>8c9f380e-efd2-4531-b196-e4978735e70f</t>
  </si>
  <si>
    <t>Larson</t>
  </si>
  <si>
    <t>As someone who works n education, I am often home during the summer months and the ever rising costs for utilities sting quite a</t>
  </si>
  <si>
    <t>75633518-f6bb-490d-986a-940d939ce1a2</t>
  </si>
  <si>
    <t>Thayer</t>
  </si>
  <si>
    <t>No on APS rate increase until they stop all advertising at the Phoenix Suns! Do they have a suite there? No to data centers</t>
  </si>
  <si>
    <t>f08c00e3-4f3f-441f-8801-3c5041d8fad2</t>
  </si>
  <si>
    <t>Rosas</t>
  </si>
  <si>
    <t>Snowflake</t>
  </si>
  <si>
    <t>Prioritize affordability and bill stability for residential and rural customers Reliable electricity is essential, but it must remain affordable.</t>
  </si>
  <si>
    <t>https://docket.images.azcc.gov/E000049239.pdf</t>
  </si>
  <si>
    <t>97de7853-d828-4024-8971-05558ee098b8</t>
  </si>
  <si>
    <t>Bright Future?</t>
  </si>
  <si>
    <t>I propose aperformance-based interconnection standard centered on Industrial Thermal Symbiosis</t>
  </si>
  <si>
    <t>https://docket.images.azcc.gov/E000049228.pdf</t>
  </si>
  <si>
    <t>eaad01c2-3af7-4a27-ba0b-b97935ce907e</t>
  </si>
  <si>
    <t>Wederski</t>
  </si>
  <si>
    <t>Lonnie and Billie</t>
  </si>
  <si>
    <t>I'm writing to request a no vot on the FRM which would allow APS free reign to raise rates</t>
  </si>
  <si>
    <t>https://docket.images.azcc.gov/E000049260.pdf</t>
  </si>
  <si>
    <t>3b9f546f-436d-4048-a24c-07f110d3bf1f</t>
  </si>
  <si>
    <t>Maura</t>
  </si>
  <si>
    <t>*Spanish comments*</t>
  </si>
  <si>
    <t>475403d2-1a31-44f8-84c6-277c43cc73d6</t>
  </si>
  <si>
    <t>As a military family with a son, we strongly oppose this rate increase. It is not fair that regular families are being charged more while big corp get discounts</t>
  </si>
  <si>
    <t>No MEP R3-47 ($27.99)</t>
  </si>
  <si>
    <t>22394cf5-b7e0-4880-a656-0e4638489713</t>
  </si>
  <si>
    <t>Legrand</t>
  </si>
  <si>
    <t>Kareem</t>
  </si>
  <si>
    <t xml:space="preserve">APS is taking advantage of the Arizona weather and it is hurting the citizens who have no choice in the matter. </t>
  </si>
  <si>
    <t>d5fa3b0a-095a-43ad-863c-48bcba905aa3</t>
  </si>
  <si>
    <t>Ostreicher</t>
  </si>
  <si>
    <t>As a single father of 2 kids, a 14% rate increase in just over a year is ridiculous</t>
  </si>
  <si>
    <t>https://docket.images.azcc.gov/E000049265.pdf</t>
  </si>
  <si>
    <t>COR is linked to multiple accounts</t>
  </si>
  <si>
    <t>305ef879-1875-40a9-be5e-eb9fb19cd4c1</t>
  </si>
  <si>
    <t>Keneally</t>
  </si>
  <si>
    <t xml:space="preserve">I am fortunate enough to be able to afford any proposed rate increases, but that doesn't mean that I think its right. </t>
  </si>
  <si>
    <t>7fb6b2c3-4bc7-4ed4-a853-066d36929ae8</t>
  </si>
  <si>
    <t>They are taking money from their customers... while donating to charities and advertising on TV</t>
  </si>
  <si>
    <t>https://docket.images.azcc.gov/E000049336.pdf</t>
  </si>
  <si>
    <t>14348da6-7526-4960-b7a8-6c2f4a2aeb92</t>
  </si>
  <si>
    <t>I been living in my place for 24 years. I get low-income discounts and equalizer. I will start setting my AC to 85.</t>
  </si>
  <si>
    <t>90d5daff-d267-4927-ba84-3e17852dd4b1</t>
  </si>
  <si>
    <t>Gerkin</t>
  </si>
  <si>
    <t>$240 extra per year for the average household. I am retired and on a fixed income, so I and many others like me, cannot afford</t>
  </si>
  <si>
    <t>510324c9-fa48-4604-b48a-444e50bb5e2f</t>
  </si>
  <si>
    <t>Graham</t>
  </si>
  <si>
    <t>86 y/o, lives alone, Social Security Cost of Living 2.8 percent</t>
  </si>
  <si>
    <t>https://docket.images.azcc.gov/E000049357.pdf</t>
  </si>
  <si>
    <t>07545618-4493-4133-b7e0-7a7d3b00cdd0</t>
  </si>
  <si>
    <t>Litke</t>
  </si>
  <si>
    <t>Senior living in subsidized housing on a low income</t>
  </si>
  <si>
    <t>024fe35e-6048-46e8-bf04-dbf51e3f3514</t>
  </si>
  <si>
    <t>Valladares</t>
  </si>
  <si>
    <t>Data Centers are ready to work with the water and electricity.</t>
  </si>
  <si>
    <t>No MEP R3-47 ($248.22)</t>
  </si>
  <si>
    <t>SPANISH PREFERRED CUSTOMER - Please contact customer regarding plan options</t>
  </si>
  <si>
    <t>ad5218ea-a442-4533-ae87-3ab4958c5831</t>
  </si>
  <si>
    <t xml:space="preserve">Relying solely on our Social Security benefits... we are already struggling with the rising costs of living. </t>
  </si>
  <si>
    <t>7c63229c-9e5d-46b1-82f9-89552608af04</t>
  </si>
  <si>
    <t>Varanauski</t>
  </si>
  <si>
    <t>Joan</t>
  </si>
  <si>
    <t>A nearly 15% increase on my utility bill is an excessive financial burden that l simply cannot afford.</t>
  </si>
  <si>
    <t>f7cb1737-2677-49f6-b7b5-7a2ad09dbb24</t>
  </si>
  <si>
    <t>Sun City Home Owners Association</t>
  </si>
  <si>
    <t>Unknow</t>
  </si>
  <si>
    <t>SCHOA does formally oppose granting this proposed APS increase as we believe it is unfair, unjustified, and harmful to nearly 40k residents</t>
  </si>
  <si>
    <t>fa15d3d4-fa8c-44cf-a10f-c1bad3790db6</t>
  </si>
  <si>
    <t>Rosalva</t>
  </si>
  <si>
    <t>If APS really cares about its customers look into blocking these data centers from moving to Arizona</t>
  </si>
  <si>
    <t>No MEP R3-47 ($64.75)</t>
  </si>
  <si>
    <t>de7425fa-e076-4c51-9da5-ebd43139f0f2</t>
  </si>
  <si>
    <t>Ender</t>
  </si>
  <si>
    <t xml:space="preserve">Working citizens should not have to have to have an increase on an already rising cost of living. Data centers are the ones that are taking so much energy. </t>
  </si>
  <si>
    <t>e1c00107-aeff-45eb-b3f5-7906dc80c2c8</t>
  </si>
  <si>
    <t>Shirreff</t>
  </si>
  <si>
    <t>Wanda</t>
  </si>
  <si>
    <t>large commercial and business customers are not bearing a greater share of this increase. Protect residential customers</t>
  </si>
  <si>
    <t>0c3972b3-6f05-4017-9f76-74e24fc23bfc</t>
  </si>
  <si>
    <t>G</t>
  </si>
  <si>
    <t>Stan</t>
  </si>
  <si>
    <t>Uknown</t>
  </si>
  <si>
    <t>Concerned with the rate change from Tier 1 to Tier 2 and provides transcript of the chat with aps</t>
  </si>
  <si>
    <t>875fd71f-b1d6-4fba-af82-c97e9a8552f5</t>
  </si>
  <si>
    <t>Malter</t>
  </si>
  <si>
    <t>Rosalie</t>
  </si>
  <si>
    <t>APS greed is causing suffering among people like us 80+ aged seniors.</t>
  </si>
  <si>
    <t>9bafc21c-c4f7-419f-926b-18233352f210</t>
  </si>
  <si>
    <t>Hilliard</t>
  </si>
  <si>
    <t>I am concerned about the economic impact of the proposed 13.99% increase on Navajo County residential and business customers</t>
  </si>
  <si>
    <t>https://docket.images.azcc.gov/E000049383.pdf</t>
  </si>
  <si>
    <t>18cde02d-1f94-4c52-95b8-6688f2fe1e11</t>
  </si>
  <si>
    <t>Sherman</t>
  </si>
  <si>
    <t>express my concern with APS's proposed rate increases, particularl the solar Grid Access Charge alongside the continued erosion of affordability for Arizona families.</t>
  </si>
  <si>
    <t>e00ee9b2-2c9d-4716-b55d-d5ba8fd78d8c</t>
  </si>
  <si>
    <t>Conner</t>
  </si>
  <si>
    <t xml:space="preserve">I am a retiree on a fixed income and am very concerned about the continuing raising costs of living. </t>
  </si>
  <si>
    <t>ce53f18e-10e2-4744-89c1-1e8dcecfe365</t>
  </si>
  <si>
    <t>Snapp</t>
  </si>
  <si>
    <t>I have solar and believe this should not raise my rates. I believe more investment in solar would benefit APS.</t>
  </si>
  <si>
    <t>2d79dd25-8571-480e-8699-91a5b426172e</t>
  </si>
  <si>
    <t>Pappin</t>
  </si>
  <si>
    <t>My wife and I are retired and our only income is from My Navy Retirement and Social Security Benefits. You should limit the rate increase to the COLA increase.</t>
  </si>
  <si>
    <t>https://docket.images.azcc.gov/E000049378.pdf</t>
  </si>
  <si>
    <t>72c6e930-8f00-4d56-a52b-02eeee5b3378</t>
  </si>
  <si>
    <t>Stoop</t>
  </si>
  <si>
    <t>I would like to know if The ACC is requiring APS to keep Four Corners Online?</t>
  </si>
  <si>
    <t>https://docket.images.azcc.gov/E000049379.pdf</t>
  </si>
  <si>
    <t>b0cb7029-2b00-4c91-a943-f0b0d83e2d03</t>
  </si>
  <si>
    <t>Bean</t>
  </si>
  <si>
    <t>I dent think APS needs another 14% rate hike people are barely making ends meet.</t>
  </si>
  <si>
    <t>No MEP R3-47 ($326.85)</t>
  </si>
  <si>
    <t>Docketed 2x Please contact customer regarding plan options and additional assistance programs?</t>
  </si>
  <si>
    <t>7262adf6-b395-440d-8c39-c98c07044c04</t>
  </si>
  <si>
    <t>Please stop letting APS having constant rate hikes! I leased solar panels to reduce my energy costs.</t>
  </si>
  <si>
    <t>62f8cdc8-185c-43a8-8bc4-3182060325cf</t>
  </si>
  <si>
    <t>not all that long ago that APS did not need to have an "on peak/offpeak" ... renewable energy sources are driving up costs.</t>
  </si>
  <si>
    <t>https://docket.images.azcc.gov/E000049400.pdf</t>
  </si>
  <si>
    <t>8e932d78-3ebe-4d55-821f-485f377dca37</t>
  </si>
  <si>
    <t>We had a rateincrease of 8% in 2024 another 8% increase in 2025 and now you expect that we should allow another increase of 14%</t>
  </si>
  <si>
    <t>62ea0dd9-2f0a-4584-b903-0d70c402c62b</t>
  </si>
  <si>
    <t>January, my demand charge was $240.55. My total bill was $513.80. I am paying nearly as much for one hour of peak demand per month as I am for all 30 days</t>
  </si>
  <si>
    <t>e22acb68-6a1b-4b6e-a9ee-b11264a313ef</t>
  </si>
  <si>
    <t>Little</t>
  </si>
  <si>
    <t>Despite ratepayers using virtually the same or fewer KWHs, we are now being asked AGAIN to accommodate a rate increase. Let those that use the most, pay the most.</t>
  </si>
  <si>
    <t>https://docket.images.azcc.gov/E000049387.pdf</t>
  </si>
  <si>
    <t>b5ce6c9c-bcad-4039-9218-4e235c2ccb5e</t>
  </si>
  <si>
    <t>St Clair</t>
  </si>
  <si>
    <t>APS rate increase. When is enough, enough!?!? No more rate increases. It's outrageous!</t>
  </si>
  <si>
    <t>bbc01621-0cfc-4656-a4e4-abf4ddbd0f7f</t>
  </si>
  <si>
    <t>Bowman</t>
  </si>
  <si>
    <t>My husband and I are both nurses and we have one child. Even living modestly with two professional degrees and employment, we struggle to keep up</t>
  </si>
  <si>
    <t>8f977cb3-a0f9-4be5-9228-dd2de2538c2e</t>
  </si>
  <si>
    <t>Noyes</t>
  </si>
  <si>
    <t>Wage growth has not caught up to the rising costs of living, especially here in Arizona</t>
  </si>
  <si>
    <t>e26b28ae-1ac1-46d4-a210-6960ab326327</t>
  </si>
  <si>
    <t>Jack</t>
  </si>
  <si>
    <t>I am a native born Arizonan and always believed APS was here to serve the people who lived in Arizona.But I no longer feel that way.</t>
  </si>
  <si>
    <t>2 locations are AMI Opt Out</t>
  </si>
  <si>
    <t>17abebc4-090e-49b0-adb1-182170594746</t>
  </si>
  <si>
    <t>Fleet</t>
  </si>
  <si>
    <t>October 2023 $67 credit, October 2024 $71 credit, October 2025 $81 bill</t>
  </si>
  <si>
    <t>4c3551fb-cf18-4219-a896-937296aec436</t>
  </si>
  <si>
    <t>Solar United Neighbors</t>
  </si>
  <si>
    <t>Organizational Comment Opposing APS's Proposed Grid Access Charge, Excessive ROE, and Unaffordable Rate Increase</t>
  </si>
  <si>
    <t>https://docket.images.azcc.gov/E000049395.pdf</t>
  </si>
  <si>
    <t>N/A</t>
  </si>
  <si>
    <t>f02eddd0-db29-434b-96e7-aff51f7cef47</t>
  </si>
  <si>
    <t>Please vote against the APS rate increase application and any other increase application APS applies for</t>
  </si>
  <si>
    <t>https://docket.images.azcc.gov/E000049441.pdf</t>
  </si>
  <si>
    <t>c4ee0885-9f9a-402b-a23b-c84f52054b57</t>
  </si>
  <si>
    <t>As a senior citizen the rate increase will impact me but I do have an income. My COLA from Social Security was 2.8% this past year.</t>
  </si>
  <si>
    <t>6256ec9d-c278-4da0-8515-725ff9a50a14</t>
  </si>
  <si>
    <t>Near retirement and invested in 34 solar panels to cover our long-term energy needs. Do not yet cover our full electrical costs and proposed increase will exacerbate this issue.</t>
  </si>
  <si>
    <t>https://docket.images.azcc.gov/E000049487.pdf</t>
  </si>
  <si>
    <t>No MEP R3-47 ($14.60)</t>
  </si>
  <si>
    <t>4daacaf8-dd67-4ce6-a430-236a2f2367c2</t>
  </si>
  <si>
    <t>Furber</t>
  </si>
  <si>
    <t>Sharyn</t>
  </si>
  <si>
    <t>notes job listing for 'Leader Creative Services' and the millions of $ it will take to change the logo</t>
  </si>
  <si>
    <t>a3a86e91-e63d-4201-bb96-bf09c30bafe1</t>
  </si>
  <si>
    <t>Wilkening</t>
  </si>
  <si>
    <t xml:space="preserve">They are agreeing to provide expensive gas generated power to hyperscale data centers. 2024 there were 608 heat related deaths. The number will only keep increasing. </t>
  </si>
  <si>
    <t>7148db74-354b-49c4-8cd9-6ffbc41ae797</t>
  </si>
  <si>
    <t>Sapundzhiev</t>
  </si>
  <si>
    <t>ILiya</t>
  </si>
  <si>
    <t xml:space="preserve">I am an Arizona resident, a small business owner, and a solar customer since 2020. I am writing to strongly oppose. </t>
  </si>
  <si>
    <t>cca246a3-8b8a-465d-ac45-a959ea8ff0e9</t>
  </si>
  <si>
    <t>Dallam</t>
  </si>
  <si>
    <t>Enough with these unnecessary rate increases! You folks campaigned on the promise of keeping rates reasonable, what happened to that?</t>
  </si>
  <si>
    <t>b2f37d23-fa17-4b7d-a423-4f34ab69eb04</t>
  </si>
  <si>
    <t>Lasky</t>
  </si>
  <si>
    <t>we feel ( solar people) the 50k we spent to provide additional power to the grid is a waisted money</t>
  </si>
  <si>
    <t>13e9957c-33be-47f0-bd7c-88f0f896fc56</t>
  </si>
  <si>
    <t>We don't need rate hikes, we need more investment in solar and other lower cost forms of power.</t>
  </si>
  <si>
    <t>ee27547f-ecec-4e30-80db-4539219342e7</t>
  </si>
  <si>
    <t>Lipson</t>
  </si>
  <si>
    <t>Leonard</t>
  </si>
  <si>
    <t>Solar panels worth les Retired on fixed income Paying enough now.</t>
  </si>
  <si>
    <t>019e935c-3382-4aed-8744-8ebafee2533e</t>
  </si>
  <si>
    <t>even with solar panels, I have to still pay APS bc of their rate increase through the years</t>
  </si>
  <si>
    <t>b7843d5f-17f1-4946-b7c2-692f57c49a13</t>
  </si>
  <si>
    <t>Meek</t>
  </si>
  <si>
    <t>concern with rate increases, particularly the solar Grid Access Charge alongside the continued erosion of affordability for AZ families</t>
  </si>
  <si>
    <t>b9674205-6009-4c0b-9cd8-881c1e17030e</t>
  </si>
  <si>
    <t>Osborn</t>
  </si>
  <si>
    <t>Dwayne</t>
  </si>
  <si>
    <t xml:space="preserve">fixed income, with solar, do not support any increase in APS rate increases while continuing to set record profits. </t>
  </si>
  <si>
    <t>09885274-b617-4301-8f3d-1008a211bdc1</t>
  </si>
  <si>
    <t>Moreno</t>
  </si>
  <si>
    <t>Energy should be free! Tesla showed us that already. Stop being greedy. Stop stop stop you greedy miserable pople whoever you are</t>
  </si>
  <si>
    <t>No MEP R3-47 ($73.15)</t>
  </si>
  <si>
    <t>a556bf2b-c886-473e-b4fc-b5a30e51dddb</t>
  </si>
  <si>
    <t>Hedenreich</t>
  </si>
  <si>
    <t>Flagstff</t>
  </si>
  <si>
    <t>I strongly request that permission to raise rates for APS be denied for the common good.</t>
  </si>
  <si>
    <t>7f673575-3818-4cd1-b8cb-2176b4214c0d</t>
  </si>
  <si>
    <t>Ceballos</t>
  </si>
  <si>
    <t>I am an elderly citizen of 86 yrs. I have had increasing APS bills over the years making it harder.</t>
  </si>
  <si>
    <t>No MEP R3-47 ($142.29)</t>
  </si>
  <si>
    <t>e0628b6e-274f-40dd-af84-4dcaa045ee55</t>
  </si>
  <si>
    <t>Flgastaff</t>
  </si>
  <si>
    <t>Against further utillity rate increases. More importantly, I am against the limitations you are putting on Wind and Solar Power in Arizona.</t>
  </si>
  <si>
    <t>056eaade-5a3b-447c-9920-76d522ef29a3</t>
  </si>
  <si>
    <t>Armstrong</t>
  </si>
  <si>
    <t>It is criminal to ignore cheaper clearn energy like solar and wind. APS would not need to even consider a rate hike if they stopped ignoring clean</t>
  </si>
  <si>
    <t>168ae2e9-ef28-4187-8b59-7f512ea3e452</t>
  </si>
  <si>
    <t>Families across this state already struggle to pay their mortgages, cover their bills and make ends meet</t>
  </si>
  <si>
    <t>057a7761-1a9e-4198-b89c-d4b4a9d130e6</t>
  </si>
  <si>
    <t>Galloway</t>
  </si>
  <si>
    <t>Electricity bills are becoming profoundly unaffordable for everyday Arizona citizens.</t>
  </si>
  <si>
    <t>cddd5a19-c1e3-484e-91f5-3e0d34549ffd</t>
  </si>
  <si>
    <t>Newell</t>
  </si>
  <si>
    <t>Shawn</t>
  </si>
  <si>
    <t>when APS customers like me are struggling with affordability, APS should not be guaranteed higher profits</t>
  </si>
  <si>
    <t>99c14859-0f22-488a-9684-f7bf6f30beec</t>
  </si>
  <si>
    <t>Budde</t>
  </si>
  <si>
    <t>How about APS stop doing commercials using the money they charge us customers for</t>
  </si>
  <si>
    <t>74e2472c-2fb0-4214-be4d-45d45e8f1e21</t>
  </si>
  <si>
    <t>Chaikin</t>
  </si>
  <si>
    <t>Peggy</t>
  </si>
  <si>
    <t>As a senior citizen living on retirement income and savings, I am strongly against the proposed APS rate hike and Solar Grid Access Charge.</t>
  </si>
  <si>
    <t>fd28af9f-d980-4ea9-a9c1-00f40d420cb7</t>
  </si>
  <si>
    <t xml:space="preserve">Who let this happen? The correction in billing method should have been planned for </t>
  </si>
  <si>
    <t>No MEP R3-47 ($216.81)</t>
  </si>
  <si>
    <t>73aefb5a-efa1-4183-a66f-1548614d7a2b</t>
  </si>
  <si>
    <t>l am a retired postal employee and on a pension. I am sick and tired of APS ripping off its Customers</t>
  </si>
  <si>
    <t>a19e65ac-dd27-4ead-ad9c-09e83fad003c</t>
  </si>
  <si>
    <t>APS has very high profits. They don't need yet another increase.</t>
  </si>
  <si>
    <t>c64381c4-cba0-4d87-8d37-d3c03458f1da</t>
  </si>
  <si>
    <t>I do not approve of allowing APS any new side steps to any rate hikes that by pass or skip the commission by the FRM</t>
  </si>
  <si>
    <t>No MEP R3-47 ($430.61)</t>
  </si>
  <si>
    <t>42091a0c-192c-4241-81a2-f40904a359e1</t>
  </si>
  <si>
    <t>Sun City West Property Owners and Residents Association</t>
  </si>
  <si>
    <t>continued utility rate increases have become unsustainablew for many, Rate increases must also be dligently reviewed by RUCO without any shortcuts.</t>
  </si>
  <si>
    <t>https://docket.images.azcc.gov/E000049488.pdf</t>
  </si>
  <si>
    <t>89407b9d-bf08-40ef-96d1-7887fbf0c746</t>
  </si>
  <si>
    <t>Ybarra</t>
  </si>
  <si>
    <t>David C (or C David)</t>
  </si>
  <si>
    <t>Advanced Customer Service Advisor at APS for 2 years</t>
  </si>
  <si>
    <t>https://docket.images.azcc.gov/E000049493.pdf</t>
  </si>
  <si>
    <t>cdcdbeb2-efc8-46f8-b8ee-05f2d0f8c880</t>
  </si>
  <si>
    <t>Wesolowski</t>
  </si>
  <si>
    <t>Spent over 140k on solar to negate the costs of my electricity bills and used to actually get credit on my bill each month. 2025 I never once had a month where I got a credit</t>
  </si>
  <si>
    <t>7fca2af9-d94f-415b-b13c-39c6630d66ce</t>
  </si>
  <si>
    <t>Pratt</t>
  </si>
  <si>
    <t>As a retiree, fixed income, invested in solar, prior APS rate increase negated much of my actual financial benefit and anticipated return on investment.</t>
  </si>
  <si>
    <t>7e0382b8-0ebb-474e-9b07-f81659abafd8</t>
  </si>
  <si>
    <t>Hawthorne</t>
  </si>
  <si>
    <t>Jewell</t>
  </si>
  <si>
    <t>Three rate hikes in the past three years. And to make matters worse, the utility's proposed "formula rates" would allow them to increase annually</t>
  </si>
  <si>
    <t>f1a962a3-0c99-4e60-9fa2-afa5c6fa596e</t>
  </si>
  <si>
    <t>reject the rate increase and not allow any other tax or fee APS throws on the monthly bill.</t>
  </si>
  <si>
    <t>No MEP R3-47 ($53.67)</t>
  </si>
  <si>
    <t>Docketed 2x, Participated in public comment session on 2/18</t>
  </si>
  <si>
    <t>8f03c820-a339-48de-a7f0-10558bd80339</t>
  </si>
  <si>
    <t>Conn</t>
  </si>
  <si>
    <t>IM on a fixed income and another increase. We'II be taking food off my table simple as that</t>
  </si>
  <si>
    <t>32e382bf-2a9a-4563-b34e-c8208d0fcc7a</t>
  </si>
  <si>
    <t>McClellan</t>
  </si>
  <si>
    <t xml:space="preserve">I am putting in more energy to their grid with my solar panels then I take out and yet they have still found back door methods to take money from  me. </t>
  </si>
  <si>
    <t>9c5edd8f-12dc-49f2-9b7b-b6aca399da3e</t>
  </si>
  <si>
    <t>Soto</t>
  </si>
  <si>
    <t xml:space="preserve">Ratepayers should not be asked to keep footing the bill for old, expensive coal plant when cleaner, cheaper options are available. </t>
  </si>
  <si>
    <t>fc7e9db3-0080-4f61-910e-a416acaf1617</t>
  </si>
  <si>
    <t>we need to stop this because we cannot afford these rate hikes. We are on fixed incomes.</t>
  </si>
  <si>
    <t>22d852a8-dd57-489d-8eb5-d646b27e5602</t>
  </si>
  <si>
    <t>Ayyar</t>
  </si>
  <si>
    <t>Adarsh</t>
  </si>
  <si>
    <t>concern with APS's proposed rate increases, particularly the solar Grid Access Charge</t>
  </si>
  <si>
    <t>R-TOUE47</t>
  </si>
  <si>
    <t>54ec0bad-6a64-494b-8bf2-b5ee02405560</t>
  </si>
  <si>
    <t>Fero</t>
  </si>
  <si>
    <t>example of the already unfair and irrational penalties placed on Solar contributors to the grid.</t>
  </si>
  <si>
    <t>No MEP R3-47 ($81.32)</t>
  </si>
  <si>
    <t>c87f5ec9-bb91-4abd-84d4-ed871a44c3d8</t>
  </si>
  <si>
    <t>Rings</t>
  </si>
  <si>
    <t xml:space="preserve">After rate increases in both 2023 and 2024, this is unconscionable, especially when APS profits last year were over $6 million. </t>
  </si>
  <si>
    <t>aa78847f-d36d-4541-ad6c-6e5c4aac4bb8</t>
  </si>
  <si>
    <t>I am presenting this public comment on behalf of Poder Latinx</t>
  </si>
  <si>
    <t>https://docket.images.azcc.gov/E000049524.pdf</t>
  </si>
  <si>
    <t>Participated in public comment session on 2/18</t>
  </si>
  <si>
    <t>7db895ca-e8c6-4906-98ee-b3b631d92fdc</t>
  </si>
  <si>
    <t>Lyall</t>
  </si>
  <si>
    <t xml:space="preserve">I am an 80 y/o low income senior citizen of Prescott Valley, AZ. I have trouble making ends meet on my Social Security income. </t>
  </si>
  <si>
    <t>dd97a9a5-c27c-4dd2-adcf-4e8f5aa3d7eb</t>
  </si>
  <si>
    <t>Chuppa</t>
  </si>
  <si>
    <t xml:space="preserve">SRP is a not-for-profit entity... and works just fine. In cotnrast, APS is focused on making huge profits for inevestors and executieves. </t>
  </si>
  <si>
    <t>No MEP R3-47 ($319.00)</t>
  </si>
  <si>
    <t>f7b1d1aa-198a-48bc-9c1f-bb994c44f803</t>
  </si>
  <si>
    <t>Fine</t>
  </si>
  <si>
    <t>Jovita</t>
  </si>
  <si>
    <t>installed solar on my house a few years ago, which I appreciate having, but already APS uses most of the energy</t>
  </si>
  <si>
    <t>254311cd-5c08-4372-ac58-8b7a0efbcbca</t>
  </si>
  <si>
    <t>Tyquiengco Wilson</t>
  </si>
  <si>
    <t>Janae</t>
  </si>
  <si>
    <t>d2b63aed-8da3-4446-be1f-da983eff88bf</t>
  </si>
  <si>
    <t>Frewer Jr.</t>
  </si>
  <si>
    <t xml:space="preserve">between the three of us, we're juggling four jobs. We work hard, pay our bills on time, and do everything America says one must do to afford a good life. Yet somehow, we're barely keeping our heads above water. </t>
  </si>
  <si>
    <t>1f057901-a9cd-43ca-bca7-0d16dd032d9d</t>
  </si>
  <si>
    <t>Daily</t>
  </si>
  <si>
    <t xml:space="preserve">I think that a 14 % rate increase is a little to much to ask for all at once. Our COLA increase this year doesn't come clos to that. </t>
  </si>
  <si>
    <t>8d35f7fb-69fe-47a1-9fe1-a80ebdbcf682</t>
  </si>
  <si>
    <t>Bihary</t>
  </si>
  <si>
    <t>Judith</t>
  </si>
  <si>
    <t xml:space="preserve">We need some assurances that rate hikes will have public oversight, so future rate hikes will not be easy for APS to put through. </t>
  </si>
  <si>
    <t>831aaf07-ba7a-436b-97c5-5123d25cb0c4</t>
  </si>
  <si>
    <t xml:space="preserve">considering their profits, and that they should be charging the data centers the appropriate rates they will consume, I believe they need to give consideration to permanent residents first, partial residents secondary and then businesses. </t>
  </si>
  <si>
    <t>441d1ff7-b80c-41d1-9c23-1c9a194e5a2f</t>
  </si>
  <si>
    <t>Stallcop</t>
  </si>
  <si>
    <t>I vehemently oppose the "formula rates," which would allow the utility to fast-track rate increases every year</t>
  </si>
  <si>
    <t>08dcccf0-be4f-4c6e-873b-6a801b798ef5</t>
  </si>
  <si>
    <t>Finch</t>
  </si>
  <si>
    <t>Jessie K</t>
  </si>
  <si>
    <t>Please stop charging the people of Arizona TO MAKE A PROFIT on what should be a utility FOR THE PEOPLE.</t>
  </si>
  <si>
    <t>No MEP R3-47 ($56.37)</t>
  </si>
  <si>
    <t>798d7b05-f86b-40d0-98dd-38a6dc81af39</t>
  </si>
  <si>
    <t>Sturnacle</t>
  </si>
  <si>
    <t>Arwin</t>
  </si>
  <si>
    <t>Requesting that Arizona Corporation Commission determine the relation of APS to Pinnacle West Capital Corporation</t>
  </si>
  <si>
    <t>AMI Opt-Out</t>
  </si>
  <si>
    <t>739c848f-60a9-4f7d-ad6e-b324a4523ff8</t>
  </si>
  <si>
    <t xml:space="preserve">Member of Sun City PORA, with solar. </t>
  </si>
  <si>
    <t>https://docket.images.azcc.gov/0000216207.pdf</t>
  </si>
  <si>
    <t>No MEP R3-47 ($15.82)</t>
  </si>
  <si>
    <t>ef12ea3a-a022-4171-94b3-30c95b95ada5</t>
  </si>
  <si>
    <t>Opposes nuclear</t>
  </si>
  <si>
    <t>https://docket.images.azcc.gov/0000216208.pdf</t>
  </si>
  <si>
    <t>e38d138c-e860-427d-949e-e64fb2708a98</t>
  </si>
  <si>
    <t>Hakari</t>
  </si>
  <si>
    <t>Lana</t>
  </si>
  <si>
    <t>The considerable increase of 14% would disproportionately affect fixed-income customers, such as myself</t>
  </si>
  <si>
    <t>https://docket.images.azcc.gov/E000049528.pdf</t>
  </si>
  <si>
    <t>0c95402c-e496-4910-89e0-2d77a99d18ec</t>
  </si>
  <si>
    <t>Reeese</t>
  </si>
  <si>
    <t>Mykel</t>
  </si>
  <si>
    <t>The company is already profitable and the fact that they are demanding a rate increase is a great burden to folks like me who are on fixed incomes.</t>
  </si>
  <si>
    <t>d1d9ba39-9ef2-4bd1-844a-72e59633ecc9</t>
  </si>
  <si>
    <t xml:space="preserve">I feel that APS is unfairly raising bills on homeowners without requiring the new chip manufacturers and the housing developers to pay their share of the rate increases. </t>
  </si>
  <si>
    <t>abb917d4-ae0f-4841-9490-3e7d9258125c</t>
  </si>
  <si>
    <t>Steinert</t>
  </si>
  <si>
    <t>APS residential power rates have already increased far beyond those of SRP and I can see no good reason for this except a thirst for excessive profits</t>
  </si>
  <si>
    <t>8f38909b-92ad-4859-943a-d326241a1f83</t>
  </si>
  <si>
    <t>Brame</t>
  </si>
  <si>
    <t>conern with APS's proposed rate increases, particularly the solar Grid Access Charge</t>
  </si>
  <si>
    <t>https://docket.images.azcc.gov/E000049547.pdf</t>
  </si>
  <si>
    <t>3c635cdb-ee48-4f06-bc14-9b077d0a3388</t>
  </si>
  <si>
    <t>Kerata</t>
  </si>
  <si>
    <t>Pleas consider supporting solar power, solar tax credits and infrastructure so these electricity rates start to Go Down instead of continually UP.</t>
  </si>
  <si>
    <t>36728d17-858c-40d4-a8ae-61269b04ff2e</t>
  </si>
  <si>
    <t>APS argues this increase is necessary for grid reliability, the burden is being unfairly placed on residential households</t>
  </si>
  <si>
    <t>2855bbe5-ee30-4ff0-b73b-25323b9a7c4a</t>
  </si>
  <si>
    <t>Brianne</t>
  </si>
  <si>
    <t xml:space="preserve">Representing Arizona Alliance for Retired Americans (AARA) advocates for retirees and seniors to ensure social and economic justice after a lifetime of work. </t>
  </si>
  <si>
    <t>7aee79cb-cffe-45cd-af42-bf508a95900e</t>
  </si>
  <si>
    <t>Engelman</t>
  </si>
  <si>
    <t xml:space="preserve">try living in the AZ heat with minimal air conditioning such as this. Try it, and I can assure you, you would never approve a rate hike. </t>
  </si>
  <si>
    <t>https://docket.images.azcc.gov/E000049561.pdf</t>
  </si>
  <si>
    <t>b1397845-6032-421d-8b23-f9bfa865f5b9</t>
  </si>
  <si>
    <t>Hardin</t>
  </si>
  <si>
    <t xml:space="preserve">Is it possible for the company to have multi-tiered rates, considering that some power usage is for "WANTS" rather than "NEEDS". </t>
  </si>
  <si>
    <t>3e50e4cb-d1c4-4981-a872-c05629faf78e</t>
  </si>
  <si>
    <t>Arnon</t>
  </si>
  <si>
    <t xml:space="preserve">Oppose rate increase, FRM, APS will not allow solar customer to operate stand-alone facilities, deny Grid Access Charge, abandoned their clean energy goals. </t>
  </si>
  <si>
    <t>https://docket.images.azcc.gov/E000049585.pdf</t>
  </si>
  <si>
    <t>5875521000</t>
  </si>
  <si>
    <t>No MEP R3-47 ($310.50)</t>
  </si>
  <si>
    <t>9f195873-8f39-4321-abca-6cd1985d3a92</t>
  </si>
  <si>
    <t xml:space="preserve">They've made big profits and had several recent rate increases. </t>
  </si>
  <si>
    <t>https://docket.images.azcc.gov/E000049618.pdf</t>
  </si>
  <si>
    <t>a0557797-4294-43c4-9229-4fdc2dfcbac4</t>
  </si>
  <si>
    <t>Stambaugh</t>
  </si>
  <si>
    <t>Alice</t>
  </si>
  <si>
    <t>APS does NOT need to make life harder for the masses and more lucrative for shareholders,</t>
  </si>
  <si>
    <t>d9bc40aa-657b-4eda-8dee-afabefc625ee</t>
  </si>
  <si>
    <t>Auman</t>
  </si>
  <si>
    <t>Charlotte</t>
  </si>
  <si>
    <t xml:space="preserve">Quotes 24% higher than SRP and CEO compensation higher. </t>
  </si>
  <si>
    <t>https://docket.images.azcc.gov/E000049673.pdf</t>
  </si>
  <si>
    <t>APS offers "assistance" ... by suggesting we turn off electric devices such as air conditiong from 4-7 pm during the week</t>
  </si>
  <si>
    <t>RTOUE47 &amp; R-BASICL</t>
  </si>
  <si>
    <t>No MEP R3-47 ($601.46)</t>
  </si>
  <si>
    <t>Kilday</t>
  </si>
  <si>
    <t>Already struggle, Sun City is a community made up of senior residents, most lie on fiexd incomes.</t>
  </si>
  <si>
    <t>to raise rates by 14%, or any amount, forcing the consumer to subsidize the high energy cost of data centers is grossly unfair and unreasonable</t>
  </si>
  <si>
    <t>Watkins</t>
  </si>
  <si>
    <t xml:space="preserve">Deny this request and think of the people of this damn town, it's un fair to put it simply. </t>
  </si>
  <si>
    <t>https://docket.images.azcc.gov/E000049691.pdf</t>
  </si>
  <si>
    <t>Flanders</t>
  </si>
  <si>
    <t>Brandie</t>
  </si>
  <si>
    <t xml:space="preserve">lt is hot here and even with solar it is still very expensive every month. How can families afford $500 to $800 a month for electric in the summer. </t>
  </si>
  <si>
    <t>Zeller</t>
  </si>
  <si>
    <t>As a customer, I am OPPOSED to APS imitating the ERRORS of California's Green Energy WASTE of money. START investing wisely in nuclear and fossil fuel energy</t>
  </si>
  <si>
    <t>https://docket.images.azcc.gov/E000049698.pdf</t>
  </si>
  <si>
    <t>It is unjust to force residential families to subsidize the massive energy and inhastiucture demands of new data centers and AI</t>
  </si>
  <si>
    <t>https://docket.images.azcc.gov/E000049678.pdf</t>
  </si>
  <si>
    <t>1) Cumuliative Financial Strain; 2) Subsidizing Industrial Growth; 3) Monopopy Accountabililty</t>
  </si>
  <si>
    <t>David (Conservatives for Responsible Stewardship)</t>
  </si>
  <si>
    <t>Notes: 14-16% hike, ROE, monopoly, ACC is directly responsible for the high utililty bills, shows fake billboards</t>
  </si>
  <si>
    <t>https://docket.images.azcc.gov/E000049685.pdf</t>
  </si>
  <si>
    <t>lt is criminal that you want to let APS charge us almost 15% more! You are supposed to protect the people</t>
  </si>
  <si>
    <t>https://docket.images.azcc.gov/E000049758.pdf</t>
  </si>
  <si>
    <t>Nanette</t>
  </si>
  <si>
    <t>I can't imagine how you expect seniors who don't have solar to pay their electric bills which willbe me in the near future when my solar panels discontinue</t>
  </si>
  <si>
    <t>No MEP R3-47 ($83.96)</t>
  </si>
  <si>
    <t>Garrett</t>
  </si>
  <si>
    <t>APS should be ASHAMED of using their greed to dismantle the well being of people. And, the ACC should be ASHAMED of passing through their greedy tactics</t>
  </si>
  <si>
    <t>https://docket.images.azcc.gov/E000049837.pdf</t>
  </si>
  <si>
    <t>Rate Change in Process</t>
  </si>
  <si>
    <t>Customer made a rate change via APS website on 3/3 MEP is R3-47 ($98.44)</t>
  </si>
  <si>
    <t>Cortese</t>
  </si>
  <si>
    <t>Rich</t>
  </si>
  <si>
    <t>Why do they need another rate increase? Make date centers and mega communities pay for the upgrades</t>
  </si>
  <si>
    <t>Riedel</t>
  </si>
  <si>
    <t>If you have a tabulation form for this docket number, please add my name to the AGAINST column</t>
  </si>
  <si>
    <t>Splain</t>
  </si>
  <si>
    <t>The rise in utility costs as APS continues to make large profits is putting many families and individuals into financial hardship. Against formula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</si>
</sst>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8" formatCode="&quot;$&quot;#,##0.00_);[Red]\(&quot;$&quot;#,##0.00\)"/>
    <numFmt numFmtId="164" formatCode="&quot;$&quot;#,##0.00"/>
    <numFmt numFmtId="165" formatCode="mm/dd/yyyy"/>
    <numFmt numFmtId="166" formatCode="0.0%"/>
    <numFmt numFmtId="167" formatCode="mm/dd/yy"/>
  </numFmts>
  <fonts count="35">
    <font>
      <sz val="11"/>
      <color theme="1"/>
      <name val="Aptos Narrow"/>
      <family val="2"/>
      <scheme val="minor"/>
    </font>
    <font>
      <u/>
      <sz val="11"/>
      <color theme="10"/>
      <name val="Aptos Narrow"/>
      <family val="2"/>
      <scheme val="minor"/>
    </font>
    <font>
      <b/>
      <sz val="9"/>
      <color rgb="FF000000"/>
      <name val="Arial Nova Cond"/>
      <family val="2"/>
    </font>
    <font>
      <b/>
      <sz val="9"/>
      <color theme="1"/>
      <name val="Arial Nova Cond"/>
      <family val="2"/>
    </font>
    <font>
      <sz val="9"/>
      <color theme="1"/>
      <name val="Arial Nova Cond"/>
      <family val="2"/>
    </font>
    <font>
      <sz val="9"/>
      <color rgb="FF212121"/>
      <name val="Arial Nova Cond"/>
      <family val="2"/>
    </font>
    <font>
      <u/>
      <sz val="9"/>
      <color theme="10"/>
      <name val="Arial Nova Cond"/>
      <family val="2"/>
    </font>
    <font>
      <sz val="9"/>
      <name val="Arial Nova Cond"/>
      <family val="2"/>
    </font>
    <font>
      <sz val="9"/>
      <color rgb="FFFF0000"/>
      <name val="Arial Nova Cond"/>
      <family val="2"/>
    </font>
    <font>
      <sz val="9"/>
      <color rgb="FF000000"/>
      <name val="Arial Nova Cond"/>
      <family val="2"/>
    </font>
    <font>
      <sz val="9"/>
      <color rgb="FF000000"/>
      <name val="Arial Nova Cond"/>
    </font>
    <font>
      <sz val="9"/>
      <color theme="1"/>
      <name val="Arial Unicode MS"/>
      <family val="2"/>
    </font>
    <font>
      <sz val="9"/>
      <color rgb="FFFF0000"/>
      <name val="Arial Unicode MS"/>
      <family val="2"/>
    </font>
    <font>
      <sz val="9"/>
      <color rgb="FFFF0000"/>
      <name val="Arial Nova Cond"/>
    </font>
    <font>
      <sz val="11"/>
      <color theme="1"/>
      <name val="Aptos Narrow"/>
      <scheme val="minor"/>
    </font>
    <font>
      <b/>
      <sz val="11"/>
      <color rgb="FFFFFFFF"/>
      <name val="Aptos Narrow"/>
      <scheme val="minor"/>
    </font>
    <font>
      <b/>
      <sz val="11"/>
      <color rgb="FF1B5E20"/>
      <name val="Aptos Narrow"/>
      <scheme val="minor"/>
    </font>
    <font>
      <b/>
      <sz val="24"/>
      <color rgb="FF2E7D32"/>
      <name val="Aptos Display"/>
    </font>
    <font>
      <b/>
      <sz val="18"/>
      <color rgb="FFFFFFFF"/>
      <name val="Aptos Display"/>
    </font>
    <font>
      <b/>
      <sz val="28"/>
      <color rgb="FF2E7D32"/>
      <name val="Aptos Display"/>
    </font>
    <font>
      <i/>
      <sz val="8"/>
      <color rgb="FF999999"/>
      <name val="Aptos Narrow"/>
      <scheme val="minor"/>
    </font>
    <font>
      <b/>
      <sz val="9"/>
      <color rgb="FFFFFFFF"/>
      <name val="Aptos Narrow"/>
      <scheme val="minor"/>
    </font>
    <font>
      <sz val="10"/>
      <color theme="1"/>
      <name val="Aptos Narrow"/>
      <scheme val="minor"/>
    </font>
    <font>
      <i/>
      <sz val="9"/>
      <color rgb="FF999999"/>
      <name val="Aptos Narrow"/>
      <scheme val="minor"/>
    </font>
    <font>
      <sz val="9"/>
      <color rgb="FF2E7D32"/>
      <name val="Aptos Narrow"/>
      <scheme val="minor"/>
    </font>
    <font>
      <b/>
      <sz val="28"/>
      <color rgb="FF2C3E50"/>
      <name val="Aptos Display"/>
    </font>
    <font>
      <b/>
      <sz val="28"/>
      <color rgb="FF00695C"/>
      <name val="Aptos Display"/>
    </font>
    <font>
      <b/>
      <sz val="28"/>
      <color rgb="FF4527A0"/>
      <name val="Aptos Display"/>
    </font>
    <font>
      <b/>
      <sz val="9"/>
      <color rgb="FF555555"/>
      <name val="Aptos Narrow"/>
      <scheme val="minor"/>
    </font>
    <font>
      <b/>
      <sz val="24"/>
      <color rgb="FFAD1457"/>
      <name val="Aptos Display"/>
    </font>
    <font>
      <b/>
      <sz val="24"/>
      <color rgb="FF00695C"/>
      <name val="Aptos Display"/>
    </font>
    <font>
      <b/>
      <sz val="24"/>
      <color rgb="FF283593"/>
      <name val="Aptos Display"/>
    </font>
    <font>
      <b/>
      <sz val="24"/>
      <color rgb="FF2C3E50"/>
      <name val="Aptos Display"/>
    </font>
    <font>
      <sz val="11"/>
      <color rgb="FF9E9E9E"/>
      <name val="Aptos Narrow"/>
      <scheme val="minor"/>
    </font>
    <font>
      <sz val="9"/>
      <color theme="1"/>
      <name val="Arial Nova Cond"/>
    </font>
  </fonts>
  <fills count="25">
    <fill>
      <patternFill patternType="none"/>
    </fill>
    <fill>
      <patternFill patternType="gray125"/>
    </fill>
    <fill>
      <patternFill patternType="solid">
        <fgColor theme="5" tint="0.39997558519241921"/>
        <bgColor rgb="FF000000"/>
      </patternFill>
    </fill>
    <fill>
      <patternFill patternType="solid">
        <fgColor theme="5" tint="0.39997558519241921"/>
        <bgColor indexed="64"/>
      </patternFill>
    </fill>
    <fill>
      <patternFill patternType="solid">
        <fgColor rgb="FF00FF00"/>
        <bgColor indexed="64"/>
      </patternFill>
    </fill>
    <fill>
      <patternFill patternType="solid">
        <fgColor rgb="FFFFFF00"/>
        <bgColor indexed="64"/>
      </patternFill>
    </fill>
    <fill>
      <patternFill patternType="solid">
        <fgColor theme="8" tint="0.59999389629810485"/>
        <bgColor indexed="64"/>
      </patternFill>
    </fill>
    <fill>
      <patternFill patternType="solid">
        <fgColor rgb="FFD9D9D9"/>
        <bgColor rgb="FF000000"/>
      </patternFill>
    </fill>
    <fill>
      <patternFill patternType="solid">
        <fgColor theme="0" tint="-0.14999847407452621"/>
        <bgColor indexed="64"/>
      </patternFill>
    </fill>
    <fill>
      <patternFill patternType="solid">
        <fgColor rgb="FFFFFFFF"/>
        <bgColor indexed="64"/>
      </patternFill>
    </fill>
    <fill>
      <patternFill patternType="solid">
        <fgColor rgb="FF37474F"/>
        <bgColor indexed="64"/>
      </patternFill>
    </fill>
    <fill>
      <patternFill patternType="solid">
        <fgColor rgb="FFECEFF1"/>
        <bgColor indexed="64"/>
      </patternFill>
    </fill>
    <fill>
      <patternFill patternType="solid">
        <fgColor rgb="FF1565C0"/>
        <bgColor indexed="64"/>
      </patternFill>
    </fill>
    <fill>
      <patternFill patternType="solid">
        <fgColor rgb="FF1B3A5C"/>
        <bgColor indexed="64"/>
      </patternFill>
    </fill>
    <fill>
      <patternFill patternType="solid">
        <fgColor rgb="FF263238"/>
        <bgColor indexed="64"/>
      </patternFill>
    </fill>
    <fill>
      <patternFill patternType="solid">
        <fgColor rgb="FFFFF3E0"/>
        <bgColor indexed="64"/>
      </patternFill>
    </fill>
    <fill>
      <patternFill patternType="solid">
        <fgColor rgb="FFE8F5E9"/>
        <bgColor indexed="64"/>
      </patternFill>
    </fill>
    <fill>
      <patternFill patternType="solid">
        <fgColor rgb="FFFFF8E1"/>
        <bgColor indexed="64"/>
      </patternFill>
    </fill>
    <fill>
      <patternFill patternType="solid">
        <fgColor rgb="FFE8EDF2"/>
        <bgColor indexed="64"/>
      </patternFill>
    </fill>
    <fill>
      <patternFill patternType="solid">
        <fgColor rgb="FFE0F2F1"/>
        <bgColor indexed="64"/>
      </patternFill>
    </fill>
    <fill>
      <patternFill patternType="solid">
        <fgColor rgb="FFEDE7F6"/>
        <bgColor indexed="64"/>
      </patternFill>
    </fill>
    <fill>
      <patternFill patternType="solid">
        <fgColor rgb="FFFCE4EC"/>
        <bgColor indexed="64"/>
      </patternFill>
    </fill>
    <fill>
      <patternFill patternType="solid">
        <fgColor rgb="FFE0F7FA"/>
        <bgColor indexed="64"/>
      </patternFill>
    </fill>
    <fill>
      <patternFill patternType="solid">
        <fgColor rgb="FFE8EAF6"/>
        <bgColor indexed="64"/>
      </patternFill>
    </fill>
    <fill>
      <patternFill patternType="solid">
        <fgColor rgb="FFF8FAFB"/>
        <bgColor indexed="64"/>
      </patternFill>
    </fill>
  </fills>
  <borders count="14">
    <border>
      <left/>
      <right/>
      <top/>
      <bottom/>
      <diagonal/>
    </border>
    <border>
      <left style="thin">
        <color indexed="64"/>
      </left>
      <right style="thin">
        <color indexed="64"/>
      </right>
      <top/>
      <bottom style="thin">
        <color indexed="64"/>
      </bottom>
      <diagonal/>
    </border>
    <border>
      <left style="thin">
        <color rgb="FFE0E0E0"/>
      </left>
      <right style="thin">
        <color rgb="FFE0E0E0"/>
      </right>
      <top/>
      <bottom style="thin">
        <color rgb="FFE0E0E0"/>
      </bottom>
      <diagonal/>
    </border>
    <border>
      <left style="thin">
        <color rgb="FFE0E0E0"/>
      </left>
      <right/>
      <top/>
      <bottom style="thin">
        <color rgb="FFE0E0E0"/>
      </bottom>
      <diagonal/>
    </border>
    <border>
      <left style="thin">
        <color rgb="FFE0E0E0"/>
      </left>
      <right style="thin">
        <color rgb="FFE0E0E0"/>
      </right>
      <top style="thin">
        <color rgb="FFE0E0E0"/>
      </top>
      <bottom/>
      <diagonal/>
    </border>
    <border>
      <left style="thin">
        <color rgb="FFE0E0E0"/>
      </left>
      <right/>
      <top style="thin">
        <color rgb="FFE0E0E0"/>
      </top>
      <bottom/>
      <diagonal/>
    </border>
    <border>
      <left/>
      <right/>
      <top/>
      <bottom style="thin">
        <color rgb="FF1B5E20"/>
      </bottom>
      <diagonal/>
    </border>
    <border>
      <left style="thin">
        <color rgb="FFE0E0E0"/>
      </left>
      <right/>
      <top/>
      <bottom/>
      <diagonal/>
    </border>
    <border>
      <left style="thin">
        <color rgb="FFE0E0E0"/>
      </left>
      <right style="thin">
        <color rgb="FFE0E0E0"/>
      </right>
      <top/>
      <bottom/>
      <diagonal/>
    </border>
    <border>
      <left/>
      <right/>
      <top style="thin">
        <color rgb="FF44B3E1"/>
      </top>
      <bottom/>
      <diagonal/>
    </border>
    <border>
      <left/>
      <right/>
      <top style="thin">
        <color rgb="FF44B3E1"/>
      </top>
      <bottom style="thin">
        <color rgb="FF44B3E1"/>
      </bottom>
      <diagonal/>
    </border>
    <border>
      <left style="thin">
        <color rgb="FF44B3E1"/>
      </left>
      <right style="thin">
        <color rgb="FF44B3E1"/>
      </right>
      <top style="thin">
        <color rgb="FF44B3E1"/>
      </top>
      <bottom style="thin">
        <color rgb="FF44B3E1"/>
      </bottom>
      <diagonal/>
    </border>
    <border>
      <left style="thin">
        <color rgb="FF44B3E1"/>
      </left>
      <right/>
      <top style="thin">
        <color rgb="FF44B3E1"/>
      </top>
      <bottom/>
      <diagonal/>
    </border>
    <border>
      <left style="thin">
        <color rgb="FF44B3E1"/>
      </left>
      <right/>
      <top style="thin">
        <color rgb="FF44B3E1"/>
      </top>
      <bottom style="thin">
        <color rgb="FF44B3E1"/>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4" fillId="0" borderId="0" xfId="0" applyFont="1"/>
    <xf numFmtId="14" fontId="4" fillId="0" borderId="0" xfId="0" applyNumberFormat="1" applyFont="1" applyAlignment="1">
      <alignment horizontal="center"/>
    </xf>
    <xf numFmtId="0" fontId="4" fillId="0" borderId="0" xfId="0" applyFont="1" applyAlignment="1">
      <alignment wrapText="1"/>
    </xf>
    <xf numFmtId="49" fontId="4" fillId="0" borderId="0" xfId="0" applyNumberFormat="1"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4" fillId="4" borderId="0" xfId="0" applyFont="1" applyFill="1" applyAlignment="1">
      <alignment horizontal="center"/>
    </xf>
    <xf numFmtId="0" fontId="6" fillId="0" borderId="0" xfId="1" applyFont="1"/>
    <xf numFmtId="49" fontId="4" fillId="4" borderId="0" xfId="0" applyNumberFormat="1" applyFont="1" applyFill="1" applyAlignment="1">
      <alignment horizontal="center"/>
    </xf>
    <xf numFmtId="0" fontId="7" fillId="0" borderId="0" xfId="0" applyFont="1" applyAlignment="1">
      <alignment horizontal="center"/>
    </xf>
    <xf numFmtId="0" fontId="4" fillId="5" borderId="0" xfId="0" applyFont="1" applyFill="1" applyAlignment="1">
      <alignment wrapText="1"/>
    </xf>
    <xf numFmtId="49" fontId="4" fillId="0" borderId="0" xfId="0" applyNumberFormat="1" applyFont="1" applyAlignment="1">
      <alignment horizontal="center" vertical="top"/>
    </xf>
    <xf numFmtId="8" fontId="4" fillId="0" borderId="0" xfId="0" applyNumberFormat="1" applyFont="1" applyAlignment="1">
      <alignment horizontal="center"/>
    </xf>
    <xf numFmtId="14" fontId="4" fillId="5" borderId="0" xfId="0" applyNumberFormat="1" applyFont="1" applyFill="1" applyAlignment="1">
      <alignment horizontal="center"/>
    </xf>
    <xf numFmtId="8" fontId="4" fillId="4" borderId="0" xfId="0" applyNumberFormat="1" applyFont="1" applyFill="1" applyAlignment="1">
      <alignment horizontal="center"/>
    </xf>
    <xf numFmtId="0" fontId="7" fillId="0" borderId="0" xfId="1" applyFont="1" applyAlignment="1">
      <alignment horizontal="center"/>
    </xf>
    <xf numFmtId="0" fontId="4" fillId="5" borderId="0" xfId="0" applyFont="1" applyFill="1" applyAlignment="1">
      <alignment horizontal="center"/>
    </xf>
    <xf numFmtId="0" fontId="9" fillId="0" borderId="0" xfId="0" applyFont="1" applyAlignment="1">
      <alignment horizontal="center"/>
    </xf>
    <xf numFmtId="6" fontId="4" fillId="0" borderId="0" xfId="0" applyNumberFormat="1" applyFont="1" applyAlignment="1">
      <alignment horizontal="center"/>
    </xf>
    <xf numFmtId="16" fontId="4" fillId="0" borderId="0" xfId="0" applyNumberFormat="1" applyFont="1"/>
    <xf numFmtId="49" fontId="9" fillId="0" borderId="0" xfId="0" applyNumberFormat="1" applyFont="1" applyAlignment="1">
      <alignment horizontal="center"/>
    </xf>
    <xf numFmtId="14" fontId="4" fillId="0" borderId="0" xfId="0" applyNumberFormat="1" applyFont="1"/>
    <xf numFmtId="0" fontId="4" fillId="0" borderId="0" xfId="0" applyFont="1" applyAlignment="1">
      <alignment horizontal="right"/>
    </xf>
    <xf numFmtId="0" fontId="4" fillId="5" borderId="0" xfId="0" applyFont="1" applyFill="1"/>
    <xf numFmtId="49" fontId="4" fillId="5" borderId="0" xfId="0" applyNumberFormat="1" applyFont="1" applyFill="1" applyAlignment="1">
      <alignment horizontal="center"/>
    </xf>
    <xf numFmtId="49" fontId="4" fillId="0" borderId="0" xfId="0" applyNumberFormat="1" applyFont="1" applyAlignment="1">
      <alignment horizontal="left"/>
    </xf>
    <xf numFmtId="0" fontId="7" fillId="0" borderId="0" xfId="0" applyFont="1"/>
    <xf numFmtId="0" fontId="4" fillId="6" borderId="0" xfId="0" applyFont="1" applyFill="1"/>
    <xf numFmtId="14" fontId="4" fillId="4" borderId="0" xfId="0" applyNumberFormat="1" applyFont="1" applyFill="1" applyAlignment="1">
      <alignment horizontal="center"/>
    </xf>
    <xf numFmtId="0" fontId="4" fillId="0" borderId="0" xfId="0" applyFont="1" applyAlignment="1">
      <alignment horizontal="left"/>
    </xf>
    <xf numFmtId="0" fontId="6" fillId="0" borderId="0" xfId="1" applyFont="1" applyFill="1"/>
    <xf numFmtId="0" fontId="8" fillId="0" borderId="0" xfId="0" applyFont="1"/>
    <xf numFmtId="14" fontId="9" fillId="0" borderId="0" xfId="0" applyNumberFormat="1" applyFont="1" applyAlignment="1">
      <alignment horizontal="center"/>
    </xf>
    <xf numFmtId="0" fontId="9" fillId="0" borderId="0" xfId="0" applyFont="1"/>
    <xf numFmtId="0" fontId="10" fillId="0" borderId="0" xfId="0" applyFont="1"/>
    <xf numFmtId="14" fontId="9" fillId="7" borderId="0" xfId="0" applyNumberFormat="1" applyFont="1" applyFill="1" applyAlignment="1">
      <alignment horizontal="center"/>
    </xf>
    <xf numFmtId="0" fontId="9" fillId="7" borderId="0" xfId="0" applyFont="1" applyFill="1"/>
    <xf numFmtId="0" fontId="9" fillId="7" borderId="0" xfId="0" applyFont="1" applyFill="1" applyAlignment="1">
      <alignment horizontal="center"/>
    </xf>
    <xf numFmtId="0" fontId="11" fillId="0" borderId="0" xfId="0" applyFont="1"/>
    <xf numFmtId="0" fontId="1" fillId="0" borderId="0" xfId="1" applyFill="1"/>
    <xf numFmtId="14" fontId="8" fillId="0" borderId="0" xfId="0" applyNumberFormat="1" applyFont="1" applyAlignment="1">
      <alignment horizontal="center"/>
    </xf>
    <xf numFmtId="0" fontId="8" fillId="0" borderId="0" xfId="0" applyFont="1" applyAlignment="1">
      <alignment horizontal="center"/>
    </xf>
    <xf numFmtId="0" fontId="12" fillId="0" borderId="0" xfId="0" applyFont="1"/>
    <xf numFmtId="49" fontId="8" fillId="0" borderId="0" xfId="0" applyNumberFormat="1" applyFont="1" applyAlignment="1">
      <alignment horizontal="center"/>
    </xf>
    <xf numFmtId="0" fontId="4" fillId="8" borderId="0" xfId="0" applyFont="1" applyFill="1"/>
    <xf numFmtId="0" fontId="2" fillId="2" borderId="1" xfId="0" applyFont="1" applyFill="1" applyBorder="1" applyAlignment="1">
      <alignment horizontal="center" wrapText="1"/>
    </xf>
    <xf numFmtId="0" fontId="2" fillId="2" borderId="1" xfId="0" applyFont="1" applyFill="1" applyBorder="1" applyAlignment="1">
      <alignment horizontal="center"/>
    </xf>
    <xf numFmtId="49" fontId="3" fillId="3" borderId="1" xfId="0" applyNumberFormat="1" applyFont="1" applyFill="1" applyBorder="1" applyAlignment="1">
      <alignment horizontal="center"/>
    </xf>
    <xf numFmtId="0" fontId="2" fillId="3" borderId="1" xfId="0" applyFont="1" applyFill="1" applyBorder="1" applyAlignment="1">
      <alignment horizontal="center" wrapText="1"/>
    </xf>
    <xf numFmtId="0" fontId="3" fillId="3" borderId="1" xfId="0" applyFont="1" applyFill="1" applyBorder="1" applyAlignment="1">
      <alignment horizontal="center"/>
    </xf>
    <xf numFmtId="0" fontId="3" fillId="3" borderId="1" xfId="0" applyFont="1" applyFill="1" applyBorder="1" applyAlignment="1">
      <alignment horizontal="center" wrapText="1"/>
    </xf>
    <xf numFmtId="0" fontId="2" fillId="2" borderId="1" xfId="0" applyFont="1" applyFill="1" applyBorder="1" applyAlignment="1">
      <alignment wrapText="1"/>
    </xf>
    <xf numFmtId="0" fontId="4" fillId="8" borderId="0" xfId="1" applyFont="1" applyFill="1"/>
    <xf numFmtId="8" fontId="8" fillId="0" borderId="0" xfId="0" applyNumberFormat="1" applyFont="1" applyAlignment="1">
      <alignment horizontal="center"/>
    </xf>
    <xf numFmtId="14" fontId="10" fillId="8" borderId="0" xfId="0" applyNumberFormat="1" applyFont="1" applyFill="1"/>
    <xf numFmtId="0" fontId="10" fillId="8" borderId="0" xfId="0" applyFont="1" applyFill="1"/>
    <xf numFmtId="14" fontId="13" fillId="8" borderId="0" xfId="0" applyNumberFormat="1" applyFont="1" applyFill="1"/>
    <xf numFmtId="0" fontId="13" fillId="8" borderId="0" xfId="0" applyFont="1" applyFill="1"/>
    <xf numFmtId="14" fontId="2" fillId="2" borderId="1" xfId="0" applyNumberFormat="1" applyFont="1" applyFill="1" applyBorder="1" applyAlignment="1">
      <alignment wrapText="1"/>
    </xf>
    <xf numFmtId="0" fontId="14" fillId="0" borderId="0" xfId="0" applyFont="1"/>
    <xf numFmtId="0" fontId="14" fillId="9" borderId="0" xfId="0" applyFont="1" applyFill="1"/>
    <xf numFmtId="0" fontId="15" fillId="10" borderId="0" xfId="0" applyFont="1" applyFill="1" applyAlignment="1">
      <alignment horizontal="center"/>
    </xf>
    <xf numFmtId="0" fontId="15" fillId="12" borderId="0" xfId="0" applyFont="1" applyFill="1" applyAlignment="1">
      <alignment horizontal="center"/>
    </xf>
    <xf numFmtId="0" fontId="14" fillId="0" borderId="0" xfId="0" applyFont="1" applyAlignment="1">
      <alignment horizontal="center"/>
    </xf>
    <xf numFmtId="165" fontId="14" fillId="0" borderId="0" xfId="0" applyNumberFormat="1" applyFont="1" applyAlignment="1">
      <alignment horizontal="center"/>
    </xf>
    <xf numFmtId="49" fontId="14" fillId="0" borderId="0" xfId="0" applyNumberFormat="1" applyFont="1"/>
    <xf numFmtId="49" fontId="9" fillId="0" borderId="0" xfId="0" applyNumberFormat="1" applyFont="1" applyAlignment="1">
      <alignment horizontal="center" vertical="center"/>
    </xf>
    <xf numFmtId="49" fontId="9" fillId="7" borderId="0" xfId="0" applyNumberFormat="1" applyFont="1" applyFill="1" applyAlignment="1">
      <alignment horizontal="center"/>
    </xf>
    <xf numFmtId="0" fontId="14" fillId="9" borderId="0" xfId="0" applyFont="1" applyFill="1" applyAlignment="1">
      <alignment horizontal="center"/>
    </xf>
    <xf numFmtId="167" fontId="22" fillId="9" borderId="0" xfId="0" applyNumberFormat="1" applyFont="1" applyFill="1"/>
    <xf numFmtId="0" fontId="22" fillId="9" borderId="0" xfId="0" applyFont="1" applyFill="1" applyAlignment="1">
      <alignment horizontal="center"/>
    </xf>
    <xf numFmtId="0" fontId="23" fillId="9" borderId="0" xfId="0" applyFont="1" applyFill="1"/>
    <xf numFmtId="0" fontId="24" fillId="9" borderId="0" xfId="0" applyFont="1" applyFill="1"/>
    <xf numFmtId="0" fontId="16" fillId="9" borderId="6" xfId="0" applyFont="1" applyFill="1" applyBorder="1"/>
    <xf numFmtId="0" fontId="14" fillId="9" borderId="6" xfId="0" applyFont="1" applyFill="1" applyBorder="1"/>
    <xf numFmtId="0" fontId="21" fillId="14" borderId="0" xfId="0" applyFont="1" applyFill="1" applyAlignment="1">
      <alignment horizontal="center"/>
    </xf>
    <xf numFmtId="0" fontId="15" fillId="14" borderId="0" xfId="0" applyFont="1" applyFill="1"/>
    <xf numFmtId="0" fontId="15" fillId="14" borderId="0" xfId="0" applyFont="1" applyFill="1" applyAlignment="1">
      <alignment horizontal="center"/>
    </xf>
    <xf numFmtId="167" fontId="22" fillId="24" borderId="0" xfId="0" applyNumberFormat="1" applyFont="1" applyFill="1"/>
    <xf numFmtId="0" fontId="22" fillId="24" borderId="0" xfId="0" applyFont="1" applyFill="1" applyAlignment="1">
      <alignment horizontal="center"/>
    </xf>
    <xf numFmtId="0" fontId="14" fillId="24" borderId="0" xfId="0" applyFont="1" applyFill="1"/>
    <xf numFmtId="0" fontId="14" fillId="24" borderId="0" xfId="0" applyFont="1" applyFill="1" applyAlignment="1">
      <alignment horizontal="center"/>
    </xf>
    <xf numFmtId="0" fontId="28" fillId="18" borderId="5" xfId="0" applyFont="1" applyFill="1" applyBorder="1" applyAlignment="1">
      <alignment horizontal="center"/>
    </xf>
    <xf numFmtId="0" fontId="20" fillId="18" borderId="3" xfId="0" applyFont="1" applyFill="1" applyBorder="1" applyAlignment="1">
      <alignment horizontal="center"/>
    </xf>
    <xf numFmtId="0" fontId="26" fillId="19" borderId="7" xfId="0" applyFont="1" applyFill="1" applyBorder="1" applyAlignment="1">
      <alignment horizontal="center"/>
    </xf>
    <xf numFmtId="0" fontId="28" fillId="19" borderId="5" xfId="0" applyFont="1" applyFill="1" applyBorder="1" applyAlignment="1">
      <alignment horizontal="center"/>
    </xf>
    <xf numFmtId="0" fontId="20" fillId="19" borderId="3" xfId="0" applyFont="1" applyFill="1" applyBorder="1" applyAlignment="1">
      <alignment horizontal="center"/>
    </xf>
    <xf numFmtId="0" fontId="19" fillId="16" borderId="7" xfId="0" applyFont="1" applyFill="1" applyBorder="1" applyAlignment="1">
      <alignment horizontal="center"/>
    </xf>
    <xf numFmtId="0" fontId="28" fillId="16" borderId="8" xfId="0" applyFont="1" applyFill="1" applyBorder="1" applyAlignment="1">
      <alignment horizontal="center"/>
    </xf>
    <xf numFmtId="0" fontId="20" fillId="16" borderId="2" xfId="0" applyFont="1" applyFill="1" applyBorder="1" applyAlignment="1">
      <alignment horizontal="center"/>
    </xf>
    <xf numFmtId="0" fontId="28" fillId="16" borderId="5" xfId="0" applyFont="1" applyFill="1" applyBorder="1" applyAlignment="1">
      <alignment horizontal="center"/>
    </xf>
    <xf numFmtId="0" fontId="20" fillId="16" borderId="3" xfId="0" applyFont="1" applyFill="1" applyBorder="1" applyAlignment="1">
      <alignment horizontal="center"/>
    </xf>
    <xf numFmtId="0" fontId="28" fillId="15" borderId="5" xfId="0" applyFont="1" applyFill="1" applyBorder="1" applyAlignment="1">
      <alignment horizontal="center"/>
    </xf>
    <xf numFmtId="0" fontId="20" fillId="15" borderId="3" xfId="0" applyFont="1" applyFill="1" applyBorder="1" applyAlignment="1">
      <alignment horizontal="center"/>
    </xf>
    <xf numFmtId="166" fontId="27" fillId="20" borderId="7" xfId="0" applyNumberFormat="1" applyFont="1" applyFill="1" applyBorder="1" applyAlignment="1">
      <alignment horizontal="center"/>
    </xf>
    <xf numFmtId="0" fontId="29" fillId="21" borderId="7" xfId="0" applyFont="1" applyFill="1" applyBorder="1" applyAlignment="1">
      <alignment horizontal="center"/>
    </xf>
    <xf numFmtId="0" fontId="20" fillId="21" borderId="3" xfId="0" applyFont="1" applyFill="1" applyBorder="1" applyAlignment="1">
      <alignment horizontal="center"/>
    </xf>
    <xf numFmtId="0" fontId="20" fillId="17" borderId="3" xfId="0" applyFont="1" applyFill="1" applyBorder="1" applyAlignment="1">
      <alignment horizontal="center"/>
    </xf>
    <xf numFmtId="0" fontId="30" fillId="22" borderId="7" xfId="0" applyFont="1" applyFill="1" applyBorder="1" applyAlignment="1">
      <alignment horizontal="center"/>
    </xf>
    <xf numFmtId="0" fontId="20" fillId="22" borderId="3" xfId="0" applyFont="1" applyFill="1" applyBorder="1" applyAlignment="1">
      <alignment horizontal="center"/>
    </xf>
    <xf numFmtId="0" fontId="31" fillId="23" borderId="7" xfId="0" applyFont="1" applyFill="1" applyBorder="1" applyAlignment="1">
      <alignment horizontal="center"/>
    </xf>
    <xf numFmtId="0" fontId="28" fillId="23" borderId="4" xfId="0" applyFont="1" applyFill="1" applyBorder="1" applyAlignment="1">
      <alignment horizontal="center"/>
    </xf>
    <xf numFmtId="0" fontId="20" fillId="23" borderId="2" xfId="0" applyFont="1" applyFill="1" applyBorder="1" applyAlignment="1">
      <alignment horizontal="center"/>
    </xf>
    <xf numFmtId="0" fontId="20" fillId="23" borderId="3" xfId="0" applyFont="1" applyFill="1" applyBorder="1" applyAlignment="1">
      <alignment horizontal="center"/>
    </xf>
    <xf numFmtId="0" fontId="28" fillId="20" borderId="5" xfId="0" applyFont="1" applyFill="1" applyBorder="1" applyAlignment="1">
      <alignment horizontal="center"/>
    </xf>
    <xf numFmtId="0" fontId="20" fillId="20" borderId="3" xfId="0" applyFont="1" applyFill="1" applyBorder="1" applyAlignment="1">
      <alignment horizontal="center"/>
    </xf>
    <xf numFmtId="0" fontId="20" fillId="11" borderId="3" xfId="0" applyFont="1" applyFill="1" applyBorder="1" applyAlignment="1">
      <alignment horizontal="center"/>
    </xf>
    <xf numFmtId="0" fontId="17" fillId="16" borderId="8" xfId="0" applyFont="1" applyFill="1" applyBorder="1" applyAlignment="1">
      <alignment horizontal="center"/>
    </xf>
    <xf numFmtId="0" fontId="28" fillId="21" borderId="7" xfId="0" applyFont="1" applyFill="1" applyBorder="1" applyAlignment="1">
      <alignment horizontal="center"/>
    </xf>
    <xf numFmtId="0" fontId="28" fillId="17" borderId="7" xfId="0" applyFont="1" applyFill="1" applyBorder="1" applyAlignment="1">
      <alignment horizontal="center"/>
    </xf>
    <xf numFmtId="0" fontId="28" fillId="22" borderId="7" xfId="0" applyFont="1" applyFill="1" applyBorder="1" applyAlignment="1">
      <alignment horizontal="center"/>
    </xf>
    <xf numFmtId="0" fontId="28" fillId="23" borderId="7" xfId="0" applyFont="1" applyFill="1" applyBorder="1" applyAlignment="1">
      <alignment horizontal="center"/>
    </xf>
    <xf numFmtId="0" fontId="28" fillId="11" borderId="7" xfId="0" applyFont="1" applyFill="1" applyBorder="1" applyAlignment="1">
      <alignment horizontal="center"/>
    </xf>
    <xf numFmtId="0" fontId="25" fillId="15" borderId="7" xfId="0" applyFont="1" applyFill="1" applyBorder="1" applyAlignment="1">
      <alignment horizontal="center"/>
    </xf>
    <xf numFmtId="0" fontId="32" fillId="17" borderId="7" xfId="0" applyFont="1" applyFill="1" applyBorder="1" applyAlignment="1">
      <alignment horizontal="center"/>
    </xf>
    <xf numFmtId="0" fontId="25" fillId="23" borderId="8" xfId="0" applyFont="1" applyFill="1" applyBorder="1" applyAlignment="1">
      <alignment horizontal="center"/>
    </xf>
    <xf numFmtId="0" fontId="15" fillId="10" borderId="9" xfId="0" applyFont="1" applyFill="1" applyBorder="1" applyAlignment="1">
      <alignment horizontal="center"/>
    </xf>
    <xf numFmtId="0" fontId="33" fillId="16" borderId="10" xfId="0" applyFont="1" applyFill="1" applyBorder="1"/>
    <xf numFmtId="164" fontId="33" fillId="16" borderId="11" xfId="0" applyNumberFormat="1" applyFont="1" applyFill="1" applyBorder="1"/>
    <xf numFmtId="0" fontId="1" fillId="16" borderId="10" xfId="1" applyFill="1" applyBorder="1"/>
    <xf numFmtId="0" fontId="15" fillId="10" borderId="12" xfId="0" applyFont="1" applyFill="1" applyBorder="1" applyAlignment="1">
      <alignment horizontal="center"/>
    </xf>
    <xf numFmtId="0" fontId="15" fillId="10" borderId="13" xfId="0" applyFont="1" applyFill="1" applyBorder="1" applyAlignment="1">
      <alignment horizontal="center"/>
    </xf>
    <xf numFmtId="0" fontId="15" fillId="10" borderId="11" xfId="0" applyFont="1" applyFill="1" applyBorder="1" applyAlignment="1">
      <alignment horizontal="center"/>
    </xf>
    <xf numFmtId="11" fontId="14" fillId="0" borderId="0" xfId="0" applyNumberFormat="1" applyFont="1" applyAlignment="1">
      <alignment horizontal="center"/>
    </xf>
    <xf numFmtId="11" fontId="4" fillId="8" borderId="0" xfId="0" applyNumberFormat="1" applyFont="1" applyFill="1"/>
    <xf numFmtId="49" fontId="0" fillId="11" borderId="7" xfId="0" applyNumberFormat="1" applyFill="1" applyBorder="1" applyAlignment="1">
      <alignment horizontal="center"/>
    </xf>
    <xf numFmtId="0" fontId="0" fillId="18" borderId="7" xfId="0" applyFill="1" applyBorder="1" applyAlignment="1">
      <alignment horizontal="center"/>
    </xf>
    <xf numFmtId="0" fontId="11" fillId="0" borderId="0" xfId="0" applyFont="1" applyAlignment="1">
      <alignment horizontal="left"/>
    </xf>
    <xf numFmtId="49" fontId="11" fillId="0" borderId="0" xfId="0" applyNumberFormat="1" applyFont="1" applyAlignment="1">
      <alignment horizontal="left"/>
    </xf>
    <xf numFmtId="0" fontId="11" fillId="0" borderId="0" xfId="1" applyFont="1" applyFill="1" applyAlignment="1">
      <alignment horizontal="left"/>
    </xf>
    <xf numFmtId="11" fontId="4" fillId="0" borderId="0" xfId="0" applyNumberFormat="1" applyFont="1"/>
    <xf numFmtId="164" fontId="4" fillId="0" borderId="0" xfId="0" applyNumberFormat="1" applyFont="1" applyAlignment="1">
      <alignment horizontal="center"/>
    </xf>
    <xf numFmtId="0" fontId="4" fillId="0" borderId="0" xfId="0" quotePrefix="1" applyFont="1"/>
    <xf numFmtId="0" fontId="10" fillId="0" borderId="0" xfId="0" applyFont="1" applyAlignment="1">
      <alignment horizontal="center"/>
    </xf>
    <xf numFmtId="14" fontId="10" fillId="0" borderId="0" xfId="0" applyNumberFormat="1" applyFont="1" applyAlignment="1">
      <alignment horizontal="center"/>
    </xf>
    <xf numFmtId="14" fontId="13" fillId="0" borderId="0" xfId="0" applyNumberFormat="1" applyFont="1" applyAlignment="1">
      <alignment horizontal="center"/>
    </xf>
    <xf numFmtId="14" fontId="10" fillId="0" borderId="0" xfId="0" applyNumberFormat="1" applyFont="1"/>
    <xf numFmtId="14" fontId="13" fillId="0" borderId="0" xfId="0" applyNumberFormat="1" applyFont="1"/>
    <xf numFmtId="0" fontId="13" fillId="0" borderId="0" xfId="0" applyFont="1"/>
    <xf numFmtId="0" fontId="34" fillId="8" borderId="0" xfId="0" applyFont="1" applyFill="1"/>
    <xf numFmtId="0" fontId="18" fillId="13" borderId="0" xfId="0" applyFont="1" applyFill="1" applyAlignment="1">
      <alignment horizontal="center"/>
    </xf>
    <xf numFmtId="0" fontId="14" fillId="13" borderId="0" xfId="0" applyFont="1" applyFill="1"/>
  </cellXfs>
  <cellStyles count="2">
    <cellStyle name="Hyperlink" xfId="1" builtinId="8"/>
    <cellStyle name="Normal" xfId="0" builtinId="0"/>
  </cellStyles>
  <dxfs count="57">
    <dxf>
      <font>
        <color rgb="FF2E7D32"/>
      </font>
      <fill>
        <patternFill patternType="solid">
          <fgColor indexed="64"/>
          <bgColor rgb="FFE8F5E9"/>
        </patternFill>
      </fill>
    </dxf>
    <dxf>
      <font>
        <b/>
        <i val="0"/>
        <color rgb="FFE65100"/>
      </font>
      <fill>
        <patternFill patternType="solid">
          <fgColor indexed="64"/>
          <bgColor rgb="FFFFF3E0"/>
        </patternFill>
      </fill>
    </dxf>
    <dxf>
      <font>
        <b/>
        <i val="0"/>
        <color rgb="FFB71C1C"/>
      </font>
      <fill>
        <patternFill patternType="solid">
          <fgColor indexed="64"/>
          <bgColor rgb="FFFFCDD2"/>
        </patternFill>
      </fill>
    </dxf>
    <dxf>
      <font>
        <b/>
        <i val="0"/>
        <color rgb="FF1B5E20"/>
      </font>
      <fill>
        <patternFill patternType="solid">
          <fgColor indexed="64"/>
          <bgColor rgb="FFA5D6A7"/>
        </patternFill>
      </fill>
    </dxf>
    <dxf>
      <font>
        <color rgb="FF757575"/>
      </font>
      <fill>
        <patternFill patternType="solid">
          <fgColor indexed="64"/>
          <bgColor rgb="FFE0E0E0"/>
        </patternFill>
      </fill>
    </dxf>
    <dxf>
      <font>
        <b/>
        <i val="0"/>
        <color rgb="FF000000"/>
      </font>
      <fill>
        <patternFill patternType="solid">
          <fgColor indexed="64"/>
          <bgColor rgb="FFFFD600"/>
        </patternFill>
      </fill>
    </dxf>
    <dxf>
      <font>
        <b/>
        <i val="0"/>
        <color rgb="FFFFFFFF"/>
      </font>
      <fill>
        <patternFill patternType="solid">
          <fgColor indexed="64"/>
          <bgColor rgb="FFE65100"/>
        </patternFill>
      </fill>
    </dxf>
    <dxf>
      <font>
        <b/>
        <i val="0"/>
        <color rgb="FFFFFFFF"/>
      </font>
      <fill>
        <patternFill patternType="solid">
          <fgColor indexed="64"/>
          <bgColor rgb="FFC62828"/>
        </patternFill>
      </fill>
    </dxf>
    <dxf>
      <fill>
        <patternFill patternType="solid">
          <fgColor indexed="64"/>
          <bgColor rgb="FFFFF3F3"/>
        </patternFill>
      </fill>
    </dxf>
    <dxf>
      <font>
        <color rgb="FF9E9E9E"/>
      </font>
      <fill>
        <patternFill patternType="solid">
          <fgColor indexed="64"/>
          <bgColor rgb="FFE8F5E9"/>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numFmt numFmtId="0" formatCode="General"/>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Nova Cond"/>
        <family val="2"/>
        <scheme val="none"/>
      </font>
      <numFmt numFmtId="30" formatCode="@"/>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9"/>
        <color theme="1"/>
        <name val="Arial Unicode MS"/>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font>
        <b val="0"/>
        <i val="0"/>
        <strike val="0"/>
        <condense val="0"/>
        <extend val="0"/>
        <outline val="0"/>
        <shadow val="0"/>
        <u val="none"/>
        <vertAlign val="baseline"/>
        <sz val="9"/>
        <color theme="1"/>
        <name val="Arial Nova Cond"/>
        <family val="2"/>
        <scheme val="none"/>
      </font>
      <numFmt numFmtId="19" formatCode="m/d/yyyy"/>
      <fill>
        <patternFill patternType="solid">
          <fgColor indexed="64"/>
          <bgColor theme="0" tint="-0.14999847407452621"/>
        </patternFill>
      </fill>
      <alignment horizontal="center" vertical="bottom" textRotation="0" wrapText="0" indent="0" justifyLastLine="0" shrinkToFit="0" readingOrder="0"/>
    </dxf>
    <dxf>
      <border outline="0">
        <top style="thin">
          <color indexed="64"/>
        </top>
      </border>
    </dxf>
    <dxf>
      <font>
        <b val="0"/>
        <i val="0"/>
        <strike val="0"/>
        <condense val="0"/>
        <extend val="0"/>
        <outline val="0"/>
        <shadow val="0"/>
        <u val="none"/>
        <vertAlign val="baseline"/>
        <sz val="9"/>
        <color theme="1"/>
        <name val="Arial Nova Cond"/>
        <family val="2"/>
        <scheme val="none"/>
      </font>
      <fill>
        <patternFill patternType="solid">
          <fgColor indexed="64"/>
          <bgColor theme="0" tint="-0.14999847407452621"/>
        </patternFill>
      </fill>
    </dxf>
    <dxf>
      <border outline="0">
        <bottom style="thin">
          <color indexed="64"/>
        </bottom>
      </border>
    </dxf>
    <dxf>
      <font>
        <b/>
        <i val="0"/>
        <strike val="0"/>
        <condense val="0"/>
        <extend val="0"/>
        <outline val="0"/>
        <shadow val="0"/>
        <u val="none"/>
        <vertAlign val="baseline"/>
        <sz val="9"/>
        <color rgb="FF000000"/>
        <name val="Arial Nova Cond"/>
        <family val="2"/>
        <scheme val="none"/>
      </font>
      <fill>
        <patternFill patternType="solid">
          <fgColor rgb="FF000000"/>
          <bgColor theme="5"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0" formatCode="General"/>
      <alignment horizontal="center"/>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164" formatCode="&quot;$&quot;#,##0.00"/>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numFmt numFmtId="0" formatCode="General"/>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numFmt numFmtId="165" formatCode="mm/dd/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numFmt numFmtId="30" formatCode="@"/>
    </dxf>
    <dxf>
      <font>
        <b val="0"/>
        <i val="0"/>
        <strike val="0"/>
        <condense val="0"/>
        <extend val="0"/>
        <outline val="0"/>
        <shadow val="0"/>
        <u val="none"/>
        <vertAlign val="baseline"/>
        <sz val="11"/>
        <color theme="1"/>
        <name val="Aptos Narrow"/>
        <scheme val="minor"/>
      </font>
    </dxf>
    <dxf>
      <font>
        <b/>
        <i val="0"/>
        <strike val="0"/>
        <condense val="0"/>
        <extend val="0"/>
        <outline val="0"/>
        <shadow val="0"/>
        <u val="none"/>
        <vertAlign val="baseline"/>
        <sz val="11"/>
        <color rgb="FFFFFFFF"/>
        <name val="Aptos Narrow"/>
        <scheme val="minor"/>
      </font>
      <fill>
        <patternFill patternType="solid">
          <fgColor indexed="64"/>
          <bgColor rgb="FF37474F"/>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connections" Target="connection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Campaign Progress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Summary!$K$1</c:f>
              <c:strCache>
                <c:ptCount val="1"/>
              </c:strCache>
            </c:strRef>
          </c:tx>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Summary!$K$2:$K$3</c:f>
            </c:numRef>
          </c:val>
          <c:extLst>
            <c:ext xmlns:c15="http://schemas.microsoft.com/office/drawing/2012/chart" uri="{02D57815-91ED-43cb-92C2-25804820EDAC}">
              <c15:filteredCategoryTitle>
                <c15:cat>
                  <c:multiLvlStrRef>
                    <c:extLst>
                      <c:ext uri="{02D57815-91ED-43cb-92C2-25804820EDAC}">
                        <c15:formulaRef>
                          <c15:sqref>Summary!$J$2:$J$3</c15:sqref>
                        </c15:formulaRef>
                      </c:ext>
                    </c:extLst>
                  </c:multiLvlStrRef>
                </c15:cat>
              </c15:filteredCategoryTitle>
            </c:ext>
            <c:ext xmlns:c16="http://schemas.microsoft.com/office/drawing/2014/chart" uri="{C3380CC4-5D6E-409C-BE32-E72D297353CC}">
              <c16:uniqueId val="{00000000-54E6-8140-9BBB-88C565A7303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Outcomes (Contacts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Summary!$K$11</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Summary!$K$12:$K$17</c:f>
            </c:numRef>
          </c:val>
          <c:extLst>
            <c:ext xmlns:c15="http://schemas.microsoft.com/office/drawing/2012/chart" uri="{02D57815-91ED-43cb-92C2-25804820EDAC}">
              <c15:filteredCategoryTitle>
                <c15:cat>
                  <c:multiLvlStrRef>
                    <c:extLst>
                      <c:ext uri="{02D57815-91ED-43cb-92C2-25804820EDAC}">
                        <c15:formulaRef>
                          <c15:sqref>Summary!$J$12:$J$17</c15:sqref>
                        </c15:formulaRef>
                      </c:ext>
                    </c:extLst>
                  </c:multiLvlStrRef>
                </c15:cat>
              </c15:filteredCategoryTitle>
            </c:ext>
            <c:ext xmlns:c16="http://schemas.microsoft.com/office/drawing/2014/chart" uri="{C3380CC4-5D6E-409C-BE32-E72D297353CC}">
              <c16:uniqueId val="{00000000-D632-B24D-AC95-80E6A2C79CF0}"/>
            </c:ext>
          </c:extLst>
        </c:ser>
        <c:dLbls>
          <c:showLegendKey val="0"/>
          <c:showVal val="0"/>
          <c:showCatName val="0"/>
          <c:showSerName val="0"/>
          <c:showPercent val="0"/>
          <c:showBubbleSize val="0"/>
        </c:dLbls>
        <c:gapWidth val="182"/>
        <c:axId val="806602496"/>
        <c:axId val="806602944"/>
      </c:barChart>
      <c:catAx>
        <c:axId val="806602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602944"/>
        <c:crosses val="autoZero"/>
        <c:auto val="1"/>
        <c:lblAlgn val="ctr"/>
        <c:lblOffset val="100"/>
        <c:noMultiLvlLbl val="0"/>
      </c:catAx>
      <c:valAx>
        <c:axId val="806602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66024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Priority Breakdown — Called vs Remaining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Summary!$K$5</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Summary!$K$6:$K$9</c:f>
            </c:numRef>
          </c:val>
          <c:extLst>
            <c:ext xmlns:c15="http://schemas.microsoft.com/office/drawing/2012/chart" uri="{02D57815-91ED-43cb-92C2-25804820EDAC}">
              <c15:filteredCategoryTitle>
                <c15:cat>
                  <c:multiLvlStrRef>
                    <c:extLst>
                      <c:ext uri="{02D57815-91ED-43cb-92C2-25804820EDAC}">
                        <c15:formulaRef>
                          <c15:sqref>Summary!$J$6:$J$9</c15:sqref>
                        </c15:formulaRef>
                      </c:ext>
                    </c:extLst>
                  </c:multiLvlStrRef>
                </c15:cat>
              </c15:filteredCategoryTitle>
            </c:ext>
            <c:ext xmlns:c16="http://schemas.microsoft.com/office/drawing/2014/chart" uri="{C3380CC4-5D6E-409C-BE32-E72D297353CC}">
              <c16:uniqueId val="{00000000-79AF-E644-9B3F-3F87AB0BA50E}"/>
            </c:ext>
          </c:extLst>
        </c:ser>
        <c:ser>
          <c:idx val="1"/>
          <c:order val="1"/>
          <c:tx>
            <c:strRef>
              <c:f>Summary!$L$5</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Summary!$L$6:$L$9</c:f>
            </c:numRef>
          </c:val>
          <c:extLst>
            <c:ext xmlns:c15="http://schemas.microsoft.com/office/drawing/2012/chart" uri="{02D57815-91ED-43cb-92C2-25804820EDAC}">
              <c15:filteredCategoryTitle>
                <c15:cat>
                  <c:multiLvlStrRef>
                    <c:extLst>
                      <c:ext uri="{02D57815-91ED-43cb-92C2-25804820EDAC}">
                        <c15:formulaRef>
                          <c15:sqref>Summary!$J$6:$J$9</c15:sqref>
                        </c15:formulaRef>
                      </c:ext>
                    </c:extLst>
                  </c:multiLvlStrRef>
                </c15:cat>
              </c15:filteredCategoryTitle>
            </c:ext>
            <c:ext xmlns:c16="http://schemas.microsoft.com/office/drawing/2014/chart" uri="{C3380CC4-5D6E-409C-BE32-E72D297353CC}">
              <c16:uniqueId val="{00000001-79AF-E644-9B3F-3F87AB0BA50E}"/>
            </c:ext>
          </c:extLst>
        </c:ser>
        <c:dLbls>
          <c:showLegendKey val="0"/>
          <c:showVal val="0"/>
          <c:showCatName val="0"/>
          <c:showSerName val="0"/>
          <c:showPercent val="0"/>
          <c:showBubbleSize val="0"/>
        </c:dLbls>
        <c:gapWidth val="150"/>
        <c:overlap val="100"/>
        <c:axId val="757948736"/>
        <c:axId val="757950976"/>
      </c:barChart>
      <c:catAx>
        <c:axId val="7579487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950976"/>
        <c:crosses val="autoZero"/>
        <c:auto val="1"/>
        <c:lblAlgn val="ctr"/>
        <c:lblOffset val="100"/>
        <c:noMultiLvlLbl val="0"/>
      </c:catAx>
      <c:valAx>
        <c:axId val="757950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7948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Weekly Call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Summary!$K$19</c:f>
              <c:strCache>
                <c:ptCount val="1"/>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Summary!$K$20:$K$31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0-F40E-3849-85EF-66DBF6B8D834}"/>
            </c:ext>
          </c:extLst>
        </c:ser>
        <c:ser>
          <c:idx val="1"/>
          <c:order val="1"/>
          <c:tx>
            <c:strRef>
              <c:f>Summary!$L$19</c:f>
              <c:strCache>
                <c:ptCount val="1"/>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Summary!$L$20:$L$31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1-F40E-3849-85EF-66DBF6B8D834}"/>
            </c:ext>
          </c:extLst>
        </c:ser>
        <c:ser>
          <c:idx val="2"/>
          <c:order val="2"/>
          <c:tx>
            <c:strRef>
              <c:f>Summary!$M$19</c:f>
              <c:strCache>
                <c:ptCount val="1"/>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Summary!$M$20:$M$31</c:f>
            </c:numRef>
          </c:val>
          <c:smooth val="0"/>
          <c:extLst>
            <c:ext xmlns:c15="http://schemas.microsoft.com/office/drawing/2012/chart" uri="{02D57815-91ED-43cb-92C2-25804820EDAC}">
              <c15:filteredCategoryTitle>
                <c15:cat>
                  <c:multiLvlStrRef>
                    <c:extLst>
                      <c:ext uri="{02D57815-91ED-43cb-92C2-25804820EDAC}">
                        <c15:formulaRef>
                          <c15:sqref>Summary!$J$20:$J$31</c15:sqref>
                        </c15:formulaRef>
                      </c:ext>
                    </c:extLst>
                  </c:multiLvlStrRef>
                </c15:cat>
              </c15:filteredCategoryTitle>
            </c:ext>
            <c:ext xmlns:c16="http://schemas.microsoft.com/office/drawing/2014/chart" uri="{C3380CC4-5D6E-409C-BE32-E72D297353CC}">
              <c16:uniqueId val="{00000002-F40E-3849-85EF-66DBF6B8D834}"/>
            </c:ext>
          </c:extLst>
        </c:ser>
        <c:dLbls>
          <c:showLegendKey val="0"/>
          <c:showVal val="0"/>
          <c:showCatName val="0"/>
          <c:showSerName val="0"/>
          <c:showPercent val="0"/>
          <c:showBubbleSize val="0"/>
        </c:dLbls>
        <c:marker val="1"/>
        <c:smooth val="0"/>
        <c:axId val="812388736"/>
        <c:axId val="812386048"/>
      </c:lineChart>
      <c:catAx>
        <c:axId val="812388736"/>
        <c:scaling>
          <c:orientation val="minMax"/>
        </c:scaling>
        <c:delete val="0"/>
        <c:axPos val="b"/>
        <c:numFmt formatCode="mm/dd"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386048"/>
        <c:crosses val="autoZero"/>
        <c:auto val="1"/>
        <c:lblAlgn val="ctr"/>
        <c:lblOffset val="100"/>
        <c:noMultiLvlLbl val="0"/>
      </c:catAx>
      <c:valAx>
        <c:axId val="812386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12388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 Outcomes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Summary!$G$31</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79-4384-AD12-5156EF533B2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79-4384-AD12-5156EF533B2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79-4384-AD12-5156EF533B2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E79-4384-AD12-5156EF533B2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E79-4384-AD12-5156EF533B2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E79-4384-AD12-5156EF533B2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E79-4384-AD12-5156EF533B2A}"/>
              </c:ext>
            </c:extLst>
          </c:dPt>
          <c:cat>
            <c:strRef>
              <c:f>Summary!$F$32:$F$38</c:f>
              <c:strCache>
                <c:ptCount val="7"/>
                <c:pt idx="0">
                  <c:v>General Education</c:v>
                </c:pt>
                <c:pt idx="1">
                  <c:v>Rate Change</c:v>
                </c:pt>
                <c:pt idx="2">
                  <c:v>Updated/New PA</c:v>
                </c:pt>
                <c:pt idx="3">
                  <c:v>Utility Assistance</c:v>
                </c:pt>
                <c:pt idx="4">
                  <c:v>E3/E4</c:v>
                </c:pt>
                <c:pt idx="5">
                  <c:v>Other</c:v>
                </c:pt>
                <c:pt idx="6">
                  <c:v>VM - No Answer</c:v>
                </c:pt>
              </c:strCache>
            </c:strRef>
          </c:cat>
          <c:val>
            <c:numRef>
              <c:f>Summary!$G$32:$G$38</c:f>
              <c:numCache>
                <c:formatCode>General</c:formatCode>
                <c:ptCount val="7"/>
                <c:pt idx="0">
                  <c:v>75</c:v>
                </c:pt>
                <c:pt idx="1">
                  <c:v>10</c:v>
                </c:pt>
                <c:pt idx="2">
                  <c:v>1</c:v>
                </c:pt>
                <c:pt idx="3">
                  <c:v>3</c:v>
                </c:pt>
                <c:pt idx="4">
                  <c:v>7</c:v>
                </c:pt>
                <c:pt idx="5">
                  <c:v>303</c:v>
                </c:pt>
                <c:pt idx="6">
                  <c:v>244</c:v>
                </c:pt>
              </c:numCache>
            </c:numRef>
          </c:val>
          <c:extLst>
            <c:ext xmlns:c16="http://schemas.microsoft.com/office/drawing/2014/chart" uri="{C3380CC4-5D6E-409C-BE32-E72D297353CC}">
              <c16:uniqueId val="{00000000-BBCB-4A55-962B-3B617E308E0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Weekly Call Volume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Summary!$C$14</c:f>
              <c:strCache>
                <c:ptCount val="1"/>
                <c:pt idx="0">
                  <c:v>Total Calls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Summary!$C$15:$C$27</c:f>
              <c:numCache>
                <c:formatCode>General</c:formatCode>
                <c:ptCount val="13"/>
                <c:pt idx="0">
                  <c:v>46</c:v>
                </c:pt>
                <c:pt idx="1">
                  <c:v>26</c:v>
                </c:pt>
                <c:pt idx="2">
                  <c:v>11</c:v>
                </c:pt>
                <c:pt idx="3">
                  <c:v>37</c:v>
                </c:pt>
                <c:pt idx="4">
                  <c:v>20</c:v>
                </c:pt>
                <c:pt idx="5">
                  <c:v>28</c:v>
                </c:pt>
                <c:pt idx="6">
                  <c:v>41</c:v>
                </c:pt>
                <c:pt idx="7">
                  <c:v>38</c:v>
                </c:pt>
                <c:pt idx="8">
                  <c:v>38</c:v>
                </c:pt>
                <c:pt idx="9">
                  <c:v>46</c:v>
                </c:pt>
                <c:pt idx="10">
                  <c:v>42</c:v>
                </c:pt>
                <c:pt idx="11">
                  <c:v>26</c:v>
                </c:pt>
                <c:pt idx="12">
                  <c:v>0</c:v>
                </c:pt>
              </c:numCache>
            </c:numRef>
          </c:val>
          <c:smooth val="0"/>
          <c:extLst>
            <c:ext xmlns:c16="http://schemas.microsoft.com/office/drawing/2014/chart" uri="{C3380CC4-5D6E-409C-BE32-E72D297353CC}">
              <c16:uniqueId val="{00000000-4FB6-4951-BDB7-E3DF15ACAEDF}"/>
            </c:ext>
          </c:extLst>
        </c:ser>
        <c:dLbls>
          <c:showLegendKey val="0"/>
          <c:showVal val="0"/>
          <c:showCatName val="0"/>
          <c:showSerName val="0"/>
          <c:showPercent val="0"/>
          <c:showBubbleSize val="0"/>
        </c:dLbls>
        <c:marker val="1"/>
        <c:smooth val="0"/>
        <c:axId val="1010543616"/>
        <c:axId val="1010534496"/>
      </c:lineChart>
      <c:dateAx>
        <c:axId val="1010543616"/>
        <c:scaling>
          <c:orientation val="minMax"/>
        </c:scaling>
        <c:delete val="0"/>
        <c:axPos val="b"/>
        <c:numFmt formatCode="mm/d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534496"/>
        <c:crosses val="autoZero"/>
        <c:auto val="1"/>
        <c:lblOffset val="100"/>
        <c:baseTimeUnit val="days"/>
      </c:dateAx>
      <c:valAx>
        <c:axId val="1010534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05436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Calls by Associate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3"/>
          <c:order val="0"/>
          <c:tx>
            <c:strRef>
              <c:f>Summary!$F$14</c:f>
              <c:strCache>
                <c:ptCount val="1"/>
                <c:pt idx="0">
                  <c:v>Michelle</c:v>
                </c:pt>
              </c:strCache>
            </c:strRef>
          </c:tx>
          <c:spPr>
            <a:solidFill>
              <a:schemeClr val="accent4"/>
            </a:solidFill>
            <a:ln>
              <a:noFill/>
            </a:ln>
            <a:effectLst/>
          </c:spPr>
          <c:invertIfNegative val="0"/>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Summary!$F$15:$F$27</c:f>
              <c:numCache>
                <c:formatCode>General</c:formatCode>
                <c:ptCount val="13"/>
                <c:pt idx="0">
                  <c:v>15</c:v>
                </c:pt>
                <c:pt idx="1">
                  <c:v>0</c:v>
                </c:pt>
                <c:pt idx="2">
                  <c:v>2</c:v>
                </c:pt>
                <c:pt idx="3">
                  <c:v>2</c:v>
                </c:pt>
                <c:pt idx="4">
                  <c:v>4</c:v>
                </c:pt>
                <c:pt idx="5">
                  <c:v>9</c:v>
                </c:pt>
                <c:pt idx="6">
                  <c:v>10</c:v>
                </c:pt>
                <c:pt idx="7">
                  <c:v>10</c:v>
                </c:pt>
                <c:pt idx="8">
                  <c:v>12</c:v>
                </c:pt>
                <c:pt idx="9">
                  <c:v>22</c:v>
                </c:pt>
                <c:pt idx="10">
                  <c:v>16</c:v>
                </c:pt>
                <c:pt idx="11">
                  <c:v>1</c:v>
                </c:pt>
                <c:pt idx="12">
                  <c:v>0</c:v>
                </c:pt>
              </c:numCache>
            </c:numRef>
          </c:val>
          <c:extLst>
            <c:ext xmlns:c16="http://schemas.microsoft.com/office/drawing/2014/chart" uri="{C3380CC4-5D6E-409C-BE32-E72D297353CC}">
              <c16:uniqueId val="{00000003-C299-4CB0-A62C-651F0B8C222E}"/>
            </c:ext>
          </c:extLst>
        </c:ser>
        <c:ser>
          <c:idx val="4"/>
          <c:order val="1"/>
          <c:tx>
            <c:strRef>
              <c:f>Summary!$G$14</c:f>
              <c:strCache>
                <c:ptCount val="1"/>
                <c:pt idx="0">
                  <c:v>Joaquin</c:v>
                </c:pt>
              </c:strCache>
            </c:strRef>
          </c:tx>
          <c:spPr>
            <a:solidFill>
              <a:schemeClr val="accent5"/>
            </a:solidFill>
            <a:ln>
              <a:noFill/>
            </a:ln>
            <a:effectLst/>
          </c:spPr>
          <c:invertIfNegative val="0"/>
          <c:cat>
            <c:numRef>
              <c:f>Summary!$B$15:$B$27</c:f>
              <c:numCache>
                <c:formatCode>mm/dd/yy</c:formatCode>
                <c:ptCount val="13"/>
                <c:pt idx="0">
                  <c:v>45997</c:v>
                </c:pt>
                <c:pt idx="1">
                  <c:v>46011</c:v>
                </c:pt>
                <c:pt idx="2">
                  <c:v>46018</c:v>
                </c:pt>
                <c:pt idx="3">
                  <c:v>46025</c:v>
                </c:pt>
                <c:pt idx="4">
                  <c:v>46032</c:v>
                </c:pt>
                <c:pt idx="5">
                  <c:v>46039</c:v>
                </c:pt>
                <c:pt idx="6">
                  <c:v>46046</c:v>
                </c:pt>
                <c:pt idx="7">
                  <c:v>46053</c:v>
                </c:pt>
                <c:pt idx="8">
                  <c:v>46060</c:v>
                </c:pt>
                <c:pt idx="9">
                  <c:v>46067</c:v>
                </c:pt>
                <c:pt idx="10">
                  <c:v>46074</c:v>
                </c:pt>
                <c:pt idx="11">
                  <c:v>46081</c:v>
                </c:pt>
              </c:numCache>
            </c:numRef>
          </c:cat>
          <c:val>
            <c:numRef>
              <c:f>Summary!$G$15:$G$27</c:f>
              <c:numCache>
                <c:formatCode>General</c:formatCode>
                <c:ptCount val="13"/>
                <c:pt idx="0">
                  <c:v>31</c:v>
                </c:pt>
                <c:pt idx="1">
                  <c:v>26</c:v>
                </c:pt>
                <c:pt idx="2">
                  <c:v>9</c:v>
                </c:pt>
                <c:pt idx="3">
                  <c:v>35</c:v>
                </c:pt>
                <c:pt idx="4">
                  <c:v>16</c:v>
                </c:pt>
                <c:pt idx="5">
                  <c:v>19</c:v>
                </c:pt>
                <c:pt idx="6">
                  <c:v>31</c:v>
                </c:pt>
                <c:pt idx="7">
                  <c:v>28</c:v>
                </c:pt>
                <c:pt idx="8">
                  <c:v>26</c:v>
                </c:pt>
                <c:pt idx="9">
                  <c:v>24</c:v>
                </c:pt>
                <c:pt idx="10">
                  <c:v>26</c:v>
                </c:pt>
                <c:pt idx="11">
                  <c:v>25</c:v>
                </c:pt>
                <c:pt idx="12">
                  <c:v>0</c:v>
                </c:pt>
              </c:numCache>
            </c:numRef>
          </c:val>
          <c:extLst>
            <c:ext xmlns:c16="http://schemas.microsoft.com/office/drawing/2014/chart" uri="{C3380CC4-5D6E-409C-BE32-E72D297353CC}">
              <c16:uniqueId val="{00000004-C299-4CB0-A62C-651F0B8C222E}"/>
            </c:ext>
          </c:extLst>
        </c:ser>
        <c:dLbls>
          <c:showLegendKey val="0"/>
          <c:showVal val="0"/>
          <c:showCatName val="0"/>
          <c:showSerName val="0"/>
          <c:showPercent val="0"/>
          <c:showBubbleSize val="0"/>
        </c:dLbls>
        <c:gapWidth val="150"/>
        <c:overlap val="100"/>
        <c:axId val="950121232"/>
        <c:axId val="950116432"/>
      </c:barChart>
      <c:dateAx>
        <c:axId val="950121232"/>
        <c:scaling>
          <c:orientation val="minMax"/>
        </c:scaling>
        <c:delete val="0"/>
        <c:axPos val="b"/>
        <c:numFmt formatCode="mm/dd/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16432"/>
        <c:crosses val="autoZero"/>
        <c:auto val="1"/>
        <c:lblOffset val="100"/>
        <c:baseTimeUnit val="days"/>
      </c:dateAx>
      <c:valAx>
        <c:axId val="9501164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212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56</xdr:row>
      <xdr:rowOff>0</xdr:rowOff>
    </xdr:from>
    <xdr:to>
      <xdr:col>2</xdr:col>
      <xdr:colOff>254000</xdr:colOff>
      <xdr:row>70</xdr:row>
      <xdr:rowOff>76200</xdr:rowOff>
    </xdr:to>
    <xdr:graphicFrame macro="">
      <xdr:nvGraphicFramePr>
        <xdr:cNvPr id="3" name="Chart 2">
          <a:extLst>
            <a:ext uri="{FF2B5EF4-FFF2-40B4-BE49-F238E27FC236}">
              <a16:creationId xmlns:a16="http://schemas.microsoft.com/office/drawing/2014/main" id="{76671725-C79D-A7B2-1785-9C809173C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74</xdr:row>
      <xdr:rowOff>0</xdr:rowOff>
    </xdr:from>
    <xdr:to>
      <xdr:col>2</xdr:col>
      <xdr:colOff>254000</xdr:colOff>
      <xdr:row>88</xdr:row>
      <xdr:rowOff>76200</xdr:rowOff>
    </xdr:to>
    <xdr:graphicFrame macro="">
      <xdr:nvGraphicFramePr>
        <xdr:cNvPr id="5" name="Chart 4">
          <a:extLst>
            <a:ext uri="{FF2B5EF4-FFF2-40B4-BE49-F238E27FC236}">
              <a16:creationId xmlns:a16="http://schemas.microsoft.com/office/drawing/2014/main" id="{3F08F935-EE0C-C7F9-9C03-B3CE1B0EF8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74</xdr:row>
      <xdr:rowOff>0</xdr:rowOff>
    </xdr:from>
    <xdr:to>
      <xdr:col>8</xdr:col>
      <xdr:colOff>25400</xdr:colOff>
      <xdr:row>88</xdr:row>
      <xdr:rowOff>76200</xdr:rowOff>
    </xdr:to>
    <xdr:graphicFrame macro="">
      <xdr:nvGraphicFramePr>
        <xdr:cNvPr id="6" name="Chart 5">
          <a:extLst>
            <a:ext uri="{FF2B5EF4-FFF2-40B4-BE49-F238E27FC236}">
              <a16:creationId xmlns:a16="http://schemas.microsoft.com/office/drawing/2014/main" id="{C1B6B59D-FB23-20BF-6600-58335B64DA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56</xdr:row>
      <xdr:rowOff>0</xdr:rowOff>
    </xdr:from>
    <xdr:to>
      <xdr:col>8</xdr:col>
      <xdr:colOff>25400</xdr:colOff>
      <xdr:row>70</xdr:row>
      <xdr:rowOff>76200</xdr:rowOff>
    </xdr:to>
    <xdr:graphicFrame macro="">
      <xdr:nvGraphicFramePr>
        <xdr:cNvPr id="7" name="Chart 6">
          <a:extLst>
            <a:ext uri="{FF2B5EF4-FFF2-40B4-BE49-F238E27FC236}">
              <a16:creationId xmlns:a16="http://schemas.microsoft.com/office/drawing/2014/main" id="{7BBF0218-5432-B60F-D175-2F5BC6343A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63500</xdr:colOff>
      <xdr:row>3</xdr:row>
      <xdr:rowOff>6350</xdr:rowOff>
    </xdr:from>
    <xdr:to>
      <xdr:col>15</xdr:col>
      <xdr:colOff>1050925</xdr:colOff>
      <xdr:row>9</xdr:row>
      <xdr:rowOff>460375</xdr:rowOff>
    </xdr:to>
    <xdr:graphicFrame macro="">
      <xdr:nvGraphicFramePr>
        <xdr:cNvPr id="12" name="Chart 1">
          <a:extLst>
            <a:ext uri="{FF2B5EF4-FFF2-40B4-BE49-F238E27FC236}">
              <a16:creationId xmlns:a16="http://schemas.microsoft.com/office/drawing/2014/main" id="{54A7BD26-4877-9A6F-B06D-DCA0472AB5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63500</xdr:colOff>
      <xdr:row>11</xdr:row>
      <xdr:rowOff>38100</xdr:rowOff>
    </xdr:from>
    <xdr:to>
      <xdr:col>15</xdr:col>
      <xdr:colOff>1050925</xdr:colOff>
      <xdr:row>25</xdr:row>
      <xdr:rowOff>25400</xdr:rowOff>
    </xdr:to>
    <xdr:graphicFrame macro="">
      <xdr:nvGraphicFramePr>
        <xdr:cNvPr id="16" name="Chart 3">
          <a:extLst>
            <a:ext uri="{FF2B5EF4-FFF2-40B4-BE49-F238E27FC236}">
              <a16:creationId xmlns:a16="http://schemas.microsoft.com/office/drawing/2014/main" id="{4F396A60-797F-167E-D972-2BE3FCD0E2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63500</xdr:colOff>
      <xdr:row>26</xdr:row>
      <xdr:rowOff>88900</xdr:rowOff>
    </xdr:from>
    <xdr:to>
      <xdr:col>15</xdr:col>
      <xdr:colOff>1050925</xdr:colOff>
      <xdr:row>40</xdr:row>
      <xdr:rowOff>47625</xdr:rowOff>
    </xdr:to>
    <xdr:graphicFrame macro="">
      <xdr:nvGraphicFramePr>
        <xdr:cNvPr id="20" name="Chart 7">
          <a:extLst>
            <a:ext uri="{FF2B5EF4-FFF2-40B4-BE49-F238E27FC236}">
              <a16:creationId xmlns:a16="http://schemas.microsoft.com/office/drawing/2014/main" id="{48E2A2E8-E428-141C-2BFE-5B9431AF98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370AA4-B24F-4C17-A956-79824B9DE7E1}" name="tblCallTracker" displayName="tblCallTracker" ref="A1:S1101" totalsRowShown="0" headerRowDxfId="56" dataDxfId="55">
  <autoFilter ref="A1:S1101" xr:uid="{C0370AA4-B24F-4C17-A956-79824B9DE7E1}">
    <filterColumn colId="17">
      <filters>
        <filter val="Yes"/>
      </filters>
    </filterColumn>
  </autoFilter>
  <tableColumns count="19">
    <tableColumn id="1" xr3:uid="{00AC7C7D-1530-46B9-8E5C-5F6F3E29A723}" name="AccountNumber" dataDxfId="54"/>
    <tableColumn id="2" xr3:uid="{D41E057F-3BC9-4522-A25B-A4A3AC52F35E}" name="Associate" dataDxfId="53"/>
    <tableColumn id="3" xr3:uid="{BD4339E5-2668-4DCE-A493-35A715E6CCE8}" name="DateCalled" dataDxfId="52"/>
    <tableColumn id="4" xr3:uid="{77699A6D-03CE-4320-BEF6-DF560306BAC6}" name="VM" dataDxfId="51"/>
    <tableColumn id="5" xr3:uid="{8368496B-7983-4973-9174-5C55497F8E43}" name="Outcome" dataDxfId="50"/>
    <tableColumn id="6" xr3:uid="{B5AA9271-CA83-4786-BF07-320F3C121B6E}" name="Notes" dataDxfId="49"/>
    <tableColumn id="7" xr3:uid="{97F10169-811D-481F-9A2A-FFF7DD3129C0}" name="Priority" dataDxfId="48"/>
    <tableColumn id="8" xr3:uid="{A2D3D94B-F0FE-440C-ADB8-0DD495FAF584}" name="CustomerName" dataDxfId="47"/>
    <tableColumn id="9" xr3:uid="{A364EA9A-03B0-4F79-A22E-0C4290FBA7DC}" name="City" dataDxfId="46"/>
    <tableColumn id="10" xr3:uid="{DC8B0B55-26AF-43C3-8E6B-BD93D6AD2008}" name="RatePlan" dataDxfId="45"/>
    <tableColumn id="11" xr3:uid="{B8CA624F-6E5D-4406-8EFF-6C9E384177CD}" name="MEPStatus" dataDxfId="44"/>
    <tableColumn id="12" xr3:uid="{C5CE013B-838A-4332-9903-4FEE636CC29D}" name="Issue" dataDxfId="43"/>
    <tableColumn id="13" xr3:uid="{84101A34-32AA-44D4-A816-AC70BE9C8ED0}" name="Docket Link" dataDxfId="42">
      <calculatedColumnFormula>IFERROR(INDEX('Docketed Comments'!G:G,MATCH(A2,'Docketed Comments'!H:H,0)),"")</calculatedColumnFormula>
    </tableColumn>
    <tableColumn id="14" xr3:uid="{7BAB1D63-F48E-4460-8C54-981C6EFD6AB8}" name="Payoff Balance" dataDxfId="41">
      <calculatedColumnFormula>IFERROR(INDEX('Docketed Comments'!N:N,MATCH(A2,'Docketed Comments'!H:H,0)),"")</calculatedColumnFormula>
    </tableColumn>
    <tableColumn id="15" xr3:uid="{C09CD8A4-C899-46B9-A23A-8FBD7D5C66BE}" name="MEP" dataDxfId="40">
      <calculatedColumnFormula>IFERROR(INDEX('Docketed Comments'!L:L,MATCH(A2,'Docketed Comments'!H:H,0)),"")</calculatedColumnFormula>
    </tableColumn>
    <tableColumn id="16" xr3:uid="{68B9668E-AA0A-4DF7-85CE-202819178348}" name="MEP Savings" dataDxfId="39">
      <calculatedColumnFormula>IFERROR(IF(ISNUMBER(SEARCH("$",O2)),VALUE(SUBSTITUTE(SUBSTITUTE(MID(O2,FIND("$",O2)+1,FIND(")",O2)-FIND("$",O2)-1),",","")," ","")),VALUE(SUBSTITUTE(SUBSTITUTE(MID(O2,FIND("(",O2)+1,FIND(")",O2)-FIND("(",O2)-1),",","")," ",""))),0)</calculatedColumnFormula>
    </tableColumn>
    <tableColumn id="17" xr3:uid="{0D76ED6B-BDF8-4B9E-9034-87A2B6ED766A}" name="Status" dataDxfId="38"/>
    <tableColumn id="18" xr3:uid="{A40D210B-6161-4002-BA1A-55A4FB585A52}" name="Include_Row" dataDxfId="37"/>
    <tableColumn id="19" xr3:uid="{DE255056-587B-4CC7-B822-C0DBB1F1D6F0}" name="__PowerAppsId__"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3ECC22-5000-4B81-8AD9-7A0546146C56}" name="tblDocketedComments" displayName="tblDocketedComments" ref="A1:W1949" totalsRowShown="0" headerRowDxfId="35" dataDxfId="33" headerRowBorderDxfId="34" tableBorderDxfId="32">
  <autoFilter ref="A1:W1949" xr:uid="{553ECC22-5000-4B81-8AD9-7A0546146C56}">
    <filterColumn colId="1">
      <filters>
        <filter val="Hall"/>
      </filters>
    </filterColumn>
    <filterColumn colId="7">
      <customFilters>
        <customFilter operator="notEqual" val="*unable*"/>
      </customFilters>
    </filterColumn>
    <filterColumn colId="17">
      <filters blank="1"/>
    </filterColumn>
    <filterColumn colId="18">
      <filters blank="1"/>
    </filterColumn>
  </autoFilter>
  <tableColumns count="23">
    <tableColumn id="1" xr3:uid="{E4B9745C-4273-40E7-883A-9E596B402E74}" name="Date" dataDxfId="31"/>
    <tableColumn id="2" xr3:uid="{E95AB26C-A20E-401E-A50D-AD28831FDD6D}" name="Last Name" dataDxfId="30"/>
    <tableColumn id="3" xr3:uid="{2B0DC8A7-3C6B-4704-AA1A-FCEC82A05F6F}" name="First Name" dataDxfId="29"/>
    <tableColumn id="4" xr3:uid="{0AED137A-FEAB-44FF-BBB5-75C656A0C58C}" name="City" dataDxfId="28"/>
    <tableColumn id="5" xr3:uid="{0A255EA7-2F02-4036-AC79-92147DF412A5}" name="Zip code" dataDxfId="27"/>
    <tableColumn id="6" xr3:uid="{4465E407-E612-468D-8A5D-45EF1D685B0B}" name="Issue_Complaint" dataDxfId="26"/>
    <tableColumn id="7" xr3:uid="{86785CEF-DACE-4E84-A553-3F625DDFBA88}" name="Docketed Consumer Comments" dataDxfId="25"/>
    <tableColumn id="8" xr3:uid="{29884FE9-C9D9-4AC9-B77C-F6155ED83DD4}" name="AccountNumber" dataDxfId="24"/>
    <tableColumn id="9" xr3:uid="{16DD30F1-9DD7-4A34-890F-E6A7FC8A7F55}" name="Rate Plan" dataDxfId="23"/>
    <tableColumn id="10" xr3:uid="{9F98B7C2-6EE6-409C-9460-281763628DEF}" name="E3" dataDxfId="22"/>
    <tableColumn id="11" xr3:uid="{031E5A87-2562-4F54-ADE8-1A4092C917FC}" name="MCP" dataDxfId="21"/>
    <tableColumn id="12" xr3:uid="{ECCB4753-5728-401B-98F5-1420A59F31D9}" name="Cust on MEP" dataDxfId="20"/>
    <tableColumn id="13" xr3:uid="{B1D89EB0-3E86-4B21-9834-AF8EAD79EE6A}" name="PA" dataDxfId="19"/>
    <tableColumn id="14" xr3:uid="{844D0CEE-5708-4EDA-A10B-4A2306C6C9EB}" name="Payoff Balance" dataDxfId="18"/>
    <tableColumn id="15" xr3:uid="{24AB0749-49BF-4674-BB3F-C69CE98CB21F}" name="Team Reviewed" dataDxfId="17"/>
    <tableColumn id="16" xr3:uid="{30C7FE8B-5DF2-446D-8637-7F09233A8345}" name="ResponseDate" dataDxfId="16"/>
    <tableColumn id="17" xr3:uid="{743F67D8-60FF-43A2-948E-DFA227732B8C}" name="Last date of Account review"/>
    <tableColumn id="18" xr3:uid="{DF85349F-1019-4882-B27E-89BC23EE4E80}" name="Notes" dataDxfId="15"/>
    <tableColumn id="19" xr3:uid="{8B1B90E2-EBC0-428E-8638-AF63AB1E69CA}" name="ACC Inquiry Sent to CA" dataDxfId="14"/>
    <tableColumn id="20" xr3:uid="{939C72A8-2207-43B3-8551-3EA069B26C66}" name="APS CA Referral" dataDxfId="13"/>
    <tableColumn id="21" xr3:uid="{B60A159D-8C37-4918-BC1D-247DC8A23F6E}" name="Comments" dataDxfId="12"/>
    <tableColumn id="22" xr3:uid="{B5C9691D-F0C1-4D7C-8CB5-08C931FABBFC}" name="Include_Row" dataDxfId="11">
      <calculatedColumnFormula>IF(
  OR(
    ISNUMBER(SEARCH("unable to locate acct", tblDocketedComments[[#This Row],[Docketed Consumer Comments]])),
    ISNUMBER(SEARCH("unknown", tblDocketedComments[[#This Row],[Docketed Consumer Comments]])),
    ISNUMBER(SEARCH("inactive", tblDocketedComments[[#This Row],[Docketed Consumer Comments]]))
  ),
  0,
  1
)</calculatedColumnFormula>
    </tableColumn>
    <tableColumn id="23" xr3:uid="{2653B50D-D14A-4ACA-97BE-C79B590AC7B2}" name="__PowerAppsId__"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2CB5FD8-5E92-1F47-B6AD-7170CE57051A}">
  <we:reference id="wa200009404" version="1.0.0.8" store="en-US" storeType="OMEX"/>
  <we:alternateReferences>
    <we:reference id="WA200009404" version="1.0.0.8" store=""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hyperlink" Target="https://docket.images.azcc.gov/000021571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3E2925-20AA-1245-9B79-8C0006DDEFA4}">
  <dimension ref="A1:S1301"/>
  <sheetViews>
    <sheetView workbookViewId="0">
      <selection activeCell="R2" sqref="R2"/>
    </sheetView>
  </sheetViews>
  <sheetFormatPr defaultColWidth="11.42578125" defaultRowHeight="15" outlineLevelCol="1"/>
  <cols>
    <col min="1" max="1" width="22.85546875" customWidth="1"/>
    <col min="2" max="2" width="16.140625" customWidth="1"/>
    <col min="3" max="3" width="17.140625" customWidth="1"/>
    <col min="4" max="4" width="10.42578125" customWidth="1"/>
    <col min="5" max="5" width="21" customWidth="1"/>
    <col min="6" max="6" width="38.140625" customWidth="1"/>
    <col min="7" max="7" width="12.42578125" customWidth="1"/>
    <col min="8" max="8" width="30.42578125" customWidth="1"/>
    <col min="9" max="9" width="19" customWidth="1"/>
    <col min="10" max="10" width="21" customWidth="1"/>
    <col min="11" max="11" width="24.7109375" customWidth="1"/>
    <col min="12" max="12" width="57.140625" customWidth="1"/>
    <col min="13" max="13" width="34.28515625" customWidth="1"/>
    <col min="14" max="14" width="21" customWidth="1"/>
    <col min="15" max="15" width="33.28515625" customWidth="1"/>
    <col min="16" max="16" width="22.85546875" customWidth="1" outlineLevel="1"/>
  </cols>
  <sheetData>
    <row r="1" spans="1:19" ht="30" customHeight="1">
      <c r="A1" s="63" t="s">
        <v>0</v>
      </c>
      <c r="B1" s="63" t="s">
        <v>1</v>
      </c>
      <c r="C1" s="63" t="s">
        <v>2</v>
      </c>
      <c r="D1" s="63" t="s">
        <v>3</v>
      </c>
      <c r="E1" s="63" t="s">
        <v>4</v>
      </c>
      <c r="F1" s="63" t="s">
        <v>5</v>
      </c>
      <c r="G1" s="62" t="s">
        <v>6</v>
      </c>
      <c r="H1" s="62" t="s">
        <v>7</v>
      </c>
      <c r="I1" s="62" t="s">
        <v>8</v>
      </c>
      <c r="J1" s="62" t="s">
        <v>9</v>
      </c>
      <c r="K1" s="62" t="s">
        <v>10</v>
      </c>
      <c r="L1" s="62" t="s">
        <v>11</v>
      </c>
      <c r="M1" s="117" t="s">
        <v>12</v>
      </c>
      <c r="N1" s="117" t="s">
        <v>13</v>
      </c>
      <c r="O1" s="117" t="s">
        <v>14</v>
      </c>
      <c r="P1" s="121" t="s">
        <v>15</v>
      </c>
      <c r="Q1" s="122" t="s">
        <v>16</v>
      </c>
      <c r="R1" s="123" t="s">
        <v>17</v>
      </c>
      <c r="S1" s="62" t="s">
        <v>18</v>
      </c>
    </row>
    <row r="2" spans="1:19" ht="21.95" hidden="1" customHeight="1">
      <c r="A2" s="66" t="s">
        <v>19</v>
      </c>
      <c r="B2" s="64" t="s">
        <v>20</v>
      </c>
      <c r="C2" s="65">
        <v>46025</v>
      </c>
      <c r="D2" s="64" t="s">
        <v>21</v>
      </c>
      <c r="E2" s="64" t="s">
        <v>22</v>
      </c>
      <c r="F2" s="60"/>
      <c r="G2" s="60"/>
      <c r="H2" s="60" t="str">
        <f>IFERROR(INDEX('Docketed Comments'!C:C,MATCH(A2,'Docketed Comments'!H:H,0))&amp;", "&amp;INDEX('Docketed Comments'!B:B,MATCH(A2,'Docketed Comments'!H:H,0)),"")</f>
        <v>Lise, Coudriet</v>
      </c>
      <c r="I2" s="60" t="str">
        <f>IFERROR(INDEX('Docketed Comments'!D:D,MATCH(A2,'Docketed Comments'!H:H,0)),"")</f>
        <v>Goodyear</v>
      </c>
      <c r="J2" s="60" t="str">
        <f>IFERROR(INDEX('Docketed Comments'!I:I,MATCH(A2,'Docketed Comments'!H:H,0)),"")</f>
        <v>R-BASICL</v>
      </c>
      <c r="K2" s="60" t="str">
        <f>IFERROR(IF(OR(LEFT(O2,2)="No",LEFT(O2,3)="Not"),"❌ Not on Best Plan",IF(OR(O2="Yes",O2="Y",O2="Yes "),"✅ On Best Plan","⚠ "&amp;O2)),"")</f>
        <v>❌ Not on Best Plan</v>
      </c>
      <c r="L2" s="60" t="str">
        <f>IFERROR(INDEX('Docketed Comments'!F:F,MATCH(A2,'Docketed Comments'!H:H,0)),"")</f>
        <v xml:space="preserve">Will cause hardships </v>
      </c>
      <c r="M2" s="120" t="str">
        <f>IFERROR(INDEX('Docketed Comments'!G:G,MATCH(A2,'Docketed Comments'!H:H,0)),"")</f>
        <v>https://images.edocket.azcc.gov/docketpdf/E000046190.pdf</v>
      </c>
      <c r="N2" s="118">
        <f>IFERROR(INDEX('Docketed Comments'!N:N,MATCH(A2,'Docketed Comments'!H:H,0)),"")</f>
        <v>3681.83</v>
      </c>
      <c r="O2" s="118" t="str">
        <f>IFERROR(INDEX('Docketed Comments'!L:L,MATCH(A2,'Docketed Comments'!H:H,0)),"")</f>
        <v>No MEP R3-47(755.73)</v>
      </c>
      <c r="P2" s="119">
        <f t="shared" ref="P2:P65" si="0">IFERROR(IF(ISNUMBER(SEARCH("$",O2)),VALUE(SUBSTITUTE(SUBSTITUTE(MID(O2,FIND("$",O2)+1,FIND(")",O2)-FIND("$",O2)-1),",","")," ","")),VALUE(SUBSTITUTE(SUBSTITUTE(MID(O2,FIND("(",O2)+1,FIND(")",O2)-FIND("(",O2)-1),",","")," ",""))),0)</f>
        <v>755.73</v>
      </c>
      <c r="Q2" s="60" t="s">
        <v>23</v>
      </c>
      <c r="R2" s="64" t="s">
        <v>24</v>
      </c>
      <c r="S2" s="64" t="s">
        <v>25</v>
      </c>
    </row>
    <row r="3" spans="1:19" ht="21.95" hidden="1" customHeight="1">
      <c r="A3" s="66" t="s">
        <v>26</v>
      </c>
      <c r="B3" s="64" t="s">
        <v>20</v>
      </c>
      <c r="C3" s="65">
        <v>46046</v>
      </c>
      <c r="D3" s="64" t="s">
        <v>27</v>
      </c>
      <c r="E3" s="64" t="s">
        <v>28</v>
      </c>
      <c r="F3" s="60"/>
      <c r="G3" s="60"/>
      <c r="H3" s="60" t="str">
        <f>IFERROR(INDEX('Docketed Comments'!C:C,MATCH(A3,'Docketed Comments'!H:H,0))&amp;", "&amp;INDEX('Docketed Comments'!B:B,MATCH(A3,'Docketed Comments'!H:H,0)),"")</f>
        <v>Shannon, Price</v>
      </c>
      <c r="I3" s="60" t="str">
        <f>IFERROR(INDEX('Docketed Comments'!D:D,MATCH(A3,'Docketed Comments'!H:H,0)),"")</f>
        <v>Phoenix</v>
      </c>
      <c r="J3" s="60" t="str">
        <f>IFERROR(INDEX('Docketed Comments'!I:I,MATCH(A3,'Docketed Comments'!H:H,0)),"")</f>
        <v>R3-47</v>
      </c>
      <c r="K3" s="60" t="str">
        <f t="shared" ref="K3:K66" si="1">IFERROR(IF(OR(LEFT(O3,2)="No",LEFT(O3,3)="Not"),"❌ Not on Best Plan",IF(OR(O3="Yes",O3="Y",O3="Yes "),"✅ On Best Plan","⚠ "&amp;O3)),"")</f>
        <v>❌ Not on Best Plan</v>
      </c>
      <c r="L3" s="60" t="str">
        <f>IFERROR(INDEX('Docketed Comments'!F:F,MATCH(A3,'Docketed Comments'!H:H,0)),"")</f>
        <v>Form letter</v>
      </c>
      <c r="M3" s="120" t="str">
        <f>IFERROR(INDEX('Docketed Comments'!G:G,MATCH(A3,'Docketed Comments'!H:H,0)),"")</f>
        <v>https://images.edocket.azcc.gov/docketpdf/E000046230.pdf</v>
      </c>
      <c r="N3" s="118">
        <f>IFERROR(INDEX('Docketed Comments'!N:N,MATCH(A3,'Docketed Comments'!H:H,0)),"")</f>
        <v>487.48</v>
      </c>
      <c r="O3" s="118" t="str">
        <f>IFERROR(INDEX('Docketed Comments'!L:L,MATCH(A3,'Docketed Comments'!H:H,0)),"")</f>
        <v>No MEP R-BASIC(31.45)</v>
      </c>
      <c r="P3" s="119">
        <f t="shared" si="0"/>
        <v>31.45</v>
      </c>
      <c r="Q3" s="60" t="s">
        <v>23</v>
      </c>
      <c r="R3" s="64" t="s">
        <v>24</v>
      </c>
      <c r="S3" s="64" t="s">
        <v>29</v>
      </c>
    </row>
    <row r="4" spans="1:19" ht="21.95" hidden="1" customHeight="1">
      <c r="A4" s="66" t="s">
        <v>30</v>
      </c>
      <c r="B4" s="64" t="s">
        <v>31</v>
      </c>
      <c r="C4" s="65">
        <v>46046</v>
      </c>
      <c r="D4" s="64" t="s">
        <v>21</v>
      </c>
      <c r="E4" s="64" t="s">
        <v>22</v>
      </c>
      <c r="F4" s="60" t="s">
        <v>32</v>
      </c>
      <c r="G4" s="60"/>
      <c r="H4" s="60" t="str">
        <f>IFERROR(INDEX('Docketed Comments'!C:C,MATCH(A4,'Docketed Comments'!H:H,0))&amp;", "&amp;INDEX('Docketed Comments'!B:B,MATCH(A4,'Docketed Comments'!H:H,0)),"")</f>
        <v>Shelby, Bryant</v>
      </c>
      <c r="I4" s="60" t="str">
        <f>IFERROR(INDEX('Docketed Comments'!D:D,MATCH(A4,'Docketed Comments'!H:H,0)),"")</f>
        <v>Phoenix</v>
      </c>
      <c r="J4" s="60" t="str">
        <f>IFERROR(INDEX('Docketed Comments'!I:I,MATCH(A4,'Docketed Comments'!H:H,0)),"")</f>
        <v>RTOUE47</v>
      </c>
      <c r="K4" s="60" t="str">
        <f t="shared" si="1"/>
        <v>❌ Not on Best Plan</v>
      </c>
      <c r="L4" s="60" t="str">
        <f>IFERROR(INDEX('Docketed Comments'!F:F,MATCH(A4,'Docketed Comments'!H:H,0)),"")</f>
        <v>Opposed, unfair burden on families and seniors</v>
      </c>
      <c r="M4" s="120" t="str">
        <f>IFERROR(INDEX('Docketed Comments'!G:G,MATCH(A4,'Docketed Comments'!H:H,0)),"")</f>
        <v>https://docket.images.azcc.gov/E000046235.pdf</v>
      </c>
      <c r="N4" s="118">
        <f>IFERROR(INDEX('Docketed Comments'!N:N,MATCH(A4,'Docketed Comments'!H:H,0)),"")</f>
        <v>470.06</v>
      </c>
      <c r="O4" s="118" t="str">
        <f>IFERROR(INDEX('Docketed Comments'!L:L,MATCH(A4,'Docketed Comments'!H:H,0)),"")</f>
        <v>No MEP R3-47(28.19)</v>
      </c>
      <c r="P4" s="119">
        <f t="shared" si="0"/>
        <v>28.19</v>
      </c>
      <c r="Q4" s="60" t="s">
        <v>23</v>
      </c>
      <c r="R4" s="64" t="s">
        <v>24</v>
      </c>
      <c r="S4" s="64" t="s">
        <v>33</v>
      </c>
    </row>
    <row r="5" spans="1:19" ht="21.95" hidden="1" customHeight="1">
      <c r="A5" s="66" t="s">
        <v>34</v>
      </c>
      <c r="B5" s="64" t="s">
        <v>31</v>
      </c>
      <c r="C5" s="65">
        <v>46046</v>
      </c>
      <c r="D5" s="64" t="s">
        <v>27</v>
      </c>
      <c r="E5" s="64" t="s">
        <v>35</v>
      </c>
      <c r="F5" s="60" t="s">
        <v>36</v>
      </c>
      <c r="G5" s="60"/>
      <c r="H5" s="60" t="str">
        <f>IFERROR(INDEX('Docketed Comments'!C:C,MATCH(A5,'Docketed Comments'!H:H,0))&amp;", "&amp;INDEX('Docketed Comments'!B:B,MATCH(A5,'Docketed Comments'!H:H,0)),"")</f>
        <v>Ashlee, Santoyo</v>
      </c>
      <c r="I5" s="60" t="str">
        <f>IFERROR(INDEX('Docketed Comments'!D:D,MATCH(A5,'Docketed Comments'!H:H,0)),"")</f>
        <v>Surprise</v>
      </c>
      <c r="J5" s="60" t="str">
        <f>IFERROR(INDEX('Docketed Comments'!I:I,MATCH(A5,'Docketed Comments'!H:H,0)),"")</f>
        <v>RTOUE47</v>
      </c>
      <c r="K5" s="60" t="str">
        <f t="shared" si="1"/>
        <v>❌ Not on Best Plan</v>
      </c>
      <c r="L5" s="60" t="str">
        <f>IFERROR(INDEX('Docketed Comments'!F:F,MATCH(A5,'Docketed Comments'!H:H,0)),"")</f>
        <v>Form letter</v>
      </c>
      <c r="M5" s="120" t="str">
        <f>IFERROR(INDEX('Docketed Comments'!G:G,MATCH(A5,'Docketed Comments'!H:H,0)),"")</f>
        <v>https://docket.images.azcc.gov/E000046235.pdf</v>
      </c>
      <c r="N5" s="118">
        <f>IFERROR(INDEX('Docketed Comments'!N:N,MATCH(A5,'Docketed Comments'!H:H,0)),"")</f>
        <v>1278.31</v>
      </c>
      <c r="O5" s="118" t="str">
        <f>IFERROR(INDEX('Docketed Comments'!L:L,MATCH(A5,'Docketed Comments'!H:H,0)),"")</f>
        <v>No MEP R3-47($153.61)</v>
      </c>
      <c r="P5" s="119">
        <f t="shared" si="0"/>
        <v>153.61000000000001</v>
      </c>
      <c r="Q5" s="60" t="s">
        <v>23</v>
      </c>
      <c r="R5" s="64" t="s">
        <v>24</v>
      </c>
      <c r="S5" s="64" t="s">
        <v>37</v>
      </c>
    </row>
    <row r="6" spans="1:19" ht="21.95" hidden="1" customHeight="1">
      <c r="A6" s="66" t="s">
        <v>38</v>
      </c>
      <c r="B6" s="64" t="s">
        <v>31</v>
      </c>
      <c r="C6" s="65">
        <v>46039</v>
      </c>
      <c r="D6" s="64" t="s">
        <v>21</v>
      </c>
      <c r="E6" s="64" t="s">
        <v>22</v>
      </c>
      <c r="F6" s="60"/>
      <c r="G6" s="60"/>
      <c r="H6" s="60" t="str">
        <f>IFERROR(INDEX('Docketed Comments'!C:C,MATCH(A6,'Docketed Comments'!H:H,0))&amp;", "&amp;INDEX('Docketed Comments'!B:B,MATCH(A6,'Docketed Comments'!H:H,0)),"")</f>
        <v>Jason, McCloud</v>
      </c>
      <c r="I6" s="60" t="str">
        <f>IFERROR(INDEX('Docketed Comments'!D:D,MATCH(A6,'Docketed Comments'!H:H,0)),"")</f>
        <v>Surprise</v>
      </c>
      <c r="J6" s="60" t="str">
        <f>IFERROR(INDEX('Docketed Comments'!I:I,MATCH(A6,'Docketed Comments'!H:H,0)),"")</f>
        <v>RTOUE47</v>
      </c>
      <c r="K6" s="60" t="str">
        <f t="shared" si="1"/>
        <v>❌ Not on Best Plan</v>
      </c>
      <c r="L6" s="60" t="str">
        <f>IFERROR(INDEX('Docketed Comments'!F:F,MATCH(A6,'Docketed Comments'!H:H,0)),"")</f>
        <v>Unchecked greed</v>
      </c>
      <c r="M6" s="120" t="str">
        <f>IFERROR(INDEX('Docketed Comments'!G:G,MATCH(A6,'Docketed Comments'!H:H,0)),"")</f>
        <v>https://docket.images.azcc.gov/E000046266.pdf</v>
      </c>
      <c r="N6" s="118">
        <f>IFERROR(INDEX('Docketed Comments'!N:N,MATCH(A6,'Docketed Comments'!H:H,0)),"")</f>
        <v>803.66</v>
      </c>
      <c r="O6" s="118" t="str">
        <f>IFERROR(INDEX('Docketed Comments'!L:L,MATCH(A6,'Docketed Comments'!H:H,0)),"")</f>
        <v>No MEP R3-47($74.50)</v>
      </c>
      <c r="P6" s="119">
        <f t="shared" si="0"/>
        <v>74.5</v>
      </c>
      <c r="Q6" s="60" t="s">
        <v>23</v>
      </c>
      <c r="R6" s="64" t="s">
        <v>24</v>
      </c>
      <c r="S6" s="64" t="s">
        <v>39</v>
      </c>
    </row>
    <row r="7" spans="1:19" ht="21.95" hidden="1" customHeight="1">
      <c r="A7" s="66" t="s">
        <v>40</v>
      </c>
      <c r="B7" s="64" t="s">
        <v>31</v>
      </c>
      <c r="C7" s="65">
        <v>46025</v>
      </c>
      <c r="D7" s="64" t="s">
        <v>21</v>
      </c>
      <c r="E7" s="64" t="s">
        <v>22</v>
      </c>
      <c r="F7" s="60" t="s">
        <v>41</v>
      </c>
      <c r="G7" s="60"/>
      <c r="H7" s="60" t="str">
        <f>IFERROR(INDEX('Docketed Comments'!C:C,MATCH(A7,'Docketed Comments'!H:H,0))&amp;", "&amp;INDEX('Docketed Comments'!B:B,MATCH(A7,'Docketed Comments'!H:H,0)),"")</f>
        <v>Bonnie, Inman</v>
      </c>
      <c r="I7" s="60" t="str">
        <f>IFERROR(INDEX('Docketed Comments'!D:D,MATCH(A7,'Docketed Comments'!H:H,0)),"")</f>
        <v>Phoenix</v>
      </c>
      <c r="J7" s="60" t="str">
        <f>IFERROR(INDEX('Docketed Comments'!I:I,MATCH(A7,'Docketed Comments'!H:H,0)),"")</f>
        <v>RTOUE47</v>
      </c>
      <c r="K7" s="60" t="str">
        <f t="shared" si="1"/>
        <v>❌ Not on Best Plan</v>
      </c>
      <c r="L7" s="60" t="str">
        <f>IFERROR(INDEX('Docketed Comments'!F:F,MATCH(A7,'Docketed Comments'!H:H,0)),"")</f>
        <v>Form letter</v>
      </c>
      <c r="M7" s="120" t="str">
        <f>IFERROR(INDEX('Docketed Comments'!G:G,MATCH(A7,'Docketed Comments'!H:H,0)),"")</f>
        <v>https://docket.images.azcc.gov/E000046266.pdf</v>
      </c>
      <c r="N7" s="118">
        <f>IFERROR(INDEX('Docketed Comments'!N:N,MATCH(A7,'Docketed Comments'!H:H,0)),"")</f>
        <v>508.72</v>
      </c>
      <c r="O7" s="118" t="str">
        <f>IFERROR(INDEX('Docketed Comments'!L:L,MATCH(A7,'Docketed Comments'!H:H,0)),"")</f>
        <v>No MEP R3-47 ($79.77)</v>
      </c>
      <c r="P7" s="119">
        <f t="shared" si="0"/>
        <v>79.77</v>
      </c>
      <c r="Q7" s="60" t="s">
        <v>23</v>
      </c>
      <c r="R7" s="64" t="s">
        <v>24</v>
      </c>
      <c r="S7" s="64" t="s">
        <v>42</v>
      </c>
    </row>
    <row r="8" spans="1:19" ht="21.95" hidden="1" customHeight="1">
      <c r="A8" s="66" t="s">
        <v>43</v>
      </c>
      <c r="B8" s="64" t="s">
        <v>31</v>
      </c>
      <c r="C8" s="65">
        <v>46025</v>
      </c>
      <c r="D8" s="64"/>
      <c r="E8" s="64" t="s">
        <v>22</v>
      </c>
      <c r="F8" s="60" t="s">
        <v>41</v>
      </c>
      <c r="G8" s="60"/>
      <c r="H8" s="60" t="str">
        <f>IFERROR(INDEX('Docketed Comments'!C:C,MATCH(A8,'Docketed Comments'!H:H,0))&amp;", "&amp;INDEX('Docketed Comments'!B:B,MATCH(A8,'Docketed Comments'!H:H,0)),"")</f>
        <v>Anne, Josselyn</v>
      </c>
      <c r="I8" s="60" t="str">
        <f>IFERROR(INDEX('Docketed Comments'!D:D,MATCH(A8,'Docketed Comments'!H:H,0)),"")</f>
        <v xml:space="preserve">Sun City </v>
      </c>
      <c r="J8" s="60" t="str">
        <f>IFERROR(INDEX('Docketed Comments'!I:I,MATCH(A8,'Docketed Comments'!H:H,0)),"")</f>
        <v>R-BASIC</v>
      </c>
      <c r="K8" s="60" t="str">
        <f t="shared" si="1"/>
        <v>❌ Not on Best Plan</v>
      </c>
      <c r="L8" s="60" t="str">
        <f>IFERROR(INDEX('Docketed Comments'!F:F,MATCH(A8,'Docketed Comments'!H:H,0)),"")</f>
        <v>Opposed</v>
      </c>
      <c r="M8" s="120" t="str">
        <f>IFERROR(INDEX('Docketed Comments'!G:G,MATCH(A8,'Docketed Comments'!H:H,0)),"")</f>
        <v>https://docket.images.azcc.gov/E000046316.pdf</v>
      </c>
      <c r="N8" s="118">
        <f>IFERROR(INDEX('Docketed Comments'!N:N,MATCH(A8,'Docketed Comments'!H:H,0)),"")</f>
        <v>0</v>
      </c>
      <c r="O8" s="118" t="str">
        <f>IFERROR(INDEX('Docketed Comments'!L:L,MATCH(A8,'Docketed Comments'!H:H,0)),"")</f>
        <v>No MEP R-XS ($117.00)</v>
      </c>
      <c r="P8" s="119">
        <f t="shared" si="0"/>
        <v>117</v>
      </c>
      <c r="Q8" s="60" t="s">
        <v>23</v>
      </c>
      <c r="R8" s="64" t="s">
        <v>24</v>
      </c>
      <c r="S8" s="64" t="s">
        <v>44</v>
      </c>
    </row>
    <row r="9" spans="1:19" ht="21.95" hidden="1" customHeight="1">
      <c r="A9" s="66" t="s">
        <v>45</v>
      </c>
      <c r="B9" s="64" t="s">
        <v>31</v>
      </c>
      <c r="C9" s="65">
        <v>46025</v>
      </c>
      <c r="D9" s="64" t="s">
        <v>27</v>
      </c>
      <c r="E9" s="64" t="s">
        <v>22</v>
      </c>
      <c r="F9" s="60" t="s">
        <v>46</v>
      </c>
      <c r="G9" s="60"/>
      <c r="H9" s="60" t="str">
        <f>IFERROR(INDEX('Docketed Comments'!C:C,MATCH(A9,'Docketed Comments'!H:H,0))&amp;", "&amp;INDEX('Docketed Comments'!B:B,MATCH(A9,'Docketed Comments'!H:H,0)),"")</f>
        <v>Mercedes, Ramos</v>
      </c>
      <c r="I9" s="60" t="str">
        <f>IFERROR(INDEX('Docketed Comments'!D:D,MATCH(A9,'Docketed Comments'!H:H,0)),"")</f>
        <v>Yuma</v>
      </c>
      <c r="J9" s="60" t="str">
        <f>IFERROR(INDEX('Docketed Comments'!I:I,MATCH(A9,'Docketed Comments'!H:H,0)),"")</f>
        <v>RCPw/R3-47</v>
      </c>
      <c r="K9" s="60" t="str">
        <f t="shared" si="1"/>
        <v>❌ Not on Best Plan</v>
      </c>
      <c r="L9" s="60" t="str">
        <f>IFERROR(INDEX('Docketed Comments'!F:F,MATCH(A9,'Docketed Comments'!H:H,0)),"")</f>
        <v>Extremely expensive</v>
      </c>
      <c r="M9" s="120" t="str">
        <f>IFERROR(INDEX('Docketed Comments'!G:G,MATCH(A9,'Docketed Comments'!H:H,0)),"")</f>
        <v>https://docket.images.azcc.gov/E000046437.pdf</v>
      </c>
      <c r="N9" s="118">
        <f>IFERROR(INDEX('Docketed Comments'!N:N,MATCH(A9,'Docketed Comments'!H:H,0)),"")</f>
        <v>722.34</v>
      </c>
      <c r="O9" s="118" t="str">
        <f>IFERROR(INDEX('Docketed Comments'!L:L,MATCH(A9,'Docketed Comments'!H:H,0)),"")</f>
        <v>No MEP TOUE ($157.52)</v>
      </c>
      <c r="P9" s="119">
        <f t="shared" si="0"/>
        <v>157.52000000000001</v>
      </c>
      <c r="Q9" s="60" t="s">
        <v>23</v>
      </c>
      <c r="R9" s="64" t="s">
        <v>24</v>
      </c>
      <c r="S9" s="64" t="s">
        <v>47</v>
      </c>
    </row>
    <row r="10" spans="1:19" ht="21.95" hidden="1" customHeight="1">
      <c r="A10" s="66" t="s">
        <v>48</v>
      </c>
      <c r="B10" s="64" t="s">
        <v>31</v>
      </c>
      <c r="C10" s="65">
        <v>45997</v>
      </c>
      <c r="D10" s="64" t="s">
        <v>21</v>
      </c>
      <c r="E10" s="64" t="s">
        <v>22</v>
      </c>
      <c r="F10" s="60" t="s">
        <v>49</v>
      </c>
      <c r="G10" s="60"/>
      <c r="H10" s="60" t="str">
        <f>IFERROR(INDEX('Docketed Comments'!C:C,MATCH(A10,'Docketed Comments'!H:H,0))&amp;", "&amp;INDEX('Docketed Comments'!B:B,MATCH(A10,'Docketed Comments'!H:H,0)),"")</f>
        <v>Taylor, Vandenberg</v>
      </c>
      <c r="I10" s="60" t="str">
        <f>IFERROR(INDEX('Docketed Comments'!D:D,MATCH(A10,'Docketed Comments'!H:H,0)),"")</f>
        <v>Phoenix</v>
      </c>
      <c r="J10" s="60" t="str">
        <f>IFERROR(INDEX('Docketed Comments'!I:I,MATCH(A10,'Docketed Comments'!H:H,0)),"")</f>
        <v>RTOUE47</v>
      </c>
      <c r="K10" s="60" t="str">
        <f t="shared" si="1"/>
        <v>❌ Not on Best Plan</v>
      </c>
      <c r="L10" s="60" t="str">
        <f>IFERROR(INDEX('Docketed Comments'!F:F,MATCH(A10,'Docketed Comments'!H:H,0)),"")</f>
        <v>Opposed-Terrible idea for Arizonans</v>
      </c>
      <c r="M10" s="120" t="str">
        <f>IFERROR(INDEX('Docketed Comments'!G:G,MATCH(A10,'Docketed Comments'!H:H,0)),"")</f>
        <v>https://docket.images.azcc.gov/E000046525.pdf</v>
      </c>
      <c r="N10" s="118">
        <f>IFERROR(INDEX('Docketed Comments'!N:N,MATCH(A10,'Docketed Comments'!H:H,0)),"")</f>
        <v>349.63</v>
      </c>
      <c r="O10" s="118" t="str">
        <f>IFERROR(INDEX('Docketed Comments'!L:L,MATCH(A10,'Docketed Comments'!H:H,0)),"")</f>
        <v>No MEP R3-47(175.40)</v>
      </c>
      <c r="P10" s="119">
        <f t="shared" si="0"/>
        <v>175.4</v>
      </c>
      <c r="Q10" s="60" t="s">
        <v>23</v>
      </c>
      <c r="R10" s="64" t="s">
        <v>24</v>
      </c>
      <c r="S10" s="64" t="s">
        <v>50</v>
      </c>
    </row>
    <row r="11" spans="1:19" ht="21.95" hidden="1" customHeight="1">
      <c r="A11" s="66" t="s">
        <v>51</v>
      </c>
      <c r="B11" s="64" t="s">
        <v>31</v>
      </c>
      <c r="C11" s="65">
        <v>46039</v>
      </c>
      <c r="D11" s="64" t="s">
        <v>21</v>
      </c>
      <c r="E11" s="64" t="s">
        <v>22</v>
      </c>
      <c r="F11" s="60"/>
      <c r="G11" s="60"/>
      <c r="H11" s="60" t="str">
        <f>IFERROR(INDEX('Docketed Comments'!C:C,MATCH(A11,'Docketed Comments'!H:H,0))&amp;", "&amp;INDEX('Docketed Comments'!B:B,MATCH(A11,'Docketed Comments'!H:H,0)),"")</f>
        <v>Jerome, Pablo</v>
      </c>
      <c r="I11" s="60" t="str">
        <f>IFERROR(INDEX('Docketed Comments'!D:D,MATCH(A11,'Docketed Comments'!H:H,0)),"")</f>
        <v>Buckeye</v>
      </c>
      <c r="J11" s="60" t="str">
        <f>IFERROR(INDEX('Docketed Comments'!I:I,MATCH(A11,'Docketed Comments'!H:H,0)),"")</f>
        <v>RCPw/RTOUE47</v>
      </c>
      <c r="K11" s="60" t="str">
        <f t="shared" si="1"/>
        <v>❌ Not on Best Plan</v>
      </c>
      <c r="L11" s="60" t="str">
        <f>IFERROR(INDEX('Docketed Comments'!F:F,MATCH(A11,'Docketed Comments'!H:H,0)),"")</f>
        <v>Power is already expensive</v>
      </c>
      <c r="M11" s="120" t="str">
        <f>IFERROR(INDEX('Docketed Comments'!G:G,MATCH(A11,'Docketed Comments'!H:H,0)),"")</f>
        <v>https://docket.images.azcc.gov/E000046578.pdf</v>
      </c>
      <c r="N11" s="118">
        <f>IFERROR(INDEX('Docketed Comments'!N:N,MATCH(A11,'Docketed Comments'!H:H,0)),"")</f>
        <v>333.26</v>
      </c>
      <c r="O11" s="118" t="str">
        <f>IFERROR(INDEX('Docketed Comments'!L:L,MATCH(A11,'Docketed Comments'!H:H,0)),"")</f>
        <v>No MEP R3-47 ($310.77)</v>
      </c>
      <c r="P11" s="119">
        <f t="shared" si="0"/>
        <v>310.77</v>
      </c>
      <c r="Q11" s="60" t="s">
        <v>23</v>
      </c>
      <c r="R11" s="64" t="s">
        <v>24</v>
      </c>
      <c r="S11" s="64" t="s">
        <v>52</v>
      </c>
    </row>
    <row r="12" spans="1:19" ht="21.95" hidden="1" customHeight="1">
      <c r="A12" s="66" t="s">
        <v>53</v>
      </c>
      <c r="B12" s="64" t="s">
        <v>31</v>
      </c>
      <c r="C12" s="65">
        <v>46032</v>
      </c>
      <c r="D12" s="64"/>
      <c r="E12" s="64" t="s">
        <v>22</v>
      </c>
      <c r="F12" s="60" t="s">
        <v>54</v>
      </c>
      <c r="G12" s="60"/>
      <c r="H12" s="60" t="str">
        <f>IFERROR(INDEX('Docketed Comments'!C:C,MATCH(A12,'Docketed Comments'!H:H,0))&amp;", "&amp;INDEX('Docketed Comments'!B:B,MATCH(A12,'Docketed Comments'!H:H,0)),"")</f>
        <v>Virginia, Youngker</v>
      </c>
      <c r="I12" s="60" t="str">
        <f>IFERROR(INDEX('Docketed Comments'!D:D,MATCH(A12,'Docketed Comments'!H:H,0)),"")</f>
        <v>Scottsdale</v>
      </c>
      <c r="J12" s="60" t="str">
        <f>IFERROR(INDEX('Docketed Comments'!I:I,MATCH(A12,'Docketed Comments'!H:H,0)),"")</f>
        <v>RTOUE47</v>
      </c>
      <c r="K12" s="60" t="str">
        <f t="shared" si="1"/>
        <v>❌ Not on Best Plan</v>
      </c>
      <c r="L12" s="60" t="str">
        <f>IFERROR(INDEX('Docketed Comments'!F:F,MATCH(A12,'Docketed Comments'!H:H,0)),"")</f>
        <v>Form Letter: Enough is enough! You must reject the latest 14% rate hikes by APS and TEP</v>
      </c>
      <c r="M12" s="120" t="str">
        <f>IFERROR(INDEX('Docketed Comments'!G:G,MATCH(A12,'Docketed Comments'!H:H,0)),"")</f>
        <v>https://docket.images.azcc.gov/E000046970.pdf</v>
      </c>
      <c r="N12" s="118">
        <f>IFERROR(INDEX('Docketed Comments'!N:N,MATCH(A12,'Docketed Comments'!H:H,0)),"")</f>
        <v>2463.12</v>
      </c>
      <c r="O12" s="118" t="str">
        <f>IFERROR(INDEX('Docketed Comments'!L:L,MATCH(A12,'Docketed Comments'!H:H,0)),"")</f>
        <v>No MEP R3-47 ($991.58)</v>
      </c>
      <c r="P12" s="119">
        <f t="shared" si="0"/>
        <v>991.58</v>
      </c>
      <c r="Q12" s="60" t="s">
        <v>23</v>
      </c>
      <c r="R12" s="64" t="s">
        <v>24</v>
      </c>
      <c r="S12" s="64" t="s">
        <v>55</v>
      </c>
    </row>
    <row r="13" spans="1:19" ht="21.95" hidden="1" customHeight="1">
      <c r="A13" s="66" t="s">
        <v>56</v>
      </c>
      <c r="B13" s="64" t="s">
        <v>31</v>
      </c>
      <c r="C13" s="65">
        <v>46032</v>
      </c>
      <c r="D13" s="64" t="s">
        <v>21</v>
      </c>
      <c r="E13" s="64" t="s">
        <v>22</v>
      </c>
      <c r="F13" s="60" t="s">
        <v>57</v>
      </c>
      <c r="G13" s="60"/>
      <c r="H13" s="60" t="str">
        <f>IFERROR(INDEX('Docketed Comments'!C:C,MATCH(A13,'Docketed Comments'!H:H,0))&amp;", "&amp;INDEX('Docketed Comments'!B:B,MATCH(A13,'Docketed Comments'!H:H,0)),"")</f>
        <v>Scott, Haden</v>
      </c>
      <c r="I13" s="60" t="str">
        <f>IFERROR(INDEX('Docketed Comments'!D:D,MATCH(A13,'Docketed Comments'!H:H,0)),"")</f>
        <v>Phoenix</v>
      </c>
      <c r="J13" s="60" t="str">
        <f>IFERROR(INDEX('Docketed Comments'!I:I,MATCH(A13,'Docketed Comments'!H:H,0)),"")</f>
        <v>RTOUE47</v>
      </c>
      <c r="K13" s="60" t="str">
        <f t="shared" si="1"/>
        <v>❌ Not on Best Plan</v>
      </c>
      <c r="L13" s="60" t="str">
        <f>IFERROR(INDEX('Docketed Comments'!F:F,MATCH(A13,'Docketed Comments'!H:H,0)),"")</f>
        <v>Form Letter: Enough is enough! You must reject the latest 14% rate hikes by APS and TEP</v>
      </c>
      <c r="M13" s="120" t="str">
        <f>IFERROR(INDEX('Docketed Comments'!G:G,MATCH(A13,'Docketed Comments'!H:H,0)),"")</f>
        <v>https://docket.images.azcc.gov/E000046996.pdf</v>
      </c>
      <c r="N13" s="118">
        <f>IFERROR(INDEX('Docketed Comments'!N:N,MATCH(A13,'Docketed Comments'!H:H,0)),"")</f>
        <v>0</v>
      </c>
      <c r="O13" s="118" t="str">
        <f>IFERROR(INDEX('Docketed Comments'!L:L,MATCH(A13,'Docketed Comments'!H:H,0)),"")</f>
        <v>No MEP R3-47 ($43.09)</v>
      </c>
      <c r="P13" s="119">
        <f t="shared" si="0"/>
        <v>43.09</v>
      </c>
      <c r="Q13" s="60" t="s">
        <v>23</v>
      </c>
      <c r="R13" s="64" t="s">
        <v>24</v>
      </c>
      <c r="S13" s="64" t="s">
        <v>58</v>
      </c>
    </row>
    <row r="14" spans="1:19" ht="21.95" hidden="1" customHeight="1">
      <c r="A14" s="66" t="s">
        <v>59</v>
      </c>
      <c r="B14" s="64" t="s">
        <v>31</v>
      </c>
      <c r="C14" s="65">
        <v>46032</v>
      </c>
      <c r="D14" s="64" t="s">
        <v>21</v>
      </c>
      <c r="E14" s="64" t="s">
        <v>22</v>
      </c>
      <c r="F14" s="60" t="s">
        <v>60</v>
      </c>
      <c r="G14" s="60"/>
      <c r="H14" s="60" t="str">
        <f>IFERROR(INDEX('Docketed Comments'!C:C,MATCH(A14,'Docketed Comments'!H:H,0))&amp;", "&amp;INDEX('Docketed Comments'!B:B,MATCH(A14,'Docketed Comments'!H:H,0)),"")</f>
        <v>Miranda, Summons</v>
      </c>
      <c r="I14" s="60" t="str">
        <f>IFERROR(INDEX('Docketed Comments'!D:D,MATCH(A14,'Docketed Comments'!H:H,0)),"")</f>
        <v>Phoenix</v>
      </c>
      <c r="J14" s="60" t="str">
        <f>IFERROR(INDEX('Docketed Comments'!I:I,MATCH(A14,'Docketed Comments'!H:H,0)),"")</f>
        <v>R-BASIC</v>
      </c>
      <c r="K14" s="60" t="str">
        <f t="shared" si="1"/>
        <v>❌ Not on Best Plan</v>
      </c>
      <c r="L14" s="60" t="str">
        <f>IFERROR(INDEX('Docketed Comments'!F:F,MATCH(A14,'Docketed Comments'!H:H,0)),"")</f>
        <v>I am against the rate increase</v>
      </c>
      <c r="M14" s="120" t="str">
        <f>IFERROR(INDEX('Docketed Comments'!G:G,MATCH(A14,'Docketed Comments'!H:H,0)),"")</f>
        <v>https://docket.images.azcc.gov/E000047191.pdf</v>
      </c>
      <c r="N14" s="118">
        <f>IFERROR(INDEX('Docketed Comments'!N:N,MATCH(A14,'Docketed Comments'!H:H,0)),"")</f>
        <v>398.69</v>
      </c>
      <c r="O14" s="118" t="str">
        <f>IFERROR(INDEX('Docketed Comments'!L:L,MATCH(A14,'Docketed Comments'!H:H,0)),"")</f>
        <v>No MEP R3-47 ($3.61)</v>
      </c>
      <c r="P14" s="119">
        <f t="shared" si="0"/>
        <v>3.61</v>
      </c>
      <c r="Q14" s="60" t="s">
        <v>23</v>
      </c>
      <c r="R14" s="64" t="s">
        <v>24</v>
      </c>
      <c r="S14" s="64" t="s">
        <v>61</v>
      </c>
    </row>
    <row r="15" spans="1:19" ht="21.95" hidden="1" customHeight="1">
      <c r="A15" s="66" t="s">
        <v>62</v>
      </c>
      <c r="B15" s="64" t="s">
        <v>31</v>
      </c>
      <c r="C15" s="65">
        <v>46032</v>
      </c>
      <c r="D15" s="64" t="s">
        <v>21</v>
      </c>
      <c r="E15" s="64" t="s">
        <v>22</v>
      </c>
      <c r="F15" s="60" t="s">
        <v>60</v>
      </c>
      <c r="G15" s="60"/>
      <c r="H15" s="60" t="str">
        <f>IFERROR(INDEX('Docketed Comments'!C:C,MATCH(A15,'Docketed Comments'!H:H,0))&amp;", "&amp;INDEX('Docketed Comments'!B:B,MATCH(A15,'Docketed Comments'!H:H,0)),"")</f>
        <v>Rachel, Byman</v>
      </c>
      <c r="I15" s="60" t="str">
        <f>IFERROR(INDEX('Docketed Comments'!D:D,MATCH(A15,'Docketed Comments'!H:H,0)),"")</f>
        <v>Phoenix</v>
      </c>
      <c r="J15" s="60" t="str">
        <f>IFERROR(INDEX('Docketed Comments'!I:I,MATCH(A15,'Docketed Comments'!H:H,0)),"")</f>
        <v>R3-47</v>
      </c>
      <c r="K15" s="60" t="str">
        <f t="shared" si="1"/>
        <v>❌ Not on Best Plan</v>
      </c>
      <c r="L15" s="60" t="str">
        <f>IFERROR(INDEX('Docketed Comments'!F:F,MATCH(A15,'Docketed Comments'!H:H,0)),"")</f>
        <v>Form Letter: Enough is enough! You must reject the latest 14% rate hikes by APS and TEP</v>
      </c>
      <c r="M15" s="120" t="str">
        <f>IFERROR(INDEX('Docketed Comments'!G:G,MATCH(A15,'Docketed Comments'!H:H,0)),"")</f>
        <v>https://docket.images.azcc.gov/E000047270.pdf</v>
      </c>
      <c r="N15" s="118">
        <f>IFERROR(INDEX('Docketed Comments'!N:N,MATCH(A15,'Docketed Comments'!H:H,0)),"")</f>
        <v>318.62</v>
      </c>
      <c r="O15" s="118" t="str">
        <f>IFERROR(INDEX('Docketed Comments'!L:L,MATCH(A15,'Docketed Comments'!H:H,0)),"")</f>
        <v>No MEP RTOUE ($1.30)</v>
      </c>
      <c r="P15" s="119">
        <f t="shared" si="0"/>
        <v>1.3</v>
      </c>
      <c r="Q15" s="60" t="s">
        <v>23</v>
      </c>
      <c r="R15" s="64" t="s">
        <v>24</v>
      </c>
      <c r="S15" s="64" t="s">
        <v>63</v>
      </c>
    </row>
    <row r="16" spans="1:19" ht="21.95" hidden="1" customHeight="1">
      <c r="A16" s="66" t="s">
        <v>64</v>
      </c>
      <c r="B16" s="64" t="s">
        <v>31</v>
      </c>
      <c r="C16" s="65">
        <v>46032</v>
      </c>
      <c r="D16" s="64" t="s">
        <v>21</v>
      </c>
      <c r="E16" s="64" t="s">
        <v>22</v>
      </c>
      <c r="F16" s="60" t="s">
        <v>65</v>
      </c>
      <c r="G16" s="60"/>
      <c r="H16" s="60" t="str">
        <f>IFERROR(INDEX('Docketed Comments'!C:C,MATCH(A16,'Docketed Comments'!H:H,0))&amp;", "&amp;INDEX('Docketed Comments'!B:B,MATCH(A16,'Docketed Comments'!H:H,0)),"")</f>
        <v>Maria, Hernandez</v>
      </c>
      <c r="I16" s="60" t="str">
        <f>IFERROR(INDEX('Docketed Comments'!D:D,MATCH(A16,'Docketed Comments'!H:H,0)),"")</f>
        <v>Youngtown</v>
      </c>
      <c r="J16" s="60" t="str">
        <f>IFERROR(INDEX('Docketed Comments'!I:I,MATCH(A16,'Docketed Comments'!H:H,0)),"")</f>
        <v>RTOUE47</v>
      </c>
      <c r="K16" s="60" t="str">
        <f t="shared" si="1"/>
        <v>❌ Not on Best Plan</v>
      </c>
      <c r="L16" s="60" t="str">
        <f>IFERROR(INDEX('Docketed Comments'!F:F,MATCH(A16,'Docketed Comments'!H:H,0)),"")</f>
        <v>Form Letter: Enough is enough! You must reject the latest 14% rate hikes by APS and TEP</v>
      </c>
      <c r="M16" s="120" t="str">
        <f>IFERROR(INDEX('Docketed Comments'!G:G,MATCH(A16,'Docketed Comments'!H:H,0)),"")</f>
        <v>https://docket.images.azcc.gov/E000047365.pdf</v>
      </c>
      <c r="N16" s="118">
        <f>IFERROR(INDEX('Docketed Comments'!N:N,MATCH(A16,'Docketed Comments'!H:H,0)),"")</f>
        <v>1482.25</v>
      </c>
      <c r="O16" s="118" t="str">
        <f>IFERROR(INDEX('Docketed Comments'!L:L,MATCH(A16,'Docketed Comments'!H:H,0)),"")</f>
        <v>No MEP R3-47 ($62.21)</v>
      </c>
      <c r="P16" s="119">
        <f t="shared" si="0"/>
        <v>62.21</v>
      </c>
      <c r="Q16" s="60" t="s">
        <v>23</v>
      </c>
      <c r="R16" s="64" t="s">
        <v>24</v>
      </c>
      <c r="S16" s="64" t="s">
        <v>66</v>
      </c>
    </row>
    <row r="17" spans="1:19" ht="21.95" hidden="1" customHeight="1">
      <c r="A17" s="66" t="s">
        <v>67</v>
      </c>
      <c r="B17" s="64" t="s">
        <v>31</v>
      </c>
      <c r="C17" s="65">
        <v>46032</v>
      </c>
      <c r="D17" s="64"/>
      <c r="E17" s="64" t="s">
        <v>68</v>
      </c>
      <c r="F17" s="60" t="s">
        <v>69</v>
      </c>
      <c r="G17" s="60"/>
      <c r="H17" s="60" t="str">
        <f>IFERROR(INDEX('Docketed Comments'!C:C,MATCH(A17,'Docketed Comments'!H:H,0))&amp;", "&amp;INDEX('Docketed Comments'!B:B,MATCH(A17,'Docketed Comments'!H:H,0)),"")</f>
        <v>Diana, Curds</v>
      </c>
      <c r="I17" s="60" t="str">
        <f>IFERROR(INDEX('Docketed Comments'!D:D,MATCH(A17,'Docketed Comments'!H:H,0)),"")</f>
        <v>Phoenix</v>
      </c>
      <c r="J17" s="60" t="str">
        <f>IFERROR(INDEX('Docketed Comments'!I:I,MATCH(A17,'Docketed Comments'!H:H,0)),"")</f>
        <v>RTOUE47</v>
      </c>
      <c r="K17" s="60" t="str">
        <f t="shared" si="1"/>
        <v>❌ Not on Best Plan</v>
      </c>
      <c r="L17" s="60" t="str">
        <f>IFERROR(INDEX('Docketed Comments'!F:F,MATCH(A17,'Docketed Comments'!H:H,0)),"")</f>
        <v>I oppose the rate hike. Bills are high enough. No one can survive paying $650.</v>
      </c>
      <c r="M17" s="120" t="str">
        <f>IFERROR(INDEX('Docketed Comments'!G:G,MATCH(A17,'Docketed Comments'!H:H,0)),"")</f>
        <v>https://docket.images.azcc.gov/E000047425.pdf</v>
      </c>
      <c r="N17" s="118">
        <f>IFERROR(INDEX('Docketed Comments'!N:N,MATCH(A17,'Docketed Comments'!H:H,0)),"")</f>
        <v>99.98</v>
      </c>
      <c r="O17" s="118" t="str">
        <f>IFERROR(INDEX('Docketed Comments'!L:L,MATCH(A17,'Docketed Comments'!H:H,0)),"")</f>
        <v>No MEP R3-47 ($113.52)</v>
      </c>
      <c r="P17" s="119">
        <f t="shared" si="0"/>
        <v>113.52</v>
      </c>
      <c r="Q17" s="60" t="s">
        <v>23</v>
      </c>
      <c r="R17" s="64" t="s">
        <v>24</v>
      </c>
      <c r="S17" s="64" t="s">
        <v>70</v>
      </c>
    </row>
    <row r="18" spans="1:19" ht="21.95" hidden="1" customHeight="1">
      <c r="A18" s="66" t="s">
        <v>71</v>
      </c>
      <c r="B18" s="64" t="s">
        <v>31</v>
      </c>
      <c r="C18" s="65">
        <v>46018</v>
      </c>
      <c r="D18" s="64" t="s">
        <v>27</v>
      </c>
      <c r="E18" s="64" t="s">
        <v>35</v>
      </c>
      <c r="F18" s="60"/>
      <c r="G18" s="60"/>
      <c r="H18" s="60" t="str">
        <f>IFERROR(INDEX('Docketed Comments'!C:C,MATCH(A18,'Docketed Comments'!H:H,0))&amp;", "&amp;INDEX('Docketed Comments'!B:B,MATCH(A18,'Docketed Comments'!H:H,0)),"")</f>
        <v>Michael, Posey</v>
      </c>
      <c r="I18" s="60" t="str">
        <f>IFERROR(INDEX('Docketed Comments'!D:D,MATCH(A18,'Docketed Comments'!H:H,0)),"")</f>
        <v>Buckeye</v>
      </c>
      <c r="J18" s="60" t="str">
        <f>IFERROR(INDEX('Docketed Comments'!I:I,MATCH(A18,'Docketed Comments'!H:H,0)),"")</f>
        <v>RTOUE47</v>
      </c>
      <c r="K18" s="60" t="str">
        <f t="shared" si="1"/>
        <v>❌ Not on Best Plan</v>
      </c>
      <c r="L18" s="60" t="str">
        <f>IFERROR(INDEX('Docketed Comments'!F:F,MATCH(A18,'Docketed Comments'!H:H,0)),"")</f>
        <v>Form Letter: Enough is enough! You must reject the latest 14% rate hikes by APS e TEP</v>
      </c>
      <c r="M18" s="120" t="str">
        <f>IFERROR(INDEX('Docketed Comments'!G:G,MATCH(A18,'Docketed Comments'!H:H,0)),"")</f>
        <v>https://docket.images.azcc.gov/E000048311.pdf</v>
      </c>
      <c r="N18" s="118">
        <f>IFERROR(INDEX('Docketed Comments'!N:N,MATCH(A18,'Docketed Comments'!H:H,0)),"")</f>
        <v>1309.77</v>
      </c>
      <c r="O18" s="118" t="str">
        <f>IFERROR(INDEX('Docketed Comments'!L:L,MATCH(A18,'Docketed Comments'!H:H,0)),"")</f>
        <v>No MEP R3-47 ($326.27)</v>
      </c>
      <c r="P18" s="119">
        <f t="shared" si="0"/>
        <v>326.27</v>
      </c>
      <c r="Q18" s="60" t="s">
        <v>23</v>
      </c>
      <c r="R18" s="64" t="s">
        <v>24</v>
      </c>
      <c r="S18" s="64" t="s">
        <v>72</v>
      </c>
    </row>
    <row r="19" spans="1:19" ht="21.95" customHeight="1">
      <c r="A19" s="66" t="s">
        <v>73</v>
      </c>
      <c r="B19" s="64"/>
      <c r="C19" s="65"/>
      <c r="D19" s="64"/>
      <c r="E19" s="64"/>
      <c r="F19" s="60"/>
      <c r="G19" s="60" t="s">
        <v>74</v>
      </c>
      <c r="H19" s="60" t="str">
        <f>IFERROR(INDEX('Docketed Comments'!C:C,MATCH(A19,'Docketed Comments'!H:H,0))&amp;", "&amp;INDEX('Docketed Comments'!B:B,MATCH(A19,'Docketed Comments'!H:H,0)),"")</f>
        <v>Katharine, Cearns</v>
      </c>
      <c r="I19" s="60" t="str">
        <f>IFERROR(INDEX('Docketed Comments'!D:D,MATCH(A19,'Docketed Comments'!H:H,0)),"")</f>
        <v>Yuma</v>
      </c>
      <c r="J19" s="60" t="str">
        <f>IFERROR(INDEX('Docketed Comments'!I:I,MATCH(A19,'Docketed Comments'!H:H,0)),"")</f>
        <v>R-2</v>
      </c>
      <c r="K19" s="60" t="str">
        <f t="shared" si="1"/>
        <v>⚠ Frozen</v>
      </c>
      <c r="L19" s="60" t="str">
        <f>IFERROR(INDEX('Docketed Comments'!F:F,MATCH(A19,'Docketed Comments'!H:H,0)),"")</f>
        <v>Form Letter: Enough is enough! You must reject the latest 14% rate hikes by APS e TEP</v>
      </c>
      <c r="M19" s="120" t="str">
        <f>IFERROR(INDEX('Docketed Comments'!G:G,MATCH(A19,'Docketed Comments'!H:H,0)),"")</f>
        <v>https://docket.images.azcc.gov/E000048497.pdf</v>
      </c>
      <c r="N19" s="118">
        <f>IFERROR(INDEX('Docketed Comments'!N:N,MATCH(A19,'Docketed Comments'!H:H,0)),"")</f>
        <v>310</v>
      </c>
      <c r="O19" s="118" t="str">
        <f>IFERROR(INDEX('Docketed Comments'!L:L,MATCH(A19,'Docketed Comments'!H:H,0)),"")</f>
        <v>Frozen</v>
      </c>
      <c r="P19" s="119">
        <f t="shared" si="0"/>
        <v>0</v>
      </c>
      <c r="Q19" s="60"/>
      <c r="R19" s="64" t="s">
        <v>75</v>
      </c>
      <c r="S19" s="64" t="s">
        <v>76</v>
      </c>
    </row>
    <row r="20" spans="1:19" ht="21.95" customHeight="1">
      <c r="A20" s="66" t="s">
        <v>77</v>
      </c>
      <c r="B20" s="64"/>
      <c r="C20" s="65"/>
      <c r="D20" s="64"/>
      <c r="E20" s="64"/>
      <c r="F20" s="60"/>
      <c r="G20" s="60" t="s">
        <v>74</v>
      </c>
      <c r="H20" s="60" t="str">
        <f>IFERROR(INDEX('Docketed Comments'!C:C,MATCH(A20,'Docketed Comments'!H:H,0))&amp;", "&amp;INDEX('Docketed Comments'!B:B,MATCH(A20,'Docketed Comments'!H:H,0)),"")</f>
        <v>Alexia, Apolinar</v>
      </c>
      <c r="I20" s="60" t="str">
        <f>IFERROR(INDEX('Docketed Comments'!D:D,MATCH(A20,'Docketed Comments'!H:H,0)),"")</f>
        <v>Goodyear</v>
      </c>
      <c r="J20" s="60" t="str">
        <f>IFERROR(INDEX('Docketed Comments'!I:I,MATCH(A20,'Docketed Comments'!H:H,0)),"")</f>
        <v>RCPw/TOUE47</v>
      </c>
      <c r="K20" s="60" t="str">
        <f t="shared" si="1"/>
        <v>❌ Not on Best Plan</v>
      </c>
      <c r="L20" s="60" t="str">
        <f>IFERROR(INDEX('Docketed Comments'!F:F,MATCH(A20,'Docketed Comments'!H:H,0)),"")</f>
        <v>Oppose -rate was just increased less than 2 years ago</v>
      </c>
      <c r="M20" s="120" t="str">
        <f>IFERROR(INDEX('Docketed Comments'!G:G,MATCH(A20,'Docketed Comments'!H:H,0)),"")</f>
        <v>https://docket.images.azcc.gov/E000048791.pdf</v>
      </c>
      <c r="N20" s="118">
        <f>IFERROR(INDEX('Docketed Comments'!N:N,MATCH(A20,'Docketed Comments'!H:H,0)),"")</f>
        <v>681.89</v>
      </c>
      <c r="O20" s="118" t="str">
        <f>IFERROR(INDEX('Docketed Comments'!L:L,MATCH(A20,'Docketed Comments'!H:H,0)),"")</f>
        <v>No MEP R3-47 ($84.24)</v>
      </c>
      <c r="P20" s="119">
        <f t="shared" si="0"/>
        <v>84.24</v>
      </c>
      <c r="Q20" s="60"/>
      <c r="R20" s="64" t="s">
        <v>75</v>
      </c>
      <c r="S20" s="64" t="s">
        <v>78</v>
      </c>
    </row>
    <row r="21" spans="1:19" ht="21.95" customHeight="1">
      <c r="A21" s="66" t="s">
        <v>79</v>
      </c>
      <c r="B21" s="64"/>
      <c r="C21" s="65"/>
      <c r="D21" s="64"/>
      <c r="E21" s="64"/>
      <c r="F21" s="60"/>
      <c r="G21" s="60" t="s">
        <v>74</v>
      </c>
      <c r="H21" s="60" t="str">
        <f>IFERROR(INDEX('Docketed Comments'!C:C,MATCH(A21,'Docketed Comments'!H:H,0))&amp;", "&amp;INDEX('Docketed Comments'!B:B,MATCH(A21,'Docketed Comments'!H:H,0)),"")</f>
        <v>Jodi, Downs</v>
      </c>
      <c r="I21" s="60" t="str">
        <f>IFERROR(INDEX('Docketed Comments'!D:D,MATCH(A21,'Docketed Comments'!H:H,0)),"")</f>
        <v>Glendale</v>
      </c>
      <c r="J21" s="60" t="str">
        <f>IFERROR(INDEX('Docketed Comments'!I:I,MATCH(A21,'Docketed Comments'!H:H,0)),"")</f>
        <v>R-BASIC</v>
      </c>
      <c r="K21" s="60" t="str">
        <f t="shared" si="1"/>
        <v>❌ Not on Best Plan</v>
      </c>
      <c r="L21" s="60" t="str">
        <f>IFERROR(INDEX('Docketed Comments'!F:F,MATCH(A21,'Docketed Comments'!H:H,0)),"")</f>
        <v>On a budget and already working 2 jobs to make ends meet, the price hike is nothing but greed.</v>
      </c>
      <c r="M21" s="120" t="str">
        <f>IFERROR(INDEX('Docketed Comments'!G:G,MATCH(A21,'Docketed Comments'!H:H,0)),"")</f>
        <v>https://docket.images.azcc.gov/E000048791.pdf</v>
      </c>
      <c r="N21" s="118">
        <f>IFERROR(INDEX('Docketed Comments'!N:N,MATCH(A21,'Docketed Comments'!H:H,0)),"")</f>
        <v>43.34</v>
      </c>
      <c r="O21" s="118" t="str">
        <f>IFERROR(INDEX('Docketed Comments'!L:L,MATCH(A21,'Docketed Comments'!H:H,0)),"")</f>
        <v>No MEP R3-47 ($42.04)</v>
      </c>
      <c r="P21" s="119">
        <f t="shared" si="0"/>
        <v>42.04</v>
      </c>
      <c r="Q21" s="60"/>
      <c r="R21" s="64" t="s">
        <v>75</v>
      </c>
      <c r="S21" s="64" t="s">
        <v>80</v>
      </c>
    </row>
    <row r="22" spans="1:19" ht="21.95" customHeight="1">
      <c r="A22" s="66" t="s">
        <v>81</v>
      </c>
      <c r="B22" s="64"/>
      <c r="C22" s="65"/>
      <c r="D22" s="64"/>
      <c r="E22" s="64"/>
      <c r="F22" s="60"/>
      <c r="G22" s="60" t="s">
        <v>74</v>
      </c>
      <c r="H22" s="60" t="str">
        <f>IFERROR(INDEX('Docketed Comments'!C:C,MATCH(A22,'Docketed Comments'!H:H,0))&amp;", "&amp;INDEX('Docketed Comments'!B:B,MATCH(A22,'Docketed Comments'!H:H,0)),"")</f>
        <v>Elizabeth, Andujar</v>
      </c>
      <c r="I22" s="60" t="str">
        <f>IFERROR(INDEX('Docketed Comments'!D:D,MATCH(A22,'Docketed Comments'!H:H,0)),"")</f>
        <v>Phoenix</v>
      </c>
      <c r="J22" s="60" t="str">
        <f>IFERROR(INDEX('Docketed Comments'!I:I,MATCH(A22,'Docketed Comments'!H:H,0)),"")</f>
        <v>R3-47</v>
      </c>
      <c r="K22" s="60" t="str">
        <f t="shared" si="1"/>
        <v>❌ Not on Best Plan</v>
      </c>
      <c r="L22" s="60" t="str">
        <f>IFERROR(INDEX('Docketed Comments'!F:F,MATCH(A22,'Docketed Comments'!H:H,0)),"")</f>
        <v>I believe that aps should lower the cost because not all of us has the funds to keep paying a lot of money</v>
      </c>
      <c r="M22" s="120" t="str">
        <f>IFERROR(INDEX('Docketed Comments'!G:G,MATCH(A22,'Docketed Comments'!H:H,0)),"")</f>
        <v>https://docket.images.azcc.gov/E000048921.pdf</v>
      </c>
      <c r="N22" s="118">
        <f>IFERROR(INDEX('Docketed Comments'!N:N,MATCH(A22,'Docketed Comments'!H:H,0)),"")</f>
        <v>1183.6600000000001</v>
      </c>
      <c r="O22" s="118" t="str">
        <f>IFERROR(INDEX('Docketed Comments'!L:L,MATCH(A22,'Docketed Comments'!H:H,0)),"")</f>
        <v>No MEP RTOUE47 ($64.15)</v>
      </c>
      <c r="P22" s="119">
        <f t="shared" si="0"/>
        <v>64.150000000000006</v>
      </c>
      <c r="Q22" s="60"/>
      <c r="R22" s="64" t="s">
        <v>75</v>
      </c>
      <c r="S22" s="64" t="s">
        <v>82</v>
      </c>
    </row>
    <row r="23" spans="1:19" ht="21.95" customHeight="1">
      <c r="A23" s="66" t="s">
        <v>83</v>
      </c>
      <c r="B23" s="64"/>
      <c r="C23" s="65"/>
      <c r="D23" s="64"/>
      <c r="E23" s="64"/>
      <c r="F23" s="60"/>
      <c r="G23" s="60" t="s">
        <v>74</v>
      </c>
      <c r="H23" s="60" t="str">
        <f>IFERROR(INDEX('Docketed Comments'!C:C,MATCH(A23,'Docketed Comments'!H:H,0))&amp;", "&amp;INDEX('Docketed Comments'!B:B,MATCH(A23,'Docketed Comments'!H:H,0)),"")</f>
        <v>TeNisha, Arends</v>
      </c>
      <c r="I23" s="60" t="str">
        <f>IFERROR(INDEX('Docketed Comments'!D:D,MATCH(A23,'Docketed Comments'!H:H,0)),"")</f>
        <v>Surprise</v>
      </c>
      <c r="J23" s="60" t="str">
        <f>IFERROR(INDEX('Docketed Comments'!I:I,MATCH(A23,'Docketed Comments'!H:H,0)),"")</f>
        <v>R3-47</v>
      </c>
      <c r="K23" s="60" t="str">
        <f t="shared" si="1"/>
        <v>❌ Not on Best Plan</v>
      </c>
      <c r="L23" s="60" t="str">
        <f>IFERROR(INDEX('Docketed Comments'!F:F,MATCH(A23,'Docketed Comments'!H:H,0)),"")</f>
        <v>We have the sun at our disposal. Why isn't APS taking advantage of that to help the consumers that need their services</v>
      </c>
      <c r="M23" s="120" t="str">
        <f>IFERROR(INDEX('Docketed Comments'!G:G,MATCH(A23,'Docketed Comments'!H:H,0)),"")</f>
        <v>https://docket.images.azcc.gov/E000048921.pdf</v>
      </c>
      <c r="N23" s="118">
        <f>IFERROR(INDEX('Docketed Comments'!N:N,MATCH(A23,'Docketed Comments'!H:H,0)),"")</f>
        <v>361.81</v>
      </c>
      <c r="O23" s="118" t="str">
        <f>IFERROR(INDEX('Docketed Comments'!L:L,MATCH(A23,'Docketed Comments'!H:H,0)),"")</f>
        <v>Not eligible yet</v>
      </c>
      <c r="P23" s="119">
        <f t="shared" si="0"/>
        <v>0</v>
      </c>
      <c r="Q23" s="60"/>
      <c r="R23" s="64" t="s">
        <v>75</v>
      </c>
      <c r="S23" s="64" t="s">
        <v>84</v>
      </c>
    </row>
    <row r="24" spans="1:19" ht="21.95" customHeight="1">
      <c r="A24" s="66" t="s">
        <v>85</v>
      </c>
      <c r="B24" s="64"/>
      <c r="C24" s="65"/>
      <c r="D24" s="64"/>
      <c r="E24" s="64"/>
      <c r="F24" s="60"/>
      <c r="G24" s="60" t="s">
        <v>74</v>
      </c>
      <c r="H24" s="60" t="str">
        <f>IFERROR(INDEX('Docketed Comments'!C:C,MATCH(A24,'Docketed Comments'!H:H,0))&amp;", "&amp;INDEX('Docketed Comments'!B:B,MATCH(A24,'Docketed Comments'!H:H,0)),"")</f>
        <v>Jennifer, Bugenski</v>
      </c>
      <c r="I24" s="60" t="str">
        <f>IFERROR(INDEX('Docketed Comments'!D:D,MATCH(A24,'Docketed Comments'!H:H,0)),"")</f>
        <v>Flagstaff</v>
      </c>
      <c r="J24" s="60" t="str">
        <f>IFERROR(INDEX('Docketed Comments'!I:I,MATCH(A24,'Docketed Comments'!H:H,0)),"")</f>
        <v>RTOUE47</v>
      </c>
      <c r="K24" s="60" t="str">
        <f t="shared" si="1"/>
        <v>⚠ ???</v>
      </c>
      <c r="L24" s="60" t="str">
        <f>IFERROR(INDEX('Docketed Comments'!F:F,MATCH(A24,'Docketed Comments'!H:H,0)),"")</f>
        <v>I'm against the rate hike we are expensive enough</v>
      </c>
      <c r="M24" s="120" t="str">
        <f>IFERROR(INDEX('Docketed Comments'!G:G,MATCH(A24,'Docketed Comments'!H:H,0)),"")</f>
        <v>https://docket.images.azcc.gov/E000048921.pdf</v>
      </c>
      <c r="N24" s="118">
        <f>IFERROR(INDEX('Docketed Comments'!N:N,MATCH(A24,'Docketed Comments'!H:H,0)),"")</f>
        <v>325</v>
      </c>
      <c r="O24" s="118" t="str">
        <f>IFERROR(INDEX('Docketed Comments'!L:L,MATCH(A24,'Docketed Comments'!H:H,0)),"")</f>
        <v>???</v>
      </c>
      <c r="P24" s="119">
        <f t="shared" si="0"/>
        <v>0</v>
      </c>
      <c r="Q24" s="60"/>
      <c r="R24" s="64" t="s">
        <v>75</v>
      </c>
      <c r="S24" s="64" t="s">
        <v>86</v>
      </c>
    </row>
    <row r="25" spans="1:19" ht="21.95" customHeight="1">
      <c r="A25" s="66" t="s">
        <v>87</v>
      </c>
      <c r="B25" s="64"/>
      <c r="C25" s="65"/>
      <c r="D25" s="64"/>
      <c r="E25" s="64"/>
      <c r="F25" s="60"/>
      <c r="G25" s="60" t="s">
        <v>88</v>
      </c>
      <c r="H25" s="60" t="str">
        <f>IFERROR(INDEX('Docketed Comments'!C:C,MATCH(A25,'Docketed Comments'!H:H,0))&amp;", "&amp;INDEX('Docketed Comments'!B:B,MATCH(A25,'Docketed Comments'!H:H,0)),"")</f>
        <v>Melvinna, King</v>
      </c>
      <c r="I25" s="60" t="str">
        <f>IFERROR(INDEX('Docketed Comments'!D:D,MATCH(A25,'Docketed Comments'!H:H,0)),"")</f>
        <v>Avondale</v>
      </c>
      <c r="J25" s="60">
        <f>IFERROR(INDEX('Docketed Comments'!I:I,MATCH(A25,'Docketed Comments'!H:H,0)),"")</f>
        <v>0</v>
      </c>
      <c r="K25" s="60" t="str">
        <f t="shared" si="1"/>
        <v>⚠ 0</v>
      </c>
      <c r="L25" s="60" t="str">
        <f>IFERROR(INDEX('Docketed Comments'!F:F,MATCH(A25,'Docketed Comments'!H:H,0)),"")</f>
        <v xml:space="preserve"> it's time to humble oneself because God is coming to humble those who feel they are in control</v>
      </c>
      <c r="M25" s="120" t="str">
        <f>IFERROR(INDEX('Docketed Comments'!G:G,MATCH(A25,'Docketed Comments'!H:H,0)),"")</f>
        <v>https://docket.images.azcc.gov/E000048921.pdf</v>
      </c>
      <c r="N25" s="118">
        <f>IFERROR(INDEX('Docketed Comments'!N:N,MATCH(A25,'Docketed Comments'!H:H,0)),"")</f>
        <v>0</v>
      </c>
      <c r="O25" s="118">
        <f>IFERROR(INDEX('Docketed Comments'!L:L,MATCH(A25,'Docketed Comments'!H:H,0)),"")</f>
        <v>0</v>
      </c>
      <c r="P25" s="119">
        <f t="shared" si="0"/>
        <v>0</v>
      </c>
      <c r="Q25" s="60"/>
      <c r="R25" s="64" t="s">
        <v>75</v>
      </c>
      <c r="S25" s="64" t="s">
        <v>89</v>
      </c>
    </row>
    <row r="26" spans="1:19" ht="21.95" customHeight="1">
      <c r="A26" s="66" t="s">
        <v>90</v>
      </c>
      <c r="B26" s="64"/>
      <c r="C26" s="65"/>
      <c r="D26" s="64"/>
      <c r="E26" s="64"/>
      <c r="F26" s="60"/>
      <c r="G26" s="60" t="s">
        <v>74</v>
      </c>
      <c r="H26" s="60" t="str">
        <f>IFERROR(INDEX('Docketed Comments'!C:C,MATCH(A26,'Docketed Comments'!H:H,0))&amp;", "&amp;INDEX('Docketed Comments'!B:B,MATCH(A26,'Docketed Comments'!H:H,0)),"")</f>
        <v>Anaisabel, Gajon</v>
      </c>
      <c r="I26" s="60" t="str">
        <f>IFERROR(INDEX('Docketed Comments'!D:D,MATCH(A26,'Docketed Comments'!H:H,0)),"")</f>
        <v>Yuma</v>
      </c>
      <c r="J26" s="60" t="str">
        <f>IFERROR(INDEX('Docketed Comments'!I:I,MATCH(A26,'Docketed Comments'!H:H,0)),"")</f>
        <v>RTOUE47</v>
      </c>
      <c r="K26" s="60" t="str">
        <f t="shared" si="1"/>
        <v>❌ Not on Best Plan</v>
      </c>
      <c r="L26" s="60" t="str">
        <f>IFERROR(INDEX('Docketed Comments'!F:F,MATCH(A26,'Docketed Comments'!H:H,0)),"")</f>
        <v>Everything is too expensive. It is impossible to afford electricity in this heat as is,</v>
      </c>
      <c r="M26" s="120" t="str">
        <f>IFERROR(INDEX('Docketed Comments'!G:G,MATCH(A26,'Docketed Comments'!H:H,0)),"")</f>
        <v>https://docket.images.azcc.gov/E000049100.pdf</v>
      </c>
      <c r="N26" s="118">
        <f>IFERROR(INDEX('Docketed Comments'!N:N,MATCH(A26,'Docketed Comments'!H:H,0)),"")</f>
        <v>163.08000000000001</v>
      </c>
      <c r="O26" s="118" t="str">
        <f>IFERROR(INDEX('Docketed Comments'!L:L,MATCH(A26,'Docketed Comments'!H:H,0)),"")</f>
        <v>No MEP R3-47 ($107.12)</v>
      </c>
      <c r="P26" s="119">
        <f t="shared" si="0"/>
        <v>107.12</v>
      </c>
      <c r="Q26" s="60"/>
      <c r="R26" s="64" t="s">
        <v>75</v>
      </c>
      <c r="S26" s="64" t="s">
        <v>91</v>
      </c>
    </row>
    <row r="27" spans="1:19" ht="21.95" customHeight="1">
      <c r="A27" s="66" t="s">
        <v>92</v>
      </c>
      <c r="B27" s="64"/>
      <c r="C27" s="65"/>
      <c r="D27" s="64"/>
      <c r="E27" s="64"/>
      <c r="F27" s="60"/>
      <c r="G27" s="60" t="s">
        <v>74</v>
      </c>
      <c r="H27" s="60" t="str">
        <f>IFERROR(INDEX('Docketed Comments'!C:C,MATCH(A27,'Docketed Comments'!H:H,0))&amp;", "&amp;INDEX('Docketed Comments'!B:B,MATCH(A27,'Docketed Comments'!H:H,0)),"")</f>
        <v>Rosalva, Valladares</v>
      </c>
      <c r="I27" s="60" t="str">
        <f>IFERROR(INDEX('Docketed Comments'!D:D,MATCH(A27,'Docketed Comments'!H:H,0)),"")</f>
        <v>Phoenix</v>
      </c>
      <c r="J27" s="60" t="str">
        <f>IFERROR(INDEX('Docketed Comments'!I:I,MATCH(A27,'Docketed Comments'!H:H,0)),"")</f>
        <v>RTOUE47</v>
      </c>
      <c r="K27" s="60" t="str">
        <f t="shared" si="1"/>
        <v>❌ Not on Best Plan</v>
      </c>
      <c r="L27" s="60" t="str">
        <f>IFERROR(INDEX('Docketed Comments'!F:F,MATCH(A27,'Docketed Comments'!H:H,0)),"")</f>
        <v>If APS really cares about its customers look into blocking these data centers from moving to Arizona</v>
      </c>
      <c r="M27" s="120" t="str">
        <f>IFERROR(INDEX('Docketed Comments'!G:G,MATCH(A27,'Docketed Comments'!H:H,0)),"")</f>
        <v>https://docket.images.azcc.gov/E000049357.pdf</v>
      </c>
      <c r="N27" s="118">
        <f>IFERROR(INDEX('Docketed Comments'!N:N,MATCH(A27,'Docketed Comments'!H:H,0)),"")</f>
        <v>472.1</v>
      </c>
      <c r="O27" s="118" t="str">
        <f>IFERROR(INDEX('Docketed Comments'!L:L,MATCH(A27,'Docketed Comments'!H:H,0)),"")</f>
        <v>No MEP R3-47 ($64.75)</v>
      </c>
      <c r="P27" s="119">
        <f t="shared" si="0"/>
        <v>64.75</v>
      </c>
      <c r="Q27" s="60"/>
      <c r="R27" s="64" t="s">
        <v>75</v>
      </c>
      <c r="S27" s="64" t="s">
        <v>93</v>
      </c>
    </row>
    <row r="28" spans="1:19" ht="21.95" customHeight="1">
      <c r="A28" s="66" t="s">
        <v>94</v>
      </c>
      <c r="B28" s="64"/>
      <c r="C28" s="65"/>
      <c r="D28" s="64"/>
      <c r="E28" s="64"/>
      <c r="F28" s="60"/>
      <c r="G28" s="60" t="s">
        <v>74</v>
      </c>
      <c r="H28" s="60" t="str">
        <f>IFERROR(INDEX('Docketed Comments'!C:C,MATCH(A28,'Docketed Comments'!H:H,0))&amp;", "&amp;INDEX('Docketed Comments'!B:B,MATCH(A28,'Docketed Comments'!H:H,0)),"")</f>
        <v>Jodi, Bean</v>
      </c>
      <c r="I28" s="60" t="str">
        <f>IFERROR(INDEX('Docketed Comments'!D:D,MATCH(A28,'Docketed Comments'!H:H,0)),"")</f>
        <v>Wittmann</v>
      </c>
      <c r="J28" s="60" t="str">
        <f>IFERROR(INDEX('Docketed Comments'!I:I,MATCH(A28,'Docketed Comments'!H:H,0)),"")</f>
        <v>RTOUE47</v>
      </c>
      <c r="K28" s="60" t="str">
        <f t="shared" si="1"/>
        <v>❌ Not on Best Plan</v>
      </c>
      <c r="L28" s="60" t="str">
        <f>IFERROR(INDEX('Docketed Comments'!F:F,MATCH(A28,'Docketed Comments'!H:H,0)),"")</f>
        <v>I dent think APS needs another 14% rate hike people are barely making ends meet.</v>
      </c>
      <c r="M28" s="120" t="str">
        <f>IFERROR(INDEX('Docketed Comments'!G:G,MATCH(A28,'Docketed Comments'!H:H,0)),"")</f>
        <v>https://docket.images.azcc.gov/E000049379.pdf</v>
      </c>
      <c r="N28" s="118">
        <f>IFERROR(INDEX('Docketed Comments'!N:N,MATCH(A28,'Docketed Comments'!H:H,0)),"")</f>
        <v>409.95</v>
      </c>
      <c r="O28" s="118" t="str">
        <f>IFERROR(INDEX('Docketed Comments'!L:L,MATCH(A28,'Docketed Comments'!H:H,0)),"")</f>
        <v>No MEP R3-47 ($326.85)</v>
      </c>
      <c r="P28" s="119">
        <f t="shared" si="0"/>
        <v>326.85000000000002</v>
      </c>
      <c r="Q28" s="60"/>
      <c r="R28" s="64" t="s">
        <v>75</v>
      </c>
      <c r="S28" s="64" t="s">
        <v>95</v>
      </c>
    </row>
    <row r="29" spans="1:19" ht="21.95" hidden="1" customHeight="1">
      <c r="A29" s="66" t="s">
        <v>96</v>
      </c>
      <c r="B29" s="64" t="s">
        <v>20</v>
      </c>
      <c r="C29" s="65">
        <v>46067</v>
      </c>
      <c r="D29" s="64" t="s">
        <v>21</v>
      </c>
      <c r="E29" s="64" t="s">
        <v>22</v>
      </c>
      <c r="F29" s="60"/>
      <c r="G29" s="60"/>
      <c r="H29" s="60" t="str">
        <f>IFERROR(INDEX('Docketed Comments'!C:C,MATCH(A29,'Docketed Comments'!H:H,0))&amp;", "&amp;INDEX('Docketed Comments'!B:B,MATCH(A29,'Docketed Comments'!H:H,0)),"")</f>
        <v>Carol, Rizzi</v>
      </c>
      <c r="I29" s="60" t="str">
        <f>IFERROR(INDEX('Docketed Comments'!D:D,MATCH(A29,'Docketed Comments'!H:H,0)),"")</f>
        <v>Unknown</v>
      </c>
      <c r="J29" s="60" t="str">
        <f>IFERROR(INDEX('Docketed Comments'!I:I,MATCH(A29,'Docketed Comments'!H:H,0)),"")</f>
        <v>R-XS</v>
      </c>
      <c r="K29" s="60" t="str">
        <f t="shared" si="1"/>
        <v>⚠ AMI Opt Out</v>
      </c>
      <c r="L29" s="60" t="str">
        <f>IFERROR(INDEX('Docketed Comments'!F:F,MATCH(A29,'Docketed Comments'!H:H,0)),"")</f>
        <v>Opposed</v>
      </c>
      <c r="M29" s="120" t="str">
        <f>IFERROR(INDEX('Docketed Comments'!G:G,MATCH(A29,'Docketed Comments'!H:H,0)),"")</f>
        <v>https://images.edocket.azcc.gov/docketpdf/E000045267.pdf</v>
      </c>
      <c r="N29" s="118" t="str">
        <f>IFERROR(INDEX('Docketed Comments'!N:N,MATCH(A29,'Docketed Comments'!H:H,0)),"")</f>
        <v>No</v>
      </c>
      <c r="O29" s="118" t="str">
        <f>IFERROR(INDEX('Docketed Comments'!L:L,MATCH(A29,'Docketed Comments'!H:H,0)),"")</f>
        <v>AMI Opt Out</v>
      </c>
      <c r="P29" s="119">
        <f t="shared" si="0"/>
        <v>0</v>
      </c>
      <c r="Q29" s="60" t="s">
        <v>23</v>
      </c>
      <c r="R29" s="64" t="s">
        <v>24</v>
      </c>
      <c r="S29" s="64" t="s">
        <v>97</v>
      </c>
    </row>
    <row r="30" spans="1:19" ht="21.95" hidden="1" customHeight="1">
      <c r="A30" s="66" t="s">
        <v>98</v>
      </c>
      <c r="B30" s="64" t="s">
        <v>20</v>
      </c>
      <c r="C30" s="65">
        <v>46060</v>
      </c>
      <c r="D30" s="64" t="s">
        <v>21</v>
      </c>
      <c r="E30" s="64" t="s">
        <v>22</v>
      </c>
      <c r="F30" s="60" t="s">
        <v>99</v>
      </c>
      <c r="G30" s="60"/>
      <c r="H30" s="60" t="str">
        <f>IFERROR(INDEX('Docketed Comments'!C:C,MATCH(A30,'Docketed Comments'!H:H,0))&amp;", "&amp;INDEX('Docketed Comments'!B:B,MATCH(A30,'Docketed Comments'!H:H,0)),"")</f>
        <v>Maxwell, Charapata</v>
      </c>
      <c r="I30" s="60" t="str">
        <f>IFERROR(INDEX('Docketed Comments'!D:D,MATCH(A30,'Docketed Comments'!H:H,0)),"")</f>
        <v>Phoenix</v>
      </c>
      <c r="J30" s="60" t="str">
        <f>IFERROR(INDEX('Docketed Comments'!I:I,MATCH(A30,'Docketed Comments'!H:H,0)),"")</f>
        <v>RTOUE47</v>
      </c>
      <c r="K30" s="60" t="str">
        <f t="shared" si="1"/>
        <v>❌ Not on Best Plan</v>
      </c>
      <c r="L30" s="60" t="str">
        <f>IFERROR(INDEX('Docketed Comments'!F:F,MATCH(A30,'Docketed Comments'!H:H,0)),"")</f>
        <v>Opposed</v>
      </c>
      <c r="M30" s="120" t="str">
        <f>IFERROR(INDEX('Docketed Comments'!G:G,MATCH(A30,'Docketed Comments'!H:H,0)),"")</f>
        <v>https://images.edocket.azcc.gov/docketpdf/E000046155.pdf</v>
      </c>
      <c r="N30" s="118" t="str">
        <f>IFERROR(INDEX('Docketed Comments'!N:N,MATCH(A30,'Docketed Comments'!H:H,0)),"")</f>
        <v>No</v>
      </c>
      <c r="O30" s="118" t="str">
        <f>IFERROR(INDEX('Docketed Comments'!L:L,MATCH(A30,'Docketed Comments'!H:H,0)),"")</f>
        <v>No-MEP R3-47(23.66)</v>
      </c>
      <c r="P30" s="119">
        <f t="shared" si="0"/>
        <v>23.66</v>
      </c>
      <c r="Q30" s="60" t="s">
        <v>23</v>
      </c>
      <c r="R30" s="64" t="s">
        <v>24</v>
      </c>
      <c r="S30" s="64" t="s">
        <v>100</v>
      </c>
    </row>
    <row r="31" spans="1:19" ht="21.95" hidden="1" customHeight="1">
      <c r="A31" s="66" t="s">
        <v>101</v>
      </c>
      <c r="B31" s="64" t="s">
        <v>20</v>
      </c>
      <c r="C31" s="65">
        <v>46032</v>
      </c>
      <c r="D31" s="64" t="s">
        <v>27</v>
      </c>
      <c r="E31" s="64" t="s">
        <v>22</v>
      </c>
      <c r="F31" s="60" t="s">
        <v>99</v>
      </c>
      <c r="G31" s="60"/>
      <c r="H31" s="60" t="str">
        <f>IFERROR(INDEX('Docketed Comments'!C:C,MATCH(A31,'Docketed Comments'!H:H,0))&amp;", "&amp;INDEX('Docketed Comments'!B:B,MATCH(A31,'Docketed Comments'!H:H,0)),"")</f>
        <v>Chris, Howell</v>
      </c>
      <c r="I31" s="60" t="str">
        <f>IFERROR(INDEX('Docketed Comments'!D:D,MATCH(A31,'Docketed Comments'!H:H,0)),"")</f>
        <v>Surprise</v>
      </c>
      <c r="J31" s="60" t="str">
        <f>IFERROR(INDEX('Docketed Comments'!I:I,MATCH(A31,'Docketed Comments'!H:H,0)),"")</f>
        <v>RTOUE47</v>
      </c>
      <c r="K31" s="60" t="str">
        <f t="shared" si="1"/>
        <v>❌ Not on Best Plan</v>
      </c>
      <c r="L31" s="60" t="str">
        <f>IFERROR(INDEX('Docketed Comments'!F:F,MATCH(A31,'Docketed Comments'!H:H,0)),"")</f>
        <v>Form letter</v>
      </c>
      <c r="M31" s="120" t="str">
        <f>IFERROR(INDEX('Docketed Comments'!G:G,MATCH(A31,'Docketed Comments'!H:H,0)),"")</f>
        <v>https://images.edocket.azcc.gov/docketpdf/E000046155.pdf</v>
      </c>
      <c r="N31" s="118" t="str">
        <f>IFERROR(INDEX('Docketed Comments'!N:N,MATCH(A31,'Docketed Comments'!H:H,0)),"")</f>
        <v>No</v>
      </c>
      <c r="O31" s="118" t="str">
        <f>IFERROR(INDEX('Docketed Comments'!L:L,MATCH(A31,'Docketed Comments'!H:H,0)),"")</f>
        <v>No MEP R3-47($2.91)</v>
      </c>
      <c r="P31" s="119">
        <f t="shared" si="0"/>
        <v>2.91</v>
      </c>
      <c r="Q31" s="60" t="s">
        <v>23</v>
      </c>
      <c r="R31" s="64" t="s">
        <v>24</v>
      </c>
      <c r="S31" s="64" t="s">
        <v>102</v>
      </c>
    </row>
    <row r="32" spans="1:19" ht="21.95" hidden="1" customHeight="1">
      <c r="A32" s="66" t="s">
        <v>103</v>
      </c>
      <c r="B32" s="64" t="s">
        <v>20</v>
      </c>
      <c r="C32" s="65">
        <v>46053</v>
      </c>
      <c r="D32" s="64" t="s">
        <v>27</v>
      </c>
      <c r="E32" s="64" t="s">
        <v>35</v>
      </c>
      <c r="F32" s="60"/>
      <c r="G32" s="60"/>
      <c r="H32" s="60" t="str">
        <f>IFERROR(INDEX('Docketed Comments'!C:C,MATCH(A32,'Docketed Comments'!H:H,0))&amp;", "&amp;INDEX('Docketed Comments'!B:B,MATCH(A32,'Docketed Comments'!H:H,0)),"")</f>
        <v>George, Scharroo</v>
      </c>
      <c r="I32" s="60" t="str">
        <f>IFERROR(INDEX('Docketed Comments'!D:D,MATCH(A32,'Docketed Comments'!H:H,0)),"")</f>
        <v>Phoenix</v>
      </c>
      <c r="J32" s="60" t="str">
        <f>IFERROR(INDEX('Docketed Comments'!I:I,MATCH(A32,'Docketed Comments'!H:H,0)),"")</f>
        <v>R3-47</v>
      </c>
      <c r="K32" s="60" t="str">
        <f t="shared" si="1"/>
        <v>❌ Not on Best Plan</v>
      </c>
      <c r="L32" s="60" t="str">
        <f>IFERROR(INDEX('Docketed Comments'!F:F,MATCH(A32,'Docketed Comments'!H:H,0)),"")</f>
        <v>Opposed</v>
      </c>
      <c r="M32" s="120" t="str">
        <f>IFERROR(INDEX('Docketed Comments'!G:G,MATCH(A32,'Docketed Comments'!H:H,0)),"")</f>
        <v>https://images.edocket.azcc.gov/docketpdf/E000046155.pdf</v>
      </c>
      <c r="N32" s="118" t="str">
        <f>IFERROR(INDEX('Docketed Comments'!N:N,MATCH(A32,'Docketed Comments'!H:H,0)),"")</f>
        <v>No</v>
      </c>
      <c r="O32" s="118" t="str">
        <f>IFERROR(INDEX('Docketed Comments'!L:L,MATCH(A32,'Docketed Comments'!H:H,0)),"")</f>
        <v>Not eligible yet (needs 3 months)</v>
      </c>
      <c r="P32" s="119">
        <f t="shared" si="0"/>
        <v>0</v>
      </c>
      <c r="Q32" s="60" t="s">
        <v>23</v>
      </c>
      <c r="R32" s="64" t="s">
        <v>24</v>
      </c>
      <c r="S32" s="64" t="s">
        <v>104</v>
      </c>
    </row>
    <row r="33" spans="1:19" ht="21.95" hidden="1" customHeight="1">
      <c r="A33" s="66" t="s">
        <v>105</v>
      </c>
      <c r="B33" s="64" t="s">
        <v>20</v>
      </c>
      <c r="C33" s="65">
        <v>46053</v>
      </c>
      <c r="D33" s="64" t="s">
        <v>21</v>
      </c>
      <c r="E33" s="64" t="s">
        <v>22</v>
      </c>
      <c r="F33" s="60"/>
      <c r="G33" s="60"/>
      <c r="H33" s="60" t="str">
        <f>IFERROR(INDEX('Docketed Comments'!C:C,MATCH(A33,'Docketed Comments'!H:H,0))&amp;", "&amp;INDEX('Docketed Comments'!B:B,MATCH(A33,'Docketed Comments'!H:H,0)),"")</f>
        <v>Amanda, Farr</v>
      </c>
      <c r="I33" s="60" t="str">
        <f>IFERROR(INDEX('Docketed Comments'!D:D,MATCH(A33,'Docketed Comments'!H:H,0)),"")</f>
        <v>Phoenix</v>
      </c>
      <c r="J33" s="60" t="str">
        <f>IFERROR(INDEX('Docketed Comments'!I:I,MATCH(A33,'Docketed Comments'!H:H,0)),"")</f>
        <v>RTOUE47</v>
      </c>
      <c r="K33" s="60" t="str">
        <f t="shared" si="1"/>
        <v>❌ Not on Best Plan</v>
      </c>
      <c r="L33" s="60" t="str">
        <f>IFERROR(INDEX('Docketed Comments'!F:F,MATCH(A33,'Docketed Comments'!H:H,0)),"")</f>
        <v>Form letter</v>
      </c>
      <c r="M33" s="120" t="str">
        <f>IFERROR(INDEX('Docketed Comments'!G:G,MATCH(A33,'Docketed Comments'!H:H,0)),"")</f>
        <v>https://images.edocket.azcc.gov/docketpdf/E000046155.pdf</v>
      </c>
      <c r="N33" s="118" t="str">
        <f>IFERROR(INDEX('Docketed Comments'!N:N,MATCH(A33,'Docketed Comments'!H:H,0)),"")</f>
        <v>No</v>
      </c>
      <c r="O33" s="118" t="str">
        <f>IFERROR(INDEX('Docketed Comments'!L:L,MATCH(A33,'Docketed Comments'!H:H,0)),"")</f>
        <v>No MEP R3-47(463.60)</v>
      </c>
      <c r="P33" s="119">
        <f t="shared" si="0"/>
        <v>463.6</v>
      </c>
      <c r="Q33" s="60" t="s">
        <v>23</v>
      </c>
      <c r="R33" s="64" t="s">
        <v>24</v>
      </c>
      <c r="S33" s="64" t="s">
        <v>106</v>
      </c>
    </row>
    <row r="34" spans="1:19" ht="21.95" hidden="1" customHeight="1">
      <c r="A34" s="66" t="s">
        <v>107</v>
      </c>
      <c r="B34" s="64" t="s">
        <v>31</v>
      </c>
      <c r="C34" s="65">
        <v>46018</v>
      </c>
      <c r="D34" s="64" t="s">
        <v>21</v>
      </c>
      <c r="E34" s="64" t="s">
        <v>22</v>
      </c>
      <c r="F34" s="60"/>
      <c r="G34" s="60"/>
      <c r="H34" s="60" t="str">
        <f>IFERROR(INDEX('Docketed Comments'!C:C,MATCH(A34,'Docketed Comments'!H:H,0))&amp;", "&amp;INDEX('Docketed Comments'!B:B,MATCH(A34,'Docketed Comments'!H:H,0)),"")</f>
        <v>Colin, Norton</v>
      </c>
      <c r="I34" s="60" t="str">
        <f>IFERROR(INDEX('Docketed Comments'!D:D,MATCH(A34,'Docketed Comments'!H:H,0)),"")</f>
        <v>Phoenix</v>
      </c>
      <c r="J34" s="60" t="str">
        <f>IFERROR(INDEX('Docketed Comments'!I:I,MATCH(A34,'Docketed Comments'!H:H,0)),"")</f>
        <v>RTOUE47</v>
      </c>
      <c r="K34" s="60" t="str">
        <f t="shared" si="1"/>
        <v>❌ Not on Best Plan</v>
      </c>
      <c r="L34" s="60" t="str">
        <f>IFERROR(INDEX('Docketed Comments'!F:F,MATCH(A34,'Docketed Comments'!H:H,0)),"")</f>
        <v>Form letter</v>
      </c>
      <c r="M34" s="120" t="str">
        <f>IFERROR(INDEX('Docketed Comments'!G:G,MATCH(A34,'Docketed Comments'!H:H,0)),"")</f>
        <v>https://images.edocket.azcc.gov/docketpdf/E000046155.pdf</v>
      </c>
      <c r="N34" s="118" t="str">
        <f>IFERROR(INDEX('Docketed Comments'!N:N,MATCH(A34,'Docketed Comments'!H:H,0)),"")</f>
        <v>No</v>
      </c>
      <c r="O34" s="118" t="str">
        <f>IFERROR(INDEX('Docketed Comments'!L:L,MATCH(A34,'Docketed Comments'!H:H,0)),"")</f>
        <v>No-MEP R3-47($453.80)</v>
      </c>
      <c r="P34" s="119">
        <f t="shared" si="0"/>
        <v>453.8</v>
      </c>
      <c r="Q34" s="60" t="s">
        <v>23</v>
      </c>
      <c r="R34" s="64" t="s">
        <v>24</v>
      </c>
      <c r="S34" s="64" t="s">
        <v>108</v>
      </c>
    </row>
    <row r="35" spans="1:19" ht="21.95" hidden="1" customHeight="1">
      <c r="A35" s="66" t="s">
        <v>109</v>
      </c>
      <c r="B35" s="64" t="s">
        <v>20</v>
      </c>
      <c r="C35" s="65">
        <v>46053</v>
      </c>
      <c r="D35" s="64" t="s">
        <v>21</v>
      </c>
      <c r="E35" s="64" t="s">
        <v>22</v>
      </c>
      <c r="F35" s="60"/>
      <c r="G35" s="60"/>
      <c r="H35" s="60" t="str">
        <f>IFERROR(INDEX('Docketed Comments'!C:C,MATCH(A35,'Docketed Comments'!H:H,0))&amp;", "&amp;INDEX('Docketed Comments'!B:B,MATCH(A35,'Docketed Comments'!H:H,0)),"")</f>
        <v>Shailey, Bergstrom</v>
      </c>
      <c r="I35" s="60" t="str">
        <f>IFERROR(INDEX('Docketed Comments'!D:D,MATCH(A35,'Docketed Comments'!H:H,0)),"")</f>
        <v>Phoenix</v>
      </c>
      <c r="J35" s="60" t="str">
        <f>IFERROR(INDEX('Docketed Comments'!I:I,MATCH(A35,'Docketed Comments'!H:H,0)),"")</f>
        <v>R-BASICL</v>
      </c>
      <c r="K35" s="60" t="str">
        <f t="shared" si="1"/>
        <v>❌ Not on Best Plan</v>
      </c>
      <c r="L35" s="60" t="str">
        <f>IFERROR(INDEX('Docketed Comments'!F:F,MATCH(A35,'Docketed Comments'!H:H,0)),"")</f>
        <v>Apt electric bill is as high as her parent home in Tucson</v>
      </c>
      <c r="M35" s="120" t="str">
        <f>IFERROR(INDEX('Docketed Comments'!G:G,MATCH(A35,'Docketed Comments'!H:H,0)),"")</f>
        <v>https://images.edocket.azcc.gov/docketpdf/E000046190.pdf</v>
      </c>
      <c r="N35" s="118" t="str">
        <f>IFERROR(INDEX('Docketed Comments'!N:N,MATCH(A35,'Docketed Comments'!H:H,0)),"")</f>
        <v>No</v>
      </c>
      <c r="O35" s="118" t="str">
        <f>IFERROR(INDEX('Docketed Comments'!L:L,MATCH(A35,'Docketed Comments'!H:H,0)),"")</f>
        <v>No MEP R-BASIC(170.69)</v>
      </c>
      <c r="P35" s="119">
        <f t="shared" si="0"/>
        <v>170.69</v>
      </c>
      <c r="Q35" s="60" t="s">
        <v>23</v>
      </c>
      <c r="R35" s="64" t="s">
        <v>24</v>
      </c>
      <c r="S35" s="64" t="s">
        <v>110</v>
      </c>
    </row>
    <row r="36" spans="1:19" ht="21.95" hidden="1" customHeight="1">
      <c r="A36" s="66" t="s">
        <v>111</v>
      </c>
      <c r="B36" s="64" t="s">
        <v>20</v>
      </c>
      <c r="C36" s="65">
        <v>46053</v>
      </c>
      <c r="D36" s="64" t="s">
        <v>21</v>
      </c>
      <c r="E36" s="64" t="s">
        <v>22</v>
      </c>
      <c r="F36" s="60" t="s">
        <v>112</v>
      </c>
      <c r="G36" s="60"/>
      <c r="H36" s="60" t="str">
        <f>IFERROR(INDEX('Docketed Comments'!C:C,MATCH(A36,'Docketed Comments'!H:H,0))&amp;", "&amp;INDEX('Docketed Comments'!B:B,MATCH(A36,'Docketed Comments'!H:H,0)),"")</f>
        <v>Richard, Rogers</v>
      </c>
      <c r="I36" s="60" t="str">
        <f>IFERROR(INDEX('Docketed Comments'!D:D,MATCH(A36,'Docketed Comments'!H:H,0)),"")</f>
        <v>Flagstaff</v>
      </c>
      <c r="J36" s="60" t="str">
        <f>IFERROR(INDEX('Docketed Comments'!I:I,MATCH(A36,'Docketed Comments'!H:H,0)),"")</f>
        <v>R-BASIC</v>
      </c>
      <c r="K36" s="60" t="str">
        <f t="shared" si="1"/>
        <v>❌ Not on Best Plan</v>
      </c>
      <c r="L36" s="60" t="str">
        <f>IFERROR(INDEX('Docketed Comments'!F:F,MATCH(A36,'Docketed Comments'!H:H,0)),"")</f>
        <v>Opposed</v>
      </c>
      <c r="M36" s="120" t="str">
        <f>IFERROR(INDEX('Docketed Comments'!G:G,MATCH(A36,'Docketed Comments'!H:H,0)),"")</f>
        <v>https://images.edocket.azcc.gov/docketpdf/E000046190.pdf</v>
      </c>
      <c r="N36" s="118" t="str">
        <f>IFERROR(INDEX('Docketed Comments'!N:N,MATCH(A36,'Docketed Comments'!H:H,0)),"")</f>
        <v>No</v>
      </c>
      <c r="O36" s="118" t="str">
        <f>IFERROR(INDEX('Docketed Comments'!L:L,MATCH(A36,'Docketed Comments'!H:H,0)),"")</f>
        <v>No Multiple SAs not on MEP</v>
      </c>
      <c r="P36" s="119">
        <f t="shared" si="0"/>
        <v>0</v>
      </c>
      <c r="Q36" s="60" t="s">
        <v>23</v>
      </c>
      <c r="R36" s="64" t="s">
        <v>24</v>
      </c>
      <c r="S36" s="64" t="s">
        <v>113</v>
      </c>
    </row>
    <row r="37" spans="1:19" ht="21.95" hidden="1" customHeight="1">
      <c r="A37" s="66" t="s">
        <v>114</v>
      </c>
      <c r="B37" s="64" t="s">
        <v>31</v>
      </c>
      <c r="C37" s="65">
        <v>46018</v>
      </c>
      <c r="D37" s="64" t="s">
        <v>27</v>
      </c>
      <c r="E37" s="64" t="s">
        <v>22</v>
      </c>
      <c r="F37" s="60"/>
      <c r="G37" s="60"/>
      <c r="H37" s="60" t="str">
        <f>IFERROR(INDEX('Docketed Comments'!C:C,MATCH(A37,'Docketed Comments'!H:H,0))&amp;", "&amp;INDEX('Docketed Comments'!B:B,MATCH(A37,'Docketed Comments'!H:H,0)),"")</f>
        <v>Francisco, Gutierrez</v>
      </c>
      <c r="I37" s="60" t="str">
        <f>IFERROR(INDEX('Docketed Comments'!D:D,MATCH(A37,'Docketed Comments'!H:H,0)),"")</f>
        <v>Yuma</v>
      </c>
      <c r="J37" s="60" t="str">
        <f>IFERROR(INDEX('Docketed Comments'!I:I,MATCH(A37,'Docketed Comments'!H:H,0)),"")</f>
        <v>RTOUE47</v>
      </c>
      <c r="K37" s="60" t="str">
        <f t="shared" si="1"/>
        <v>❌ Not on Best Plan</v>
      </c>
      <c r="L37" s="60" t="str">
        <f>IFERROR(INDEX('Docketed Comments'!F:F,MATCH(A37,'Docketed Comments'!H:H,0)),"")</f>
        <v>Form letter</v>
      </c>
      <c r="M37" s="120" t="str">
        <f>IFERROR(INDEX('Docketed Comments'!G:G,MATCH(A37,'Docketed Comments'!H:H,0)),"")</f>
        <v>https://images.edocket.azcc.gov/docketpdf/E000046190.pdf</v>
      </c>
      <c r="N37" s="118" t="str">
        <f>IFERROR(INDEX('Docketed Comments'!N:N,MATCH(A37,'Docketed Comments'!H:H,0)),"")</f>
        <v>No</v>
      </c>
      <c r="O37" s="118" t="str">
        <f>IFERROR(INDEX('Docketed Comments'!L:L,MATCH(A37,'Docketed Comments'!H:H,0)),"")</f>
        <v>No MEP R3-47($92.74)</v>
      </c>
      <c r="P37" s="119">
        <f t="shared" si="0"/>
        <v>92.74</v>
      </c>
      <c r="Q37" s="60" t="s">
        <v>23</v>
      </c>
      <c r="R37" s="64" t="s">
        <v>24</v>
      </c>
      <c r="S37" s="64" t="s">
        <v>115</v>
      </c>
    </row>
    <row r="38" spans="1:19" ht="21.95" hidden="1" customHeight="1">
      <c r="A38" s="66" t="s">
        <v>116</v>
      </c>
      <c r="B38" s="64" t="s">
        <v>20</v>
      </c>
      <c r="C38" s="65">
        <v>46032</v>
      </c>
      <c r="D38" s="64" t="s">
        <v>27</v>
      </c>
      <c r="E38" s="64" t="s">
        <v>35</v>
      </c>
      <c r="F38" s="60" t="s">
        <v>99</v>
      </c>
      <c r="G38" s="60"/>
      <c r="H38" s="60" t="str">
        <f>IFERROR(INDEX('Docketed Comments'!C:C,MATCH(A38,'Docketed Comments'!H:H,0))&amp;", "&amp;INDEX('Docketed Comments'!B:B,MATCH(A38,'Docketed Comments'!H:H,0)),"")</f>
        <v>Sangram, Mohapatra</v>
      </c>
      <c r="I38" s="60" t="str">
        <f>IFERROR(INDEX('Docketed Comments'!D:D,MATCH(A38,'Docketed Comments'!H:H,0)),"")</f>
        <v>Peoria</v>
      </c>
      <c r="J38" s="60" t="str">
        <f>IFERROR(INDEX('Docketed Comments'!I:I,MATCH(A38,'Docketed Comments'!H:H,0)),"")</f>
        <v>RTOUE47</v>
      </c>
      <c r="K38" s="60" t="str">
        <f t="shared" si="1"/>
        <v>❌ Not on Best Plan</v>
      </c>
      <c r="L38" s="60" t="str">
        <f>IFERROR(INDEX('Docketed Comments'!F:F,MATCH(A38,'Docketed Comments'!H:H,0)),"")</f>
        <v>Form letter</v>
      </c>
      <c r="M38" s="120" t="str">
        <f>IFERROR(INDEX('Docketed Comments'!G:G,MATCH(A38,'Docketed Comments'!H:H,0)),"")</f>
        <v>https://images.edocket.azcc.gov/docketpdf/E000046190.pdf</v>
      </c>
      <c r="N38" s="118" t="str">
        <f>IFERROR(INDEX('Docketed Comments'!N:N,MATCH(A38,'Docketed Comments'!H:H,0)),"")</f>
        <v>No</v>
      </c>
      <c r="O38" s="118" t="str">
        <f>IFERROR(INDEX('Docketed Comments'!L:L,MATCH(A38,'Docketed Comments'!H:H,0)),"")</f>
        <v>No MEP R3-47($197.05)</v>
      </c>
      <c r="P38" s="119">
        <f t="shared" si="0"/>
        <v>197.05</v>
      </c>
      <c r="Q38" s="60" t="s">
        <v>23</v>
      </c>
      <c r="R38" s="64" t="s">
        <v>24</v>
      </c>
      <c r="S38" s="64" t="s">
        <v>117</v>
      </c>
    </row>
    <row r="39" spans="1:19" ht="21.95" hidden="1" customHeight="1">
      <c r="A39" s="66" t="s">
        <v>118</v>
      </c>
      <c r="B39" s="64" t="s">
        <v>20</v>
      </c>
      <c r="C39" s="65">
        <v>46039</v>
      </c>
      <c r="D39" s="64" t="s">
        <v>21</v>
      </c>
      <c r="E39" s="64" t="s">
        <v>22</v>
      </c>
      <c r="F39" s="60" t="s">
        <v>99</v>
      </c>
      <c r="G39" s="60"/>
      <c r="H39" s="60" t="str">
        <f>IFERROR(INDEX('Docketed Comments'!C:C,MATCH(A39,'Docketed Comments'!H:H,0))&amp;", "&amp;INDEX('Docketed Comments'!B:B,MATCH(A39,'Docketed Comments'!H:H,0)),"")</f>
        <v xml:space="preserve">Tanooj Kumar Reddy, Gurram </v>
      </c>
      <c r="I39" s="60" t="str">
        <f>IFERROR(INDEX('Docketed Comments'!D:D,MATCH(A39,'Docketed Comments'!H:H,0)),"")</f>
        <v>Peoria</v>
      </c>
      <c r="J39" s="60" t="str">
        <f>IFERROR(INDEX('Docketed Comments'!I:I,MATCH(A39,'Docketed Comments'!H:H,0)),"")</f>
        <v>RTOUE47</v>
      </c>
      <c r="K39" s="60" t="str">
        <f t="shared" si="1"/>
        <v>❌ Not on Best Plan</v>
      </c>
      <c r="L39" s="60" t="str">
        <f>IFERROR(INDEX('Docketed Comments'!F:F,MATCH(A39,'Docketed Comments'!H:H,0)),"")</f>
        <v>Form letter</v>
      </c>
      <c r="M39" s="120" t="str">
        <f>IFERROR(INDEX('Docketed Comments'!G:G,MATCH(A39,'Docketed Comments'!H:H,0)),"")</f>
        <v>https://images.edocket.azcc.gov/docketpdf/E000046190.pdf</v>
      </c>
      <c r="N39" s="118" t="str">
        <f>IFERROR(INDEX('Docketed Comments'!N:N,MATCH(A39,'Docketed Comments'!H:H,0)),"")</f>
        <v>No</v>
      </c>
      <c r="O39" s="118" t="str">
        <f>IFERROR(INDEX('Docketed Comments'!L:L,MATCH(A39,'Docketed Comments'!H:H,0)),"")</f>
        <v>No MEP R3-47($194.29)</v>
      </c>
      <c r="P39" s="119">
        <f t="shared" si="0"/>
        <v>194.29</v>
      </c>
      <c r="Q39" s="60" t="s">
        <v>23</v>
      </c>
      <c r="R39" s="64" t="s">
        <v>24</v>
      </c>
      <c r="S39" s="64" t="s">
        <v>119</v>
      </c>
    </row>
    <row r="40" spans="1:19" ht="21.95" hidden="1" customHeight="1">
      <c r="A40" s="66" t="s">
        <v>120</v>
      </c>
      <c r="B40" s="64" t="s">
        <v>20</v>
      </c>
      <c r="C40" s="65">
        <v>46074</v>
      </c>
      <c r="D40" s="64" t="s">
        <v>27</v>
      </c>
      <c r="E40" s="64" t="s">
        <v>35</v>
      </c>
      <c r="F40" s="60"/>
      <c r="G40" s="60"/>
      <c r="H40" s="60" t="str">
        <f>IFERROR(INDEX('Docketed Comments'!C:C,MATCH(A40,'Docketed Comments'!H:H,0))&amp;", "&amp;INDEX('Docketed Comments'!B:B,MATCH(A40,'Docketed Comments'!H:H,0)),"")</f>
        <v>Kendell, Crowley</v>
      </c>
      <c r="I40" s="60" t="str">
        <f>IFERROR(INDEX('Docketed Comments'!D:D,MATCH(A40,'Docketed Comments'!H:H,0)),"")</f>
        <v>Phoenix</v>
      </c>
      <c r="J40" s="60" t="str">
        <f>IFERROR(INDEX('Docketed Comments'!I:I,MATCH(A40,'Docketed Comments'!H:H,0)),"")</f>
        <v>RTOUE47</v>
      </c>
      <c r="K40" s="60" t="str">
        <f t="shared" si="1"/>
        <v>⚠ N o MEP R-XS(136.68)</v>
      </c>
      <c r="L40" s="60" t="str">
        <f>IFERROR(INDEX('Docketed Comments'!F:F,MATCH(A40,'Docketed Comments'!H:H,0)),"")</f>
        <v>Form letter</v>
      </c>
      <c r="M40" s="120" t="str">
        <f>IFERROR(INDEX('Docketed Comments'!G:G,MATCH(A40,'Docketed Comments'!H:H,0)),"")</f>
        <v>https://images.edocket.azcc.gov/docketpdf/E000046190.pdf</v>
      </c>
      <c r="N40" s="118" t="str">
        <f>IFERROR(INDEX('Docketed Comments'!N:N,MATCH(A40,'Docketed Comments'!H:H,0)),"")</f>
        <v>No</v>
      </c>
      <c r="O40" s="118" t="str">
        <f>IFERROR(INDEX('Docketed Comments'!L:L,MATCH(A40,'Docketed Comments'!H:H,0)),"")</f>
        <v>N o MEP R-XS(136.68)</v>
      </c>
      <c r="P40" s="119">
        <f t="shared" si="0"/>
        <v>136.68</v>
      </c>
      <c r="Q40" s="60" t="s">
        <v>23</v>
      </c>
      <c r="R40" s="64" t="s">
        <v>24</v>
      </c>
      <c r="S40" s="64" t="s">
        <v>121</v>
      </c>
    </row>
    <row r="41" spans="1:19" ht="21.95" hidden="1" customHeight="1">
      <c r="A41" s="66" t="s">
        <v>122</v>
      </c>
      <c r="B41" s="64" t="s">
        <v>20</v>
      </c>
      <c r="C41" s="65">
        <v>46032</v>
      </c>
      <c r="D41" s="64" t="s">
        <v>21</v>
      </c>
      <c r="E41" s="64" t="s">
        <v>22</v>
      </c>
      <c r="F41" s="60" t="s">
        <v>99</v>
      </c>
      <c r="G41" s="60"/>
      <c r="H41" s="60" t="str">
        <f>IFERROR(INDEX('Docketed Comments'!C:C,MATCH(A41,'Docketed Comments'!H:H,0))&amp;", "&amp;INDEX('Docketed Comments'!B:B,MATCH(A41,'Docketed Comments'!H:H,0)),"")</f>
        <v>John, Schroeder</v>
      </c>
      <c r="I41" s="60" t="str">
        <f>IFERROR(INDEX('Docketed Comments'!D:D,MATCH(A41,'Docketed Comments'!H:H,0)),"")</f>
        <v>Goodyear</v>
      </c>
      <c r="J41" s="60" t="str">
        <f>IFERROR(INDEX('Docketed Comments'!I:I,MATCH(A41,'Docketed Comments'!H:H,0)),"")</f>
        <v>RTOUE47</v>
      </c>
      <c r="K41" s="60" t="str">
        <f t="shared" si="1"/>
        <v>❌ Not on Best Plan</v>
      </c>
      <c r="L41" s="60" t="str">
        <f>IFERROR(INDEX('Docketed Comments'!F:F,MATCH(A41,'Docketed Comments'!H:H,0)),"")</f>
        <v>People are suffering financially</v>
      </c>
      <c r="M41" s="120" t="str">
        <f>IFERROR(INDEX('Docketed Comments'!G:G,MATCH(A41,'Docketed Comments'!H:H,0)),"")</f>
        <v>https://images.edocket.azcc.gov/docketpdf/E000046190.pdf</v>
      </c>
      <c r="N41" s="118" t="str">
        <f>IFERROR(INDEX('Docketed Comments'!N:N,MATCH(A41,'Docketed Comments'!H:H,0)),"")</f>
        <v>No</v>
      </c>
      <c r="O41" s="118" t="str">
        <f>IFERROR(INDEX('Docketed Comments'!L:L,MATCH(A41,'Docketed Comments'!H:H,0)),"")</f>
        <v>No MEP R3-47 ($369.17)</v>
      </c>
      <c r="P41" s="119">
        <f t="shared" si="0"/>
        <v>369.17</v>
      </c>
      <c r="Q41" s="60" t="s">
        <v>23</v>
      </c>
      <c r="R41" s="64" t="s">
        <v>24</v>
      </c>
      <c r="S41" s="64" t="s">
        <v>123</v>
      </c>
    </row>
    <row r="42" spans="1:19" ht="21.95" hidden="1" customHeight="1">
      <c r="A42" s="66" t="s">
        <v>124</v>
      </c>
      <c r="B42" s="64" t="s">
        <v>20</v>
      </c>
      <c r="C42" s="65">
        <v>46018</v>
      </c>
      <c r="D42" s="64" t="s">
        <v>27</v>
      </c>
      <c r="E42" s="64" t="s">
        <v>22</v>
      </c>
      <c r="F42" s="60"/>
      <c r="G42" s="60"/>
      <c r="H42" s="60" t="str">
        <f>IFERROR(INDEX('Docketed Comments'!C:C,MATCH(A42,'Docketed Comments'!H:H,0))&amp;", "&amp;INDEX('Docketed Comments'!B:B,MATCH(A42,'Docketed Comments'!H:H,0)),"")</f>
        <v>Catherine, Messmer</v>
      </c>
      <c r="I42" s="60" t="str">
        <f>IFERROR(INDEX('Docketed Comments'!D:D,MATCH(A42,'Docketed Comments'!H:H,0)),"")</f>
        <v>Goodyear</v>
      </c>
      <c r="J42" s="60" t="str">
        <f>IFERROR(INDEX('Docketed Comments'!I:I,MATCH(A42,'Docketed Comments'!H:H,0)),"")</f>
        <v>RTOUE47</v>
      </c>
      <c r="K42" s="60" t="str">
        <f t="shared" si="1"/>
        <v>❌ Not on Best Plan</v>
      </c>
      <c r="L42" s="60" t="str">
        <f>IFERROR(INDEX('Docketed Comments'!F:F,MATCH(A42,'Docketed Comments'!H:H,0)),"")</f>
        <v>Widow on limited income</v>
      </c>
      <c r="M42" s="120" t="str">
        <f>IFERROR(INDEX('Docketed Comments'!G:G,MATCH(A42,'Docketed Comments'!H:H,0)),"")</f>
        <v>https://images.edocket.azcc.gov/docketpdf/E000046190.pdf</v>
      </c>
      <c r="N42" s="118" t="str">
        <f>IFERROR(INDEX('Docketed Comments'!N:N,MATCH(A42,'Docketed Comments'!H:H,0)),"")</f>
        <v>No</v>
      </c>
      <c r="O42" s="118" t="str">
        <f>IFERROR(INDEX('Docketed Comments'!L:L,MATCH(A42,'Docketed Comments'!H:H,0)),"")</f>
        <v>No MEP R3-47($87.48)</v>
      </c>
      <c r="P42" s="119">
        <f t="shared" si="0"/>
        <v>87.48</v>
      </c>
      <c r="Q42" s="60" t="s">
        <v>23</v>
      </c>
      <c r="R42" s="64" t="s">
        <v>24</v>
      </c>
      <c r="S42" s="64" t="s">
        <v>125</v>
      </c>
    </row>
    <row r="43" spans="1:19" ht="21.95" hidden="1" customHeight="1">
      <c r="A43" s="66" t="s">
        <v>126</v>
      </c>
      <c r="B43" s="64" t="s">
        <v>20</v>
      </c>
      <c r="C43" s="65">
        <v>46025</v>
      </c>
      <c r="D43" s="64" t="s">
        <v>21</v>
      </c>
      <c r="E43" s="64" t="s">
        <v>22</v>
      </c>
      <c r="F43" s="60"/>
      <c r="G43" s="60"/>
      <c r="H43" s="60" t="str">
        <f>IFERROR(INDEX('Docketed Comments'!C:C,MATCH(A43,'Docketed Comments'!H:H,0))&amp;", "&amp;INDEX('Docketed Comments'!B:B,MATCH(A43,'Docketed Comments'!H:H,0)),"")</f>
        <v>Vinay, Pranesh</v>
      </c>
      <c r="I43" s="60" t="str">
        <f>IFERROR(INDEX('Docketed Comments'!D:D,MATCH(A43,'Docketed Comments'!H:H,0)),"")</f>
        <v>Peoria</v>
      </c>
      <c r="J43" s="60" t="str">
        <f>IFERROR(INDEX('Docketed Comments'!I:I,MATCH(A43,'Docketed Comments'!H:H,0)),"")</f>
        <v>R3-47</v>
      </c>
      <c r="K43" s="60" t="str">
        <f t="shared" si="1"/>
        <v>❌ Not on Best Plan</v>
      </c>
      <c r="L43" s="60" t="str">
        <f>IFERROR(INDEX('Docketed Comments'!F:F,MATCH(A43,'Docketed Comments'!H:H,0)),"")</f>
        <v>Form letter</v>
      </c>
      <c r="M43" s="120" t="str">
        <f>IFERROR(INDEX('Docketed Comments'!G:G,MATCH(A43,'Docketed Comments'!H:H,0)),"")</f>
        <v>https://images.edocket.azcc.gov/docketpdf/E000046190.pdf</v>
      </c>
      <c r="N43" s="118" t="str">
        <f>IFERROR(INDEX('Docketed Comments'!N:N,MATCH(A43,'Docketed Comments'!H:H,0)),"")</f>
        <v>No</v>
      </c>
      <c r="O43" s="118" t="str">
        <f>IFERROR(INDEX('Docketed Comments'!L:L,MATCH(A43,'Docketed Comments'!H:H,0)),"")</f>
        <v>No MEP R-BASIC ($95.94)</v>
      </c>
      <c r="P43" s="119">
        <f t="shared" si="0"/>
        <v>95.94</v>
      </c>
      <c r="Q43" s="60" t="s">
        <v>23</v>
      </c>
      <c r="R43" s="64" t="s">
        <v>24</v>
      </c>
      <c r="S43" s="64" t="s">
        <v>127</v>
      </c>
    </row>
    <row r="44" spans="1:19" ht="21.95" hidden="1" customHeight="1">
      <c r="A44" s="66" t="s">
        <v>128</v>
      </c>
      <c r="B44" s="64" t="s">
        <v>31</v>
      </c>
      <c r="C44" s="65">
        <v>46053</v>
      </c>
      <c r="D44" s="64" t="s">
        <v>27</v>
      </c>
      <c r="E44" s="64" t="s">
        <v>35</v>
      </c>
      <c r="F44" s="60" t="s">
        <v>99</v>
      </c>
      <c r="G44" s="60"/>
      <c r="H44" s="60" t="str">
        <f>IFERROR(INDEX('Docketed Comments'!C:C,MATCH(A44,'Docketed Comments'!H:H,0))&amp;", "&amp;INDEX('Docketed Comments'!B:B,MATCH(A44,'Docketed Comments'!H:H,0)),"")</f>
        <v>Vasu, Kukkapalli</v>
      </c>
      <c r="I44" s="60" t="str">
        <f>IFERROR(INDEX('Docketed Comments'!D:D,MATCH(A44,'Docketed Comments'!H:H,0)),"")</f>
        <v>Phoenix</v>
      </c>
      <c r="J44" s="60" t="str">
        <f>IFERROR(INDEX('Docketed Comments'!I:I,MATCH(A44,'Docketed Comments'!H:H,0)),"")</f>
        <v>RCPw/R3-47</v>
      </c>
      <c r="K44" s="60" t="str">
        <f t="shared" si="1"/>
        <v>⚠ N MEP TOU-E ($165.17)</v>
      </c>
      <c r="L44" s="60" t="str">
        <f>IFERROR(INDEX('Docketed Comments'!F:F,MATCH(A44,'Docketed Comments'!H:H,0)),"")</f>
        <v>Opposed</v>
      </c>
      <c r="M44" s="120" t="str">
        <f>IFERROR(INDEX('Docketed Comments'!G:G,MATCH(A44,'Docketed Comments'!H:H,0)),"")</f>
        <v>https://images.edocket.azcc.gov/docketpdf/E000046204.pdf</v>
      </c>
      <c r="N44" s="118" t="str">
        <f>IFERROR(INDEX('Docketed Comments'!N:N,MATCH(A44,'Docketed Comments'!H:H,0)),"")</f>
        <v>No</v>
      </c>
      <c r="O44" s="118" t="str">
        <f>IFERROR(INDEX('Docketed Comments'!L:L,MATCH(A44,'Docketed Comments'!H:H,0)),"")</f>
        <v>N MEP TOU-E ($165.17)</v>
      </c>
      <c r="P44" s="119">
        <f t="shared" si="0"/>
        <v>165.17</v>
      </c>
      <c r="Q44" s="60" t="s">
        <v>23</v>
      </c>
      <c r="R44" s="64" t="s">
        <v>24</v>
      </c>
      <c r="S44" s="64" t="s">
        <v>129</v>
      </c>
    </row>
    <row r="45" spans="1:19" ht="21.95" hidden="1" customHeight="1">
      <c r="A45" s="66" t="s">
        <v>130</v>
      </c>
      <c r="B45" s="64" t="s">
        <v>31</v>
      </c>
      <c r="C45" s="65">
        <v>46053</v>
      </c>
      <c r="D45" s="64" t="s">
        <v>27</v>
      </c>
      <c r="E45" s="64" t="s">
        <v>35</v>
      </c>
      <c r="F45" s="60" t="s">
        <v>131</v>
      </c>
      <c r="G45" s="60"/>
      <c r="H45" s="60" t="str">
        <f>IFERROR(INDEX('Docketed Comments'!C:C,MATCH(A45,'Docketed Comments'!H:H,0))&amp;", "&amp;INDEX('Docketed Comments'!B:B,MATCH(A45,'Docketed Comments'!H:H,0)),"")</f>
        <v>Srinivasa, Gottipati</v>
      </c>
      <c r="I45" s="60" t="str">
        <f>IFERROR(INDEX('Docketed Comments'!D:D,MATCH(A45,'Docketed Comments'!H:H,0)),"")</f>
        <v>Peoria</v>
      </c>
      <c r="J45" s="60" t="str">
        <f>IFERROR(INDEX('Docketed Comments'!I:I,MATCH(A45,'Docketed Comments'!H:H,0)),"")</f>
        <v>REV47</v>
      </c>
      <c r="K45" s="60" t="str">
        <f t="shared" si="1"/>
        <v>❌ Not on Best Plan</v>
      </c>
      <c r="L45" s="60" t="str">
        <f>IFERROR(INDEX('Docketed Comments'!F:F,MATCH(A45,'Docketed Comments'!H:H,0)),"")</f>
        <v>Opposed</v>
      </c>
      <c r="M45" s="120" t="str">
        <f>IFERROR(INDEX('Docketed Comments'!G:G,MATCH(A45,'Docketed Comments'!H:H,0)),"")</f>
        <v>https://images.edocket.azcc.gov/docketpdf/E000046204.pdf</v>
      </c>
      <c r="N45" s="118" t="str">
        <f>IFERROR(INDEX('Docketed Comments'!N:N,MATCH(A45,'Docketed Comments'!H:H,0)),"")</f>
        <v>No</v>
      </c>
      <c r="O45" s="118" t="str">
        <f>IFERROR(INDEX('Docketed Comments'!L:L,MATCH(A45,'Docketed Comments'!H:H,0)),"")</f>
        <v>No MEP R3-47 ($295.59)</v>
      </c>
      <c r="P45" s="119">
        <f t="shared" si="0"/>
        <v>295.58999999999997</v>
      </c>
      <c r="Q45" s="60" t="s">
        <v>23</v>
      </c>
      <c r="R45" s="64" t="s">
        <v>24</v>
      </c>
      <c r="S45" s="64" t="s">
        <v>132</v>
      </c>
    </row>
    <row r="46" spans="1:19" ht="21.95" hidden="1" customHeight="1">
      <c r="A46" s="66" t="s">
        <v>133</v>
      </c>
      <c r="B46" s="64" t="s">
        <v>31</v>
      </c>
      <c r="C46" s="65">
        <v>46060</v>
      </c>
      <c r="D46" s="64" t="s">
        <v>27</v>
      </c>
      <c r="E46" s="64" t="s">
        <v>22</v>
      </c>
      <c r="F46" s="60" t="s">
        <v>99</v>
      </c>
      <c r="G46" s="60"/>
      <c r="H46" s="60" t="str">
        <f>IFERROR(INDEX('Docketed Comments'!C:C,MATCH(A46,'Docketed Comments'!H:H,0))&amp;", "&amp;INDEX('Docketed Comments'!B:B,MATCH(A46,'Docketed Comments'!H:H,0)),"")</f>
        <v>Balaji, Kuppuswamy</v>
      </c>
      <c r="I46" s="60" t="str">
        <f>IFERROR(INDEX('Docketed Comments'!D:D,MATCH(A46,'Docketed Comments'!H:H,0)),"")</f>
        <v>Peoria</v>
      </c>
      <c r="J46" s="60" t="str">
        <f>IFERROR(INDEX('Docketed Comments'!I:I,MATCH(A46,'Docketed Comments'!H:H,0)),"")</f>
        <v>REV47</v>
      </c>
      <c r="K46" s="60" t="str">
        <f t="shared" si="1"/>
        <v>❌ Not on Best Plan</v>
      </c>
      <c r="L46" s="60" t="str">
        <f>IFERROR(INDEX('Docketed Comments'!F:F,MATCH(A46,'Docketed Comments'!H:H,0)),"")</f>
        <v>Form letter</v>
      </c>
      <c r="M46" s="120" t="str">
        <f>IFERROR(INDEX('Docketed Comments'!G:G,MATCH(A46,'Docketed Comments'!H:H,0)),"")</f>
        <v>https://images.edocket.azcc.gov/docketpdf/E000046204.pdf</v>
      </c>
      <c r="N46" s="118" t="str">
        <f>IFERROR(INDEX('Docketed Comments'!N:N,MATCH(A46,'Docketed Comments'!H:H,0)),"")</f>
        <v>No</v>
      </c>
      <c r="O46" s="118" t="str">
        <f>IFERROR(INDEX('Docketed Comments'!L:L,MATCH(A46,'Docketed Comments'!H:H,0)),"")</f>
        <v>Not available yet</v>
      </c>
      <c r="P46" s="119">
        <f t="shared" si="0"/>
        <v>0</v>
      </c>
      <c r="Q46" s="60" t="s">
        <v>23</v>
      </c>
      <c r="R46" s="64" t="s">
        <v>24</v>
      </c>
      <c r="S46" s="64" t="s">
        <v>134</v>
      </c>
    </row>
    <row r="47" spans="1:19" ht="21.95" hidden="1" customHeight="1">
      <c r="A47" s="66" t="s">
        <v>135</v>
      </c>
      <c r="B47" s="64" t="s">
        <v>20</v>
      </c>
      <c r="C47" s="65">
        <v>46039</v>
      </c>
      <c r="D47" s="64" t="s">
        <v>21</v>
      </c>
      <c r="E47" s="64" t="s">
        <v>22</v>
      </c>
      <c r="F47" s="60"/>
      <c r="G47" s="60"/>
      <c r="H47" s="60" t="str">
        <f>IFERROR(INDEX('Docketed Comments'!C:C,MATCH(A47,'Docketed Comments'!H:H,0))&amp;", "&amp;INDEX('Docketed Comments'!B:B,MATCH(A47,'Docketed Comments'!H:H,0)),"")</f>
        <v>Chris, Ziller</v>
      </c>
      <c r="I47" s="60" t="str">
        <f>IFERROR(INDEX('Docketed Comments'!D:D,MATCH(A47,'Docketed Comments'!H:H,0)),"")</f>
        <v>Phoenix</v>
      </c>
      <c r="J47" s="60" t="str">
        <f>IFERROR(INDEX('Docketed Comments'!I:I,MATCH(A47,'Docketed Comments'!H:H,0)),"")</f>
        <v>RTOUE47</v>
      </c>
      <c r="K47" s="60" t="str">
        <f t="shared" si="1"/>
        <v>❌ Not on Best Plan</v>
      </c>
      <c r="L47" s="60" t="str">
        <f>IFERROR(INDEX('Docketed Comments'!F:F,MATCH(A47,'Docketed Comments'!H:H,0)),"")</f>
        <v>Form letter</v>
      </c>
      <c r="M47" s="120" t="str">
        <f>IFERROR(INDEX('Docketed Comments'!G:G,MATCH(A47,'Docketed Comments'!H:H,0)),"")</f>
        <v>https://images.edocket.azcc.gov/docketpdf/E000046204.pdf</v>
      </c>
      <c r="N47" s="118" t="str">
        <f>IFERROR(INDEX('Docketed Comments'!N:N,MATCH(A47,'Docketed Comments'!H:H,0)),"")</f>
        <v>No</v>
      </c>
      <c r="O47" s="118" t="str">
        <f>IFERROR(INDEX('Docketed Comments'!L:L,MATCH(A47,'Docketed Comments'!H:H,0)),"")</f>
        <v>No MEP R3-47 ($90.87)</v>
      </c>
      <c r="P47" s="119">
        <f t="shared" si="0"/>
        <v>90.87</v>
      </c>
      <c r="Q47" s="60" t="s">
        <v>23</v>
      </c>
      <c r="R47" s="64" t="s">
        <v>24</v>
      </c>
      <c r="S47" s="64" t="s">
        <v>136</v>
      </c>
    </row>
    <row r="48" spans="1:19" ht="21.95" hidden="1" customHeight="1">
      <c r="A48" s="66" t="s">
        <v>137</v>
      </c>
      <c r="B48" s="64" t="s">
        <v>20</v>
      </c>
      <c r="C48" s="65">
        <v>46039</v>
      </c>
      <c r="D48" s="64" t="s">
        <v>21</v>
      </c>
      <c r="E48" s="64" t="s">
        <v>22</v>
      </c>
      <c r="F48" s="60"/>
      <c r="G48" s="60"/>
      <c r="H48" s="60" t="str">
        <f>IFERROR(INDEX('Docketed Comments'!C:C,MATCH(A48,'Docketed Comments'!H:H,0))&amp;", "&amp;INDEX('Docketed Comments'!B:B,MATCH(A48,'Docketed Comments'!H:H,0)),"")</f>
        <v>Kelsey, Arrowsmith</v>
      </c>
      <c r="I48" s="60" t="str">
        <f>IFERROR(INDEX('Docketed Comments'!D:D,MATCH(A48,'Docketed Comments'!H:H,0)),"")</f>
        <v>Phoenix</v>
      </c>
      <c r="J48" s="60" t="str">
        <f>IFERROR(INDEX('Docketed Comments'!I:I,MATCH(A48,'Docketed Comments'!H:H,0)),"")</f>
        <v>RTOUE47</v>
      </c>
      <c r="K48" s="60" t="str">
        <f t="shared" si="1"/>
        <v>❌ Not on Best Plan</v>
      </c>
      <c r="L48" s="60" t="str">
        <f>IFERROR(INDEX('Docketed Comments'!F:F,MATCH(A48,'Docketed Comments'!H:H,0)),"")</f>
        <v>Form letter</v>
      </c>
      <c r="M48" s="120" t="str">
        <f>IFERROR(INDEX('Docketed Comments'!G:G,MATCH(A48,'Docketed Comments'!H:H,0)),"")</f>
        <v>https://images.edocket.azcc.gov/docketpdf/E000046204.pdf</v>
      </c>
      <c r="N48" s="118" t="str">
        <f>IFERROR(INDEX('Docketed Comments'!N:N,MATCH(A48,'Docketed Comments'!H:H,0)),"")</f>
        <v>No</v>
      </c>
      <c r="O48" s="118" t="str">
        <f>IFERROR(INDEX('Docketed Comments'!L:L,MATCH(A48,'Docketed Comments'!H:H,0)),"")</f>
        <v>No MEP R3-47 ($701.02)</v>
      </c>
      <c r="P48" s="119">
        <f t="shared" si="0"/>
        <v>701.02</v>
      </c>
      <c r="Q48" s="60" t="s">
        <v>23</v>
      </c>
      <c r="R48" s="64" t="s">
        <v>24</v>
      </c>
      <c r="S48" s="64" t="s">
        <v>138</v>
      </c>
    </row>
    <row r="49" spans="1:19" ht="21.95" hidden="1" customHeight="1">
      <c r="A49" s="66" t="s">
        <v>139</v>
      </c>
      <c r="B49" s="64" t="s">
        <v>20</v>
      </c>
      <c r="C49" s="65">
        <v>46039</v>
      </c>
      <c r="D49" s="64" t="s">
        <v>21</v>
      </c>
      <c r="E49" s="64" t="s">
        <v>22</v>
      </c>
      <c r="F49" s="60"/>
      <c r="G49" s="60"/>
      <c r="H49" s="60" t="str">
        <f>IFERROR(INDEX('Docketed Comments'!C:C,MATCH(A49,'Docketed Comments'!H:H,0))&amp;", "&amp;INDEX('Docketed Comments'!B:B,MATCH(A49,'Docketed Comments'!H:H,0)),"")</f>
        <v>Ammara, Ahmad</v>
      </c>
      <c r="I49" s="60" t="str">
        <f>IFERROR(INDEX('Docketed Comments'!D:D,MATCH(A49,'Docketed Comments'!H:H,0)),"")</f>
        <v>Goodyear</v>
      </c>
      <c r="J49" s="60" t="str">
        <f>IFERROR(INDEX('Docketed Comments'!I:I,MATCH(A49,'Docketed Comments'!H:H,0)),"")</f>
        <v>R-BASIC</v>
      </c>
      <c r="K49" s="60" t="str">
        <f t="shared" si="1"/>
        <v>❌ Not on Best Plan</v>
      </c>
      <c r="L49" s="60" t="str">
        <f>IFERROR(INDEX('Docketed Comments'!F:F,MATCH(A49,'Docketed Comments'!H:H,0)),"")</f>
        <v>Opposed</v>
      </c>
      <c r="M49" s="120" t="str">
        <f>IFERROR(INDEX('Docketed Comments'!G:G,MATCH(A49,'Docketed Comments'!H:H,0)),"")</f>
        <v>https://images.edocket.azcc.gov/docketpdf/E000046204.pdf</v>
      </c>
      <c r="N49" s="118" t="str">
        <f>IFERROR(INDEX('Docketed Comments'!N:N,MATCH(A49,'Docketed Comments'!H:H,0)),"")</f>
        <v>No</v>
      </c>
      <c r="O49" s="118" t="str">
        <f>IFERROR(INDEX('Docketed Comments'!L:L,MATCH(A49,'Docketed Comments'!H:H,0)),"")</f>
        <v>No MEP R3-47 ($55.98)</v>
      </c>
      <c r="P49" s="119">
        <f t="shared" si="0"/>
        <v>55.98</v>
      </c>
      <c r="Q49" s="60" t="s">
        <v>23</v>
      </c>
      <c r="R49" s="64" t="s">
        <v>24</v>
      </c>
      <c r="S49" s="64" t="s">
        <v>140</v>
      </c>
    </row>
    <row r="50" spans="1:19" ht="21.95" hidden="1" customHeight="1">
      <c r="A50" s="66" t="s">
        <v>141</v>
      </c>
      <c r="B50" s="64" t="s">
        <v>20</v>
      </c>
      <c r="C50" s="65">
        <v>46039</v>
      </c>
      <c r="D50" s="64" t="s">
        <v>21</v>
      </c>
      <c r="E50" s="64" t="s">
        <v>22</v>
      </c>
      <c r="F50" s="60"/>
      <c r="G50" s="60"/>
      <c r="H50" s="60" t="str">
        <f>IFERROR(INDEX('Docketed Comments'!C:C,MATCH(A50,'Docketed Comments'!H:H,0))&amp;", "&amp;INDEX('Docketed Comments'!B:B,MATCH(A50,'Docketed Comments'!H:H,0)),"")</f>
        <v>Phillip, Rauschkolb</v>
      </c>
      <c r="I50" s="60" t="str">
        <f>IFERROR(INDEX('Docketed Comments'!D:D,MATCH(A50,'Docketed Comments'!H:H,0)),"")</f>
        <v>Goodyear</v>
      </c>
      <c r="J50" s="60" t="str">
        <f>IFERROR(INDEX('Docketed Comments'!I:I,MATCH(A50,'Docketed Comments'!H:H,0)),"")</f>
        <v>R-BASICL</v>
      </c>
      <c r="K50" s="60" t="str">
        <f t="shared" si="1"/>
        <v>❌ Not on Best Plan</v>
      </c>
      <c r="L50" s="60" t="str">
        <f>IFERROR(INDEX('Docketed Comments'!F:F,MATCH(A50,'Docketed Comments'!H:H,0)),"")</f>
        <v>Form letter</v>
      </c>
      <c r="M50" s="120" t="str">
        <f>IFERROR(INDEX('Docketed Comments'!G:G,MATCH(A50,'Docketed Comments'!H:H,0)),"")</f>
        <v>https://images.edocket.azcc.gov/docketpdf/E000046204.pdf</v>
      </c>
      <c r="N50" s="118" t="str">
        <f>IFERROR(INDEX('Docketed Comments'!N:N,MATCH(A50,'Docketed Comments'!H:H,0)),"")</f>
        <v>No</v>
      </c>
      <c r="O50" s="118" t="str">
        <f>IFERROR(INDEX('Docketed Comments'!L:L,MATCH(A50,'Docketed Comments'!H:H,0)),"")</f>
        <v>No MEP R3-47 ($30.33)</v>
      </c>
      <c r="P50" s="119">
        <f t="shared" si="0"/>
        <v>30.33</v>
      </c>
      <c r="Q50" s="60" t="s">
        <v>23</v>
      </c>
      <c r="R50" s="64" t="s">
        <v>24</v>
      </c>
      <c r="S50" s="64" t="s">
        <v>142</v>
      </c>
    </row>
    <row r="51" spans="1:19" ht="21.95" hidden="1" customHeight="1">
      <c r="A51" s="66" t="s">
        <v>143</v>
      </c>
      <c r="B51" s="64" t="s">
        <v>31</v>
      </c>
      <c r="C51" s="65">
        <v>46060</v>
      </c>
      <c r="D51" s="64" t="s">
        <v>21</v>
      </c>
      <c r="E51" s="64" t="s">
        <v>22</v>
      </c>
      <c r="F51" s="60"/>
      <c r="G51" s="60"/>
      <c r="H51" s="60" t="str">
        <f>IFERROR(INDEX('Docketed Comments'!C:C,MATCH(A51,'Docketed Comments'!H:H,0))&amp;", "&amp;INDEX('Docketed Comments'!B:B,MATCH(A51,'Docketed Comments'!H:H,0)),"")</f>
        <v>Mary, Arpaia</v>
      </c>
      <c r="I51" s="60" t="str">
        <f>IFERROR(INDEX('Docketed Comments'!D:D,MATCH(A51,'Docketed Comments'!H:H,0)),"")</f>
        <v>Avondale</v>
      </c>
      <c r="J51" s="60" t="str">
        <f>IFERROR(INDEX('Docketed Comments'!I:I,MATCH(A51,'Docketed Comments'!H:H,0)),"")</f>
        <v>R-BASIC</v>
      </c>
      <c r="K51" s="60" t="str">
        <f t="shared" si="1"/>
        <v>❌ Not on Best Plan</v>
      </c>
      <c r="L51" s="60" t="str">
        <f>IFERROR(INDEX('Docketed Comments'!F:F,MATCH(A51,'Docketed Comments'!H:H,0)),"")</f>
        <v>Opposed</v>
      </c>
      <c r="M51" s="120" t="str">
        <f>IFERROR(INDEX('Docketed Comments'!G:G,MATCH(A51,'Docketed Comments'!H:H,0)),"")</f>
        <v>https://images.edocket.azcc.gov/docketpdf/E000046204.pdf</v>
      </c>
      <c r="N51" s="118" t="str">
        <f>IFERROR(INDEX('Docketed Comments'!N:N,MATCH(A51,'Docketed Comments'!H:H,0)),"")</f>
        <v>No</v>
      </c>
      <c r="O51" s="118" t="str">
        <f>IFERROR(INDEX('Docketed Comments'!L:L,MATCH(A51,'Docketed Comments'!H:H,0)),"")</f>
        <v>No MEP R3-47 ($165.42)</v>
      </c>
      <c r="P51" s="119">
        <f t="shared" si="0"/>
        <v>165.42</v>
      </c>
      <c r="Q51" s="60" t="s">
        <v>23</v>
      </c>
      <c r="R51" s="64" t="s">
        <v>24</v>
      </c>
      <c r="S51" s="64" t="s">
        <v>144</v>
      </c>
    </row>
    <row r="52" spans="1:19" ht="21.95" hidden="1" customHeight="1">
      <c r="A52" s="66" t="s">
        <v>145</v>
      </c>
      <c r="B52" s="64" t="s">
        <v>20</v>
      </c>
      <c r="C52" s="65">
        <v>46039</v>
      </c>
      <c r="D52" s="64" t="s">
        <v>27</v>
      </c>
      <c r="E52" s="64" t="s">
        <v>35</v>
      </c>
      <c r="F52" s="60"/>
      <c r="G52" s="60"/>
      <c r="H52" s="60" t="str">
        <f>IFERROR(INDEX('Docketed Comments'!C:C,MATCH(A52,'Docketed Comments'!H:H,0))&amp;", "&amp;INDEX('Docketed Comments'!B:B,MATCH(A52,'Docketed Comments'!H:H,0)),"")</f>
        <v>Mohan, Erra</v>
      </c>
      <c r="I52" s="60" t="str">
        <f>IFERROR(INDEX('Docketed Comments'!D:D,MATCH(A52,'Docketed Comments'!H:H,0)),"")</f>
        <v>Peoria</v>
      </c>
      <c r="J52" s="60" t="str">
        <f>IFERROR(INDEX('Docketed Comments'!I:I,MATCH(A52,'Docketed Comments'!H:H,0)),"")</f>
        <v>RTOUE47</v>
      </c>
      <c r="K52" s="60" t="str">
        <f t="shared" si="1"/>
        <v>❌ Not on Best Plan</v>
      </c>
      <c r="L52" s="60" t="str">
        <f>IFERROR(INDEX('Docketed Comments'!F:F,MATCH(A52,'Docketed Comments'!H:H,0)),"")</f>
        <v>Form letter</v>
      </c>
      <c r="M52" s="120" t="str">
        <f>IFERROR(INDEX('Docketed Comments'!G:G,MATCH(A52,'Docketed Comments'!H:H,0)),"")</f>
        <v>https://images.edocket.azcc.gov/docketpdf/E000046204.pdf</v>
      </c>
      <c r="N52" s="118" t="str">
        <f>IFERROR(INDEX('Docketed Comments'!N:N,MATCH(A52,'Docketed Comments'!H:H,0)),"")</f>
        <v>No</v>
      </c>
      <c r="O52" s="118" t="str">
        <f>IFERROR(INDEX('Docketed Comments'!L:L,MATCH(A52,'Docketed Comments'!H:H,0)),"")</f>
        <v>No MEP R3-47 ($86.44)</v>
      </c>
      <c r="P52" s="119">
        <f t="shared" si="0"/>
        <v>86.44</v>
      </c>
      <c r="Q52" s="60" t="s">
        <v>23</v>
      </c>
      <c r="R52" s="64" t="s">
        <v>24</v>
      </c>
      <c r="S52" s="64" t="s">
        <v>146</v>
      </c>
    </row>
    <row r="53" spans="1:19" ht="21.95" hidden="1" customHeight="1">
      <c r="A53" s="66" t="s">
        <v>147</v>
      </c>
      <c r="B53" s="64" t="s">
        <v>20</v>
      </c>
      <c r="C53" s="65">
        <v>46060</v>
      </c>
      <c r="D53" s="64" t="s">
        <v>21</v>
      </c>
      <c r="E53" s="64" t="s">
        <v>22</v>
      </c>
      <c r="F53" s="60"/>
      <c r="G53" s="60"/>
      <c r="H53" s="60" t="str">
        <f>IFERROR(INDEX('Docketed Comments'!C:C,MATCH(A53,'Docketed Comments'!H:H,0))&amp;", "&amp;INDEX('Docketed Comments'!B:B,MATCH(A53,'Docketed Comments'!H:H,0)),"")</f>
        <v>Sarah, Underwood</v>
      </c>
      <c r="I53" s="60" t="str">
        <f>IFERROR(INDEX('Docketed Comments'!D:D,MATCH(A53,'Docketed Comments'!H:H,0)),"")</f>
        <v>Litchfield Park</v>
      </c>
      <c r="J53" s="60" t="str">
        <f>IFERROR(INDEX('Docketed Comments'!I:I,MATCH(A53,'Docketed Comments'!H:H,0)),"")</f>
        <v>R-BASICL</v>
      </c>
      <c r="K53" s="60" t="str">
        <f t="shared" si="1"/>
        <v>❌ Not on Best Plan</v>
      </c>
      <c r="L53" s="60" t="str">
        <f>IFERROR(INDEX('Docketed Comments'!F:F,MATCH(A53,'Docketed Comments'!H:H,0)),"")</f>
        <v>Opposed</v>
      </c>
      <c r="M53" s="120" t="str">
        <f>IFERROR(INDEX('Docketed Comments'!G:G,MATCH(A53,'Docketed Comments'!H:H,0)),"")</f>
        <v>https://images.edocket.azcc.gov/docketpdf/E000046204.pdf</v>
      </c>
      <c r="N53" s="118" t="str">
        <f>IFERROR(INDEX('Docketed Comments'!N:N,MATCH(A53,'Docketed Comments'!H:H,0)),"")</f>
        <v>No</v>
      </c>
      <c r="O53" s="118" t="str">
        <f>IFERROR(INDEX('Docketed Comments'!L:L,MATCH(A53,'Docketed Comments'!H:H,0)),"")</f>
        <v>No MEP R3-47 ($159.25)</v>
      </c>
      <c r="P53" s="119">
        <f t="shared" si="0"/>
        <v>159.25</v>
      </c>
      <c r="Q53" s="60" t="s">
        <v>23</v>
      </c>
      <c r="R53" s="64" t="s">
        <v>24</v>
      </c>
      <c r="S53" s="64" t="s">
        <v>148</v>
      </c>
    </row>
    <row r="54" spans="1:19" ht="21.95" hidden="1" customHeight="1">
      <c r="A54" s="66" t="s">
        <v>149</v>
      </c>
      <c r="B54" s="64" t="s">
        <v>20</v>
      </c>
      <c r="C54" s="65">
        <v>46046</v>
      </c>
      <c r="D54" s="64" t="s">
        <v>21</v>
      </c>
      <c r="E54" s="64" t="s">
        <v>22</v>
      </c>
      <c r="F54" s="60"/>
      <c r="G54" s="60"/>
      <c r="H54" s="60" t="str">
        <f>IFERROR(INDEX('Docketed Comments'!C:C,MATCH(A54,'Docketed Comments'!H:H,0))&amp;", "&amp;INDEX('Docketed Comments'!B:B,MATCH(A54,'Docketed Comments'!H:H,0)),"")</f>
        <v>JoVon, Cuadras</v>
      </c>
      <c r="I54" s="60" t="str">
        <f>IFERROR(INDEX('Docketed Comments'!D:D,MATCH(A54,'Docketed Comments'!H:H,0)),"")</f>
        <v>Phoenix</v>
      </c>
      <c r="J54" s="60" t="str">
        <f>IFERROR(INDEX('Docketed Comments'!I:I,MATCH(A54,'Docketed Comments'!H:H,0)),"")</f>
        <v>RTOUE47</v>
      </c>
      <c r="K54" s="60" t="str">
        <f t="shared" si="1"/>
        <v>❌ Not on Best Plan</v>
      </c>
      <c r="L54" s="60" t="str">
        <f>IFERROR(INDEX('Docketed Comments'!F:F,MATCH(A54,'Docketed Comments'!H:H,0)),"")</f>
        <v>Form letter</v>
      </c>
      <c r="M54" s="120" t="str">
        <f>IFERROR(INDEX('Docketed Comments'!G:G,MATCH(A54,'Docketed Comments'!H:H,0)),"")</f>
        <v>https://images.edocket.azcc.gov/docketpdf/E000046204.pdf</v>
      </c>
      <c r="N54" s="118" t="str">
        <f>IFERROR(INDEX('Docketed Comments'!N:N,MATCH(A54,'Docketed Comments'!H:H,0)),"")</f>
        <v>No</v>
      </c>
      <c r="O54" s="118" t="str">
        <f>IFERROR(INDEX('Docketed Comments'!L:L,MATCH(A54,'Docketed Comments'!H:H,0)),"")</f>
        <v>No MEP R3-47 ($348.67)</v>
      </c>
      <c r="P54" s="119">
        <f t="shared" si="0"/>
        <v>348.67</v>
      </c>
      <c r="Q54" s="60" t="s">
        <v>23</v>
      </c>
      <c r="R54" s="64" t="s">
        <v>24</v>
      </c>
      <c r="S54" s="64" t="s">
        <v>150</v>
      </c>
    </row>
    <row r="55" spans="1:19" ht="21.95" hidden="1" customHeight="1">
      <c r="A55" s="66" t="s">
        <v>151</v>
      </c>
      <c r="B55" s="64" t="s">
        <v>20</v>
      </c>
      <c r="C55" s="65">
        <v>46046</v>
      </c>
      <c r="D55" s="64" t="s">
        <v>21</v>
      </c>
      <c r="E55" s="64" t="s">
        <v>22</v>
      </c>
      <c r="F55" s="60"/>
      <c r="G55" s="60"/>
      <c r="H55" s="60" t="str">
        <f>IFERROR(INDEX('Docketed Comments'!C:C,MATCH(A55,'Docketed Comments'!H:H,0))&amp;", "&amp;INDEX('Docketed Comments'!B:B,MATCH(A55,'Docketed Comments'!H:H,0)),"")</f>
        <v>Kathleen, Monteleone</v>
      </c>
      <c r="I55" s="60" t="str">
        <f>IFERROR(INDEX('Docketed Comments'!D:D,MATCH(A55,'Docketed Comments'!H:H,0)),"")</f>
        <v>Goodyear</v>
      </c>
      <c r="J55" s="60" t="str">
        <f>IFERROR(INDEX('Docketed Comments'!I:I,MATCH(A55,'Docketed Comments'!H:H,0)),"")</f>
        <v>RTOUE47</v>
      </c>
      <c r="K55" s="60" t="str">
        <f t="shared" si="1"/>
        <v>⚠ N MEP R3-47 ($273.17)</v>
      </c>
      <c r="L55" s="60" t="str">
        <f>IFERROR(INDEX('Docketed Comments'!F:F,MATCH(A55,'Docketed Comments'!H:H,0)),"")</f>
        <v>Opposed/will cause hardships</v>
      </c>
      <c r="M55" s="120" t="str">
        <f>IFERROR(INDEX('Docketed Comments'!G:G,MATCH(A55,'Docketed Comments'!H:H,0)),"")</f>
        <v>https://images.edocket.azcc.gov/docketpdf/E000046204.pdf</v>
      </c>
      <c r="N55" s="118" t="str">
        <f>IFERROR(INDEX('Docketed Comments'!N:N,MATCH(A55,'Docketed Comments'!H:H,0)),"")</f>
        <v>No</v>
      </c>
      <c r="O55" s="118" t="str">
        <f>IFERROR(INDEX('Docketed Comments'!L:L,MATCH(A55,'Docketed Comments'!H:H,0)),"")</f>
        <v>N MEP R3-47 ($273.17)</v>
      </c>
      <c r="P55" s="119">
        <f t="shared" si="0"/>
        <v>273.17</v>
      </c>
      <c r="Q55" s="60" t="s">
        <v>23</v>
      </c>
      <c r="R55" s="64" t="s">
        <v>24</v>
      </c>
      <c r="S55" s="64" t="s">
        <v>152</v>
      </c>
    </row>
    <row r="56" spans="1:19" ht="21.95" hidden="1" customHeight="1">
      <c r="A56" s="66" t="s">
        <v>153</v>
      </c>
      <c r="B56" s="64" t="s">
        <v>20</v>
      </c>
      <c r="C56" s="65">
        <v>46046</v>
      </c>
      <c r="D56" s="64" t="s">
        <v>21</v>
      </c>
      <c r="E56" s="64" t="s">
        <v>22</v>
      </c>
      <c r="F56" s="60"/>
      <c r="G56" s="60"/>
      <c r="H56" s="60" t="str">
        <f>IFERROR(INDEX('Docketed Comments'!C:C,MATCH(A56,'Docketed Comments'!H:H,0))&amp;", "&amp;INDEX('Docketed Comments'!B:B,MATCH(A56,'Docketed Comments'!H:H,0)),"")</f>
        <v>Himanshu, Pahuja</v>
      </c>
      <c r="I56" s="60" t="str">
        <f>IFERROR(INDEX('Docketed Comments'!D:D,MATCH(A56,'Docketed Comments'!H:H,0)),"")</f>
        <v>Peoria</v>
      </c>
      <c r="J56" s="60" t="str">
        <f>IFERROR(INDEX('Docketed Comments'!I:I,MATCH(A56,'Docketed Comments'!H:H,0)),"")</f>
        <v>RTOUE47</v>
      </c>
      <c r="K56" s="60" t="str">
        <f t="shared" si="1"/>
        <v>❌ Not on Best Plan</v>
      </c>
      <c r="L56" s="60" t="str">
        <f>IFERROR(INDEX('Docketed Comments'!F:F,MATCH(A56,'Docketed Comments'!H:H,0)),"")</f>
        <v>Form letter</v>
      </c>
      <c r="M56" s="120" t="str">
        <f>IFERROR(INDEX('Docketed Comments'!G:G,MATCH(A56,'Docketed Comments'!H:H,0)),"")</f>
        <v>https://images.edocket.azcc.gov/docketpdf/E000046204.pdf</v>
      </c>
      <c r="N56" s="118" t="str">
        <f>IFERROR(INDEX('Docketed Comments'!N:N,MATCH(A56,'Docketed Comments'!H:H,0)),"")</f>
        <v>No</v>
      </c>
      <c r="O56" s="118" t="str">
        <f>IFERROR(INDEX('Docketed Comments'!L:L,MATCH(A56,'Docketed Comments'!H:H,0)),"")</f>
        <v>No MEP R3-47 ($461.51)</v>
      </c>
      <c r="P56" s="119">
        <f t="shared" si="0"/>
        <v>461.51</v>
      </c>
      <c r="Q56" s="60" t="s">
        <v>23</v>
      </c>
      <c r="R56" s="64" t="s">
        <v>24</v>
      </c>
      <c r="S56" s="64" t="s">
        <v>154</v>
      </c>
    </row>
    <row r="57" spans="1:19" ht="21.95" hidden="1" customHeight="1">
      <c r="A57" s="66" t="s">
        <v>155</v>
      </c>
      <c r="B57" s="64" t="s">
        <v>20</v>
      </c>
      <c r="C57" s="65">
        <v>46046</v>
      </c>
      <c r="D57" s="64" t="s">
        <v>27</v>
      </c>
      <c r="E57" s="64" t="s">
        <v>22</v>
      </c>
      <c r="F57" s="60"/>
      <c r="G57" s="60"/>
      <c r="H57" s="60" t="str">
        <f>IFERROR(INDEX('Docketed Comments'!C:C,MATCH(A57,'Docketed Comments'!H:H,0))&amp;", "&amp;INDEX('Docketed Comments'!B:B,MATCH(A57,'Docketed Comments'!H:H,0)),"")</f>
        <v>Richard, Clow</v>
      </c>
      <c r="I57" s="60" t="str">
        <f>IFERROR(INDEX('Docketed Comments'!D:D,MATCH(A57,'Docketed Comments'!H:H,0)),"")</f>
        <v>Goodyear</v>
      </c>
      <c r="J57" s="60" t="str">
        <f>IFERROR(INDEX('Docketed Comments'!I:I,MATCH(A57,'Docketed Comments'!H:H,0)),"")</f>
        <v>RTOUE47</v>
      </c>
      <c r="K57" s="60" t="str">
        <f t="shared" si="1"/>
        <v>❌ Not on Best Plan</v>
      </c>
      <c r="L57" s="60" t="str">
        <f>IFERROR(INDEX('Docketed Comments'!F:F,MATCH(A57,'Docketed Comments'!H:H,0)),"")</f>
        <v>Opposed</v>
      </c>
      <c r="M57" s="120" t="str">
        <f>IFERROR(INDEX('Docketed Comments'!G:G,MATCH(A57,'Docketed Comments'!H:H,0)),"")</f>
        <v>https://images.edocket.azcc.gov/docketpdf/E000046204.pdf</v>
      </c>
      <c r="N57" s="118" t="str">
        <f>IFERROR(INDEX('Docketed Comments'!N:N,MATCH(A57,'Docketed Comments'!H:H,0)),"")</f>
        <v>No</v>
      </c>
      <c r="O57" s="118" t="str">
        <f>IFERROR(INDEX('Docketed Comments'!L:L,MATCH(A57,'Docketed Comments'!H:H,0)),"")</f>
        <v>No MEP R3-47 ($517.20)</v>
      </c>
      <c r="P57" s="119">
        <f t="shared" si="0"/>
        <v>517.20000000000005</v>
      </c>
      <c r="Q57" s="60" t="s">
        <v>23</v>
      </c>
      <c r="R57" s="64" t="s">
        <v>24</v>
      </c>
      <c r="S57" s="64" t="s">
        <v>156</v>
      </c>
    </row>
    <row r="58" spans="1:19" ht="21.95" hidden="1" customHeight="1">
      <c r="A58" s="66" t="s">
        <v>157</v>
      </c>
      <c r="B58" s="64" t="s">
        <v>20</v>
      </c>
      <c r="C58" s="65">
        <v>46046</v>
      </c>
      <c r="D58" s="64" t="s">
        <v>27</v>
      </c>
      <c r="E58" s="64" t="s">
        <v>68</v>
      </c>
      <c r="F58" s="60"/>
      <c r="G58" s="60"/>
      <c r="H58" s="60" t="str">
        <f>IFERROR(INDEX('Docketed Comments'!C:C,MATCH(A58,'Docketed Comments'!H:H,0))&amp;", "&amp;INDEX('Docketed Comments'!B:B,MATCH(A58,'Docketed Comments'!H:H,0)),"")</f>
        <v>Michelle, Tremblay</v>
      </c>
      <c r="I58" s="60" t="str">
        <f>IFERROR(INDEX('Docketed Comments'!D:D,MATCH(A58,'Docketed Comments'!H:H,0)),"")</f>
        <v>Phoenix</v>
      </c>
      <c r="J58" s="60" t="str">
        <f>IFERROR(INDEX('Docketed Comments'!I:I,MATCH(A58,'Docketed Comments'!H:H,0)),"")</f>
        <v>RTOUE47</v>
      </c>
      <c r="K58" s="60" t="str">
        <f t="shared" si="1"/>
        <v>❌ Not on Best Plan</v>
      </c>
      <c r="L58" s="60" t="str">
        <f>IFERROR(INDEX('Docketed Comments'!F:F,MATCH(A58,'Docketed Comments'!H:H,0)),"")</f>
        <v>Opposed</v>
      </c>
      <c r="M58" s="120" t="str">
        <f>IFERROR(INDEX('Docketed Comments'!G:G,MATCH(A58,'Docketed Comments'!H:H,0)),"")</f>
        <v>https://images.edocket.azcc.gov/docketpdf/E000046206.pdf</v>
      </c>
      <c r="N58" s="118" t="str">
        <f>IFERROR(INDEX('Docketed Comments'!N:N,MATCH(A58,'Docketed Comments'!H:H,0)),"")</f>
        <v>No</v>
      </c>
      <c r="O58" s="118" t="str">
        <f>IFERROR(INDEX('Docketed Comments'!L:L,MATCH(A58,'Docketed Comments'!H:H,0)),"")</f>
        <v>No MEP R-XS ($209.15)</v>
      </c>
      <c r="P58" s="119">
        <f t="shared" si="0"/>
        <v>209.15</v>
      </c>
      <c r="Q58" s="60" t="s">
        <v>23</v>
      </c>
      <c r="R58" s="64" t="s">
        <v>24</v>
      </c>
      <c r="S58" s="64" t="s">
        <v>158</v>
      </c>
    </row>
    <row r="59" spans="1:19" ht="21.95" hidden="1" customHeight="1">
      <c r="A59" s="66" t="s">
        <v>159</v>
      </c>
      <c r="B59" s="64" t="s">
        <v>20</v>
      </c>
      <c r="C59" s="65">
        <v>46046</v>
      </c>
      <c r="D59" s="64" t="s">
        <v>27</v>
      </c>
      <c r="E59" s="64" t="s">
        <v>22</v>
      </c>
      <c r="F59" s="60" t="s">
        <v>160</v>
      </c>
      <c r="G59" s="60"/>
      <c r="H59" s="60" t="str">
        <f>IFERROR(INDEX('Docketed Comments'!C:C,MATCH(A59,'Docketed Comments'!H:H,0))&amp;", "&amp;INDEX('Docketed Comments'!B:B,MATCH(A59,'Docketed Comments'!H:H,0)),"")</f>
        <v>Allen, Marshall</v>
      </c>
      <c r="I59" s="60" t="str">
        <f>IFERROR(INDEX('Docketed Comments'!D:D,MATCH(A59,'Docketed Comments'!H:H,0)),"")</f>
        <v>Goodyear</v>
      </c>
      <c r="J59" s="60" t="str">
        <f>IFERROR(INDEX('Docketed Comments'!I:I,MATCH(A59,'Docketed Comments'!H:H,0)),"")</f>
        <v>R-BASICL</v>
      </c>
      <c r="K59" s="60" t="str">
        <f t="shared" si="1"/>
        <v>❌ Not on Best Plan</v>
      </c>
      <c r="L59" s="60" t="str">
        <f>IFERROR(INDEX('Docketed Comments'!F:F,MATCH(A59,'Docketed Comments'!H:H,0)),"")</f>
        <v>Opposed</v>
      </c>
      <c r="M59" s="120" t="str">
        <f>IFERROR(INDEX('Docketed Comments'!G:G,MATCH(A59,'Docketed Comments'!H:H,0)),"")</f>
        <v>https://images.edocket.azcc.gov/docketpdf/E000046206.pdf</v>
      </c>
      <c r="N59" s="118" t="str">
        <f>IFERROR(INDEX('Docketed Comments'!N:N,MATCH(A59,'Docketed Comments'!H:H,0)),"")</f>
        <v>No</v>
      </c>
      <c r="O59" s="118" t="str">
        <f>IFERROR(INDEX('Docketed Comments'!L:L,MATCH(A59,'Docketed Comments'!H:H,0)),"")</f>
        <v>No MEP R3-47($36.70)</v>
      </c>
      <c r="P59" s="119">
        <f t="shared" si="0"/>
        <v>36.700000000000003</v>
      </c>
      <c r="Q59" s="60" t="s">
        <v>23</v>
      </c>
      <c r="R59" s="64" t="s">
        <v>24</v>
      </c>
      <c r="S59" s="64" t="s">
        <v>161</v>
      </c>
    </row>
    <row r="60" spans="1:19" ht="21.95" hidden="1" customHeight="1">
      <c r="A60" s="66" t="s">
        <v>162</v>
      </c>
      <c r="B60" s="64" t="s">
        <v>20</v>
      </c>
      <c r="C60" s="65">
        <v>46046</v>
      </c>
      <c r="D60" s="64" t="s">
        <v>21</v>
      </c>
      <c r="E60" s="64" t="s">
        <v>22</v>
      </c>
      <c r="F60" s="60"/>
      <c r="G60" s="60"/>
      <c r="H60" s="60" t="str">
        <f>IFERROR(INDEX('Docketed Comments'!C:C,MATCH(A60,'Docketed Comments'!H:H,0))&amp;", "&amp;INDEX('Docketed Comments'!B:B,MATCH(A60,'Docketed Comments'!H:H,0)),"")</f>
        <v>Carter, Robinson</v>
      </c>
      <c r="I60" s="60" t="str">
        <f>IFERROR(INDEX('Docketed Comments'!D:D,MATCH(A60,'Docketed Comments'!H:H,0)),"")</f>
        <v>Glendale</v>
      </c>
      <c r="J60" s="60" t="str">
        <f>IFERROR(INDEX('Docketed Comments'!I:I,MATCH(A60,'Docketed Comments'!H:H,0)),"")</f>
        <v>R-BASICL</v>
      </c>
      <c r="K60" s="60" t="str">
        <f t="shared" si="1"/>
        <v>❌ Not on Best Plan</v>
      </c>
      <c r="L60" s="60" t="str">
        <f>IFERROR(INDEX('Docketed Comments'!F:F,MATCH(A60,'Docketed Comments'!H:H,0)),"")</f>
        <v>Opposed, usage is not high, it is normal in AZ extreme climate</v>
      </c>
      <c r="M60" s="120" t="str">
        <f>IFERROR(INDEX('Docketed Comments'!G:G,MATCH(A60,'Docketed Comments'!H:H,0)),"")</f>
        <v>https://images.edocket.azcc.gov/docketpdf/E000046206.pdf</v>
      </c>
      <c r="N60" s="118" t="str">
        <f>IFERROR(INDEX('Docketed Comments'!N:N,MATCH(A60,'Docketed Comments'!H:H,0)),"")</f>
        <v>No</v>
      </c>
      <c r="O60" s="118" t="str">
        <f>IFERROR(INDEX('Docketed Comments'!L:L,MATCH(A60,'Docketed Comments'!H:H,0)),"")</f>
        <v>No MEP R3-47 ($888.73)</v>
      </c>
      <c r="P60" s="119">
        <f t="shared" si="0"/>
        <v>888.73</v>
      </c>
      <c r="Q60" s="60" t="s">
        <v>23</v>
      </c>
      <c r="R60" s="64" t="s">
        <v>24</v>
      </c>
      <c r="S60" s="64" t="s">
        <v>163</v>
      </c>
    </row>
    <row r="61" spans="1:19" ht="21.95" hidden="1" customHeight="1">
      <c r="A61" s="66" t="s">
        <v>164</v>
      </c>
      <c r="B61" s="64" t="s">
        <v>31</v>
      </c>
      <c r="C61" s="65">
        <v>46060</v>
      </c>
      <c r="D61" s="64" t="s">
        <v>21</v>
      </c>
      <c r="E61" s="64" t="s">
        <v>22</v>
      </c>
      <c r="F61" s="60" t="s">
        <v>165</v>
      </c>
      <c r="G61" s="60"/>
      <c r="H61" s="60" t="str">
        <f>IFERROR(INDEX('Docketed Comments'!C:C,MATCH(A61,'Docketed Comments'!H:H,0))&amp;", "&amp;INDEX('Docketed Comments'!B:B,MATCH(A61,'Docketed Comments'!H:H,0)),"")</f>
        <v>Timothy, Woehl</v>
      </c>
      <c r="I61" s="60" t="str">
        <f>IFERROR(INDEX('Docketed Comments'!D:D,MATCH(A61,'Docketed Comments'!H:H,0)),"")</f>
        <v>Scottsdale</v>
      </c>
      <c r="J61" s="60" t="str">
        <f>IFERROR(INDEX('Docketed Comments'!I:I,MATCH(A61,'Docketed Comments'!H:H,0)),"")</f>
        <v>RTOUE47</v>
      </c>
      <c r="K61" s="60" t="str">
        <f t="shared" si="1"/>
        <v>❌ Not on Best Plan</v>
      </c>
      <c r="L61" s="60" t="str">
        <f>IFERROR(INDEX('Docketed Comments'!F:F,MATCH(A61,'Docketed Comments'!H:H,0)),"")</f>
        <v>Opposed</v>
      </c>
      <c r="M61" s="120" t="str">
        <f>IFERROR(INDEX('Docketed Comments'!G:G,MATCH(A61,'Docketed Comments'!H:H,0)),"")</f>
        <v>https://images.edocket.azcc.gov/docketpdf/E000046196.pdf</v>
      </c>
      <c r="N61" s="118" t="str">
        <f>IFERROR(INDEX('Docketed Comments'!N:N,MATCH(A61,'Docketed Comments'!H:H,0)),"")</f>
        <v>No</v>
      </c>
      <c r="O61" s="118" t="str">
        <f>IFERROR(INDEX('Docketed Comments'!L:L,MATCH(A61,'Docketed Comments'!H:H,0)),"")</f>
        <v>No MEP R3-47(630.50)</v>
      </c>
      <c r="P61" s="119">
        <f t="shared" si="0"/>
        <v>630.5</v>
      </c>
      <c r="Q61" s="60" t="s">
        <v>23</v>
      </c>
      <c r="R61" s="64" t="s">
        <v>24</v>
      </c>
      <c r="S61" s="64" t="s">
        <v>166</v>
      </c>
    </row>
    <row r="62" spans="1:19" ht="21.95" hidden="1" customHeight="1">
      <c r="A62" s="66" t="s">
        <v>167</v>
      </c>
      <c r="B62" s="64" t="s">
        <v>20</v>
      </c>
      <c r="C62" s="65">
        <v>46060</v>
      </c>
      <c r="D62" s="64" t="s">
        <v>21</v>
      </c>
      <c r="E62" s="64" t="s">
        <v>22</v>
      </c>
      <c r="F62" s="60"/>
      <c r="G62" s="60"/>
      <c r="H62" s="60" t="str">
        <f>IFERROR(INDEX('Docketed Comments'!C:C,MATCH(A62,'Docketed Comments'!H:H,0))&amp;", "&amp;INDEX('Docketed Comments'!B:B,MATCH(A62,'Docketed Comments'!H:H,0)),"")</f>
        <v>Amy, Delaney</v>
      </c>
      <c r="I62" s="60" t="str">
        <f>IFERROR(INDEX('Docketed Comments'!D:D,MATCH(A62,'Docketed Comments'!H:H,0)),"")</f>
        <v>Phoenix</v>
      </c>
      <c r="J62" s="60" t="str">
        <f>IFERROR(INDEX('Docketed Comments'!I:I,MATCH(A62,'Docketed Comments'!H:H,0)),"")</f>
        <v>RTOUE47</v>
      </c>
      <c r="K62" s="60" t="str">
        <f t="shared" si="1"/>
        <v>❌ Not on Best Plan</v>
      </c>
      <c r="L62" s="60" t="str">
        <f>IFERROR(INDEX('Docketed Comments'!F:F,MATCH(A62,'Docketed Comments'!H:H,0)),"")</f>
        <v>Form letter</v>
      </c>
      <c r="M62" s="120" t="str">
        <f>IFERROR(INDEX('Docketed Comments'!G:G,MATCH(A62,'Docketed Comments'!H:H,0)),"")</f>
        <v>https://images.edocket.azcc.gov/docketpdf/E000046230.pdf</v>
      </c>
      <c r="N62" s="118" t="str">
        <f>IFERROR(INDEX('Docketed Comments'!N:N,MATCH(A62,'Docketed Comments'!H:H,0)),"")</f>
        <v>No</v>
      </c>
      <c r="O62" s="118" t="str">
        <f>IFERROR(INDEX('Docketed Comments'!L:L,MATCH(A62,'Docketed Comments'!H:H,0)),"")</f>
        <v>No MEP R-BASIC(110.71)</v>
      </c>
      <c r="P62" s="119">
        <f t="shared" si="0"/>
        <v>110.71</v>
      </c>
      <c r="Q62" s="60" t="s">
        <v>23</v>
      </c>
      <c r="R62" s="64" t="s">
        <v>24</v>
      </c>
      <c r="S62" s="64" t="s">
        <v>168</v>
      </c>
    </row>
    <row r="63" spans="1:19" ht="21.95" hidden="1" customHeight="1">
      <c r="A63" s="66" t="s">
        <v>169</v>
      </c>
      <c r="B63" s="64" t="s">
        <v>20</v>
      </c>
      <c r="C63" s="65">
        <v>46046</v>
      </c>
      <c r="D63" s="64" t="s">
        <v>27</v>
      </c>
      <c r="E63" s="64" t="s">
        <v>22</v>
      </c>
      <c r="F63" s="60" t="s">
        <v>170</v>
      </c>
      <c r="G63" s="60"/>
      <c r="H63" s="60" t="str">
        <f>IFERROR(INDEX('Docketed Comments'!C:C,MATCH(A63,'Docketed Comments'!H:H,0))&amp;", "&amp;INDEX('Docketed Comments'!B:B,MATCH(A63,'Docketed Comments'!H:H,0)),"")</f>
        <v>Lindsay, Votypka</v>
      </c>
      <c r="I63" s="60" t="str">
        <f>IFERROR(INDEX('Docketed Comments'!D:D,MATCH(A63,'Docketed Comments'!H:H,0)),"")</f>
        <v>Scottsdale</v>
      </c>
      <c r="J63" s="60" t="str">
        <f>IFERROR(INDEX('Docketed Comments'!I:I,MATCH(A63,'Docketed Comments'!H:H,0)),"")</f>
        <v>RTOUE47</v>
      </c>
      <c r="K63" s="60" t="str">
        <f t="shared" si="1"/>
        <v>❌ Not on Best Plan</v>
      </c>
      <c r="L63" s="60" t="str">
        <f>IFERROR(INDEX('Docketed Comments'!F:F,MATCH(A63,'Docketed Comments'!H:H,0)),"")</f>
        <v>Form letter</v>
      </c>
      <c r="M63" s="120" t="str">
        <f>IFERROR(INDEX('Docketed Comments'!G:G,MATCH(A63,'Docketed Comments'!H:H,0)),"")</f>
        <v>https://images.edocket.azcc.gov/docketpdf/E000046230.pdf</v>
      </c>
      <c r="N63" s="118" t="str">
        <f>IFERROR(INDEX('Docketed Comments'!N:N,MATCH(A63,'Docketed Comments'!H:H,0)),"")</f>
        <v>No</v>
      </c>
      <c r="O63" s="118" t="str">
        <f>IFERROR(INDEX('Docketed Comments'!L:L,MATCH(A63,'Docketed Comments'!H:H,0)),"")</f>
        <v>No MEP R-BASIC($19.26)</v>
      </c>
      <c r="P63" s="119">
        <f t="shared" si="0"/>
        <v>19.260000000000002</v>
      </c>
      <c r="Q63" s="60" t="s">
        <v>23</v>
      </c>
      <c r="R63" s="64" t="s">
        <v>24</v>
      </c>
      <c r="S63" s="64" t="s">
        <v>171</v>
      </c>
    </row>
    <row r="64" spans="1:19" ht="21.95" hidden="1" customHeight="1">
      <c r="A64" s="66" t="s">
        <v>172</v>
      </c>
      <c r="B64" s="64" t="s">
        <v>20</v>
      </c>
      <c r="C64" s="65">
        <v>46060</v>
      </c>
      <c r="D64" s="64" t="s">
        <v>27</v>
      </c>
      <c r="E64" s="64" t="s">
        <v>22</v>
      </c>
      <c r="F64" s="60" t="s">
        <v>173</v>
      </c>
      <c r="G64" s="60"/>
      <c r="H64" s="60" t="str">
        <f>IFERROR(INDEX('Docketed Comments'!C:C,MATCH(A64,'Docketed Comments'!H:H,0))&amp;", "&amp;INDEX('Docketed Comments'!B:B,MATCH(A64,'Docketed Comments'!H:H,0)),"")</f>
        <v>Hema, Sundarachar</v>
      </c>
      <c r="I64" s="60" t="str">
        <f>IFERROR(INDEX('Docketed Comments'!D:D,MATCH(A64,'Docketed Comments'!H:H,0)),"")</f>
        <v>Tempe</v>
      </c>
      <c r="J64" s="60" t="str">
        <f>IFERROR(INDEX('Docketed Comments'!I:I,MATCH(A64,'Docketed Comments'!H:H,0)),"")</f>
        <v>RTOUE47</v>
      </c>
      <c r="K64" s="60" t="str">
        <f t="shared" si="1"/>
        <v>❌ Not on Best Plan</v>
      </c>
      <c r="L64" s="60" t="str">
        <f>IFERROR(INDEX('Docketed Comments'!F:F,MATCH(A64,'Docketed Comments'!H:H,0)),"")</f>
        <v>Form letter</v>
      </c>
      <c r="M64" s="120" t="str">
        <f>IFERROR(INDEX('Docketed Comments'!G:G,MATCH(A64,'Docketed Comments'!H:H,0)),"")</f>
        <v>https://images.edocket.azcc.gov/docketpdf/E000046230.pdf</v>
      </c>
      <c r="N64" s="118" t="str">
        <f>IFERROR(INDEX('Docketed Comments'!N:N,MATCH(A64,'Docketed Comments'!H:H,0)),"")</f>
        <v>No</v>
      </c>
      <c r="O64" s="118" t="str">
        <f>IFERROR(INDEX('Docketed Comments'!L:L,MATCH(A64,'Docketed Comments'!H:H,0)),"")</f>
        <v>No MEP R3-47(3.29)</v>
      </c>
      <c r="P64" s="119">
        <f t="shared" si="0"/>
        <v>3.29</v>
      </c>
      <c r="Q64" s="60" t="s">
        <v>23</v>
      </c>
      <c r="R64" s="64" t="s">
        <v>24</v>
      </c>
      <c r="S64" s="64" t="s">
        <v>174</v>
      </c>
    </row>
    <row r="65" spans="1:19" ht="21.95" hidden="1" customHeight="1">
      <c r="A65" s="66" t="s">
        <v>175</v>
      </c>
      <c r="B65" s="64" t="s">
        <v>20</v>
      </c>
      <c r="C65" s="65">
        <v>46046</v>
      </c>
      <c r="D65" s="64" t="s">
        <v>21</v>
      </c>
      <c r="E65" s="64" t="s">
        <v>22</v>
      </c>
      <c r="F65" s="60"/>
      <c r="G65" s="60"/>
      <c r="H65" s="60" t="str">
        <f>IFERROR(INDEX('Docketed Comments'!C:C,MATCH(A65,'Docketed Comments'!H:H,0))&amp;", "&amp;INDEX('Docketed Comments'!B:B,MATCH(A65,'Docketed Comments'!H:H,0)),"")</f>
        <v>Lauren, Laszczak</v>
      </c>
      <c r="I65" s="60" t="str">
        <f>IFERROR(INDEX('Docketed Comments'!D:D,MATCH(A65,'Docketed Comments'!H:H,0)),"")</f>
        <v>Phoenix</v>
      </c>
      <c r="J65" s="60" t="str">
        <f>IFERROR(INDEX('Docketed Comments'!I:I,MATCH(A65,'Docketed Comments'!H:H,0)),"")</f>
        <v>RTOUE47</v>
      </c>
      <c r="K65" s="60" t="str">
        <f t="shared" si="1"/>
        <v>❌ Not on Best Plan</v>
      </c>
      <c r="L65" s="60" t="str">
        <f>IFERROR(INDEX('Docketed Comments'!F:F,MATCH(A65,'Docketed Comments'!H:H,0)),"")</f>
        <v>Form letter</v>
      </c>
      <c r="M65" s="120" t="str">
        <f>IFERROR(INDEX('Docketed Comments'!G:G,MATCH(A65,'Docketed Comments'!H:H,0)),"")</f>
        <v>https://images.edocket.azcc.gov/docketpdf/E000046230.pdf</v>
      </c>
      <c r="N65" s="118" t="str">
        <f>IFERROR(INDEX('Docketed Comments'!N:N,MATCH(A65,'Docketed Comments'!H:H,0)),"")</f>
        <v>No</v>
      </c>
      <c r="O65" s="118" t="str">
        <f>IFERROR(INDEX('Docketed Comments'!L:L,MATCH(A65,'Docketed Comments'!H:H,0)),"")</f>
        <v>No R-XS($56.43)</v>
      </c>
      <c r="P65" s="119">
        <f t="shared" si="0"/>
        <v>56.43</v>
      </c>
      <c r="Q65" s="60" t="s">
        <v>23</v>
      </c>
      <c r="R65" s="64" t="s">
        <v>24</v>
      </c>
      <c r="S65" s="64" t="s">
        <v>176</v>
      </c>
    </row>
    <row r="66" spans="1:19" ht="21.95" hidden="1" customHeight="1">
      <c r="A66" s="66" t="s">
        <v>177</v>
      </c>
      <c r="B66" s="64" t="s">
        <v>20</v>
      </c>
      <c r="C66" s="65">
        <v>46060</v>
      </c>
      <c r="D66" s="64" t="s">
        <v>21</v>
      </c>
      <c r="E66" s="64" t="s">
        <v>22</v>
      </c>
      <c r="F66" s="60"/>
      <c r="G66" s="60"/>
      <c r="H66" s="60" t="str">
        <f>IFERROR(INDEX('Docketed Comments'!C:C,MATCH(A66,'Docketed Comments'!H:H,0))&amp;", "&amp;INDEX('Docketed Comments'!B:B,MATCH(A66,'Docketed Comments'!H:H,0)),"")</f>
        <v>Nicholas, Blocker</v>
      </c>
      <c r="I66" s="60" t="str">
        <f>IFERROR(INDEX('Docketed Comments'!D:D,MATCH(A66,'Docketed Comments'!H:H,0)),"")</f>
        <v>Surprise</v>
      </c>
      <c r="J66" s="60" t="str">
        <f>IFERROR(INDEX('Docketed Comments'!I:I,MATCH(A66,'Docketed Comments'!H:H,0)),"")</f>
        <v>RTOUE47</v>
      </c>
      <c r="K66" s="60" t="str">
        <f t="shared" si="1"/>
        <v>❌ Not on Best Plan</v>
      </c>
      <c r="L66" s="60" t="str">
        <f>IFERROR(INDEX('Docketed Comments'!F:F,MATCH(A66,'Docketed Comments'!H:H,0)),"")</f>
        <v>Form letter</v>
      </c>
      <c r="M66" s="120" t="str">
        <f>IFERROR(INDEX('Docketed Comments'!G:G,MATCH(A66,'Docketed Comments'!H:H,0)),"")</f>
        <v>https://images.edocket.azcc.gov/docketpdf/E000046230.pdf</v>
      </c>
      <c r="N66" s="118" t="str">
        <f>IFERROR(INDEX('Docketed Comments'!N:N,MATCH(A66,'Docketed Comments'!H:H,0)),"")</f>
        <v>No</v>
      </c>
      <c r="O66" s="118" t="str">
        <f>IFERROR(INDEX('Docketed Comments'!L:L,MATCH(A66,'Docketed Comments'!H:H,0)),"")</f>
        <v>No MEP R3-47(439.76)</v>
      </c>
      <c r="P66" s="119">
        <f t="shared" ref="P66:P129" si="2">IFERROR(IF(ISNUMBER(SEARCH("$",O66)),VALUE(SUBSTITUTE(SUBSTITUTE(MID(O66,FIND("$",O66)+1,FIND(")",O66)-FIND("$",O66)-1),",","")," ","")),VALUE(SUBSTITUTE(SUBSTITUTE(MID(O66,FIND("(",O66)+1,FIND(")",O66)-FIND("(",O66)-1),",","")," ",""))),0)</f>
        <v>439.76</v>
      </c>
      <c r="Q66" s="60" t="s">
        <v>23</v>
      </c>
      <c r="R66" s="64" t="s">
        <v>24</v>
      </c>
      <c r="S66" s="64" t="s">
        <v>178</v>
      </c>
    </row>
    <row r="67" spans="1:19" ht="21.95" hidden="1" customHeight="1">
      <c r="A67" s="66" t="s">
        <v>179</v>
      </c>
      <c r="B67" s="64" t="s">
        <v>20</v>
      </c>
      <c r="C67" s="65">
        <v>46053</v>
      </c>
      <c r="D67" s="64" t="s">
        <v>21</v>
      </c>
      <c r="E67" s="64" t="s">
        <v>22</v>
      </c>
      <c r="F67" s="60"/>
      <c r="G67" s="60"/>
      <c r="H67" s="60" t="str">
        <f>IFERROR(INDEX('Docketed Comments'!C:C,MATCH(A67,'Docketed Comments'!H:H,0))&amp;", "&amp;INDEX('Docketed Comments'!B:B,MATCH(A67,'Docketed Comments'!H:H,0)),"")</f>
        <v>Sidney, Sedillo</v>
      </c>
      <c r="I67" s="60" t="str">
        <f>IFERROR(INDEX('Docketed Comments'!D:D,MATCH(A67,'Docketed Comments'!H:H,0)),"")</f>
        <v>Chandler</v>
      </c>
      <c r="J67" s="60" t="str">
        <f>IFERROR(INDEX('Docketed Comments'!I:I,MATCH(A67,'Docketed Comments'!H:H,0)),"")</f>
        <v>R3-47</v>
      </c>
      <c r="K67" s="60" t="str">
        <f t="shared" ref="K67:K130" si="3">IFERROR(IF(OR(LEFT(O67,2)="No",LEFT(O67,3)="Not"),"❌ Not on Best Plan",IF(OR(O67="Yes",O67="Y",O67="Yes "),"✅ On Best Plan","⚠ "&amp;O67)),"")</f>
        <v>❌ Not on Best Plan</v>
      </c>
      <c r="L67" s="60" t="str">
        <f>IFERROR(INDEX('Docketed Comments'!F:F,MATCH(A67,'Docketed Comments'!H:H,0)),"")</f>
        <v>Form letter</v>
      </c>
      <c r="M67" s="120" t="str">
        <f>IFERROR(INDEX('Docketed Comments'!G:G,MATCH(A67,'Docketed Comments'!H:H,0)),"")</f>
        <v>https://images.edocket.azcc.gov/docketpdf/E000046230.pdf</v>
      </c>
      <c r="N67" s="118" t="str">
        <f>IFERROR(INDEX('Docketed Comments'!N:N,MATCH(A67,'Docketed Comments'!H:H,0)),"")</f>
        <v>No</v>
      </c>
      <c r="O67" s="118" t="str">
        <f>IFERROR(INDEX('Docketed Comments'!L:L,MATCH(A67,'Docketed Comments'!H:H,0)),"")</f>
        <v>NO MEP R-BASICL ($75.86)</v>
      </c>
      <c r="P67" s="119">
        <f t="shared" si="2"/>
        <v>75.86</v>
      </c>
      <c r="Q67" s="60" t="s">
        <v>23</v>
      </c>
      <c r="R67" s="64" t="s">
        <v>24</v>
      </c>
      <c r="S67" s="64" t="s">
        <v>180</v>
      </c>
    </row>
    <row r="68" spans="1:19" ht="21.95" hidden="1" customHeight="1">
      <c r="A68" s="66" t="s">
        <v>181</v>
      </c>
      <c r="B68" s="64" t="s">
        <v>20</v>
      </c>
      <c r="C68" s="65">
        <v>46053</v>
      </c>
      <c r="D68" s="64" t="s">
        <v>21</v>
      </c>
      <c r="E68" s="64" t="s">
        <v>22</v>
      </c>
      <c r="F68" s="60"/>
      <c r="G68" s="60"/>
      <c r="H68" s="60" t="str">
        <f>IFERROR(INDEX('Docketed Comments'!C:C,MATCH(A68,'Docketed Comments'!H:H,0))&amp;", "&amp;INDEX('Docketed Comments'!B:B,MATCH(A68,'Docketed Comments'!H:H,0)),"")</f>
        <v>Daniel, Torres</v>
      </c>
      <c r="I68" s="60" t="str">
        <f>IFERROR(INDEX('Docketed Comments'!D:D,MATCH(A68,'Docketed Comments'!H:H,0)),"")</f>
        <v>Phoenix</v>
      </c>
      <c r="J68" s="60" t="str">
        <f>IFERROR(INDEX('Docketed Comments'!I:I,MATCH(A68,'Docketed Comments'!H:H,0)),"")</f>
        <v>RTOUE47</v>
      </c>
      <c r="K68" s="60" t="str">
        <f t="shared" si="3"/>
        <v>❌ Not on Best Plan</v>
      </c>
      <c r="L68" s="60" t="str">
        <f>IFERROR(INDEX('Docketed Comments'!F:F,MATCH(A68,'Docketed Comments'!H:H,0)),"")</f>
        <v>Form letter</v>
      </c>
      <c r="M68" s="120" t="str">
        <f>IFERROR(INDEX('Docketed Comments'!G:G,MATCH(A68,'Docketed Comments'!H:H,0)),"")</f>
        <v>https://images.edocket.azcc.gov/docketpdf/E000046230.pdf</v>
      </c>
      <c r="N68" s="118" t="str">
        <f>IFERROR(INDEX('Docketed Comments'!N:N,MATCH(A68,'Docketed Comments'!H:H,0)),"")</f>
        <v>No</v>
      </c>
      <c r="O68" s="118" t="str">
        <f>IFERROR(INDEX('Docketed Comments'!L:L,MATCH(A68,'Docketed Comments'!H:H,0)),"")</f>
        <v>No MEP R3-47($82.55)</v>
      </c>
      <c r="P68" s="119">
        <f t="shared" si="2"/>
        <v>82.55</v>
      </c>
      <c r="Q68" s="60" t="s">
        <v>23</v>
      </c>
      <c r="R68" s="64" t="s">
        <v>24</v>
      </c>
      <c r="S68" s="64" t="s">
        <v>182</v>
      </c>
    </row>
    <row r="69" spans="1:19" ht="21.95" hidden="1" customHeight="1">
      <c r="A69" s="66" t="s">
        <v>183</v>
      </c>
      <c r="B69" s="64" t="s">
        <v>20</v>
      </c>
      <c r="C69" s="65">
        <v>46053</v>
      </c>
      <c r="D69" s="64" t="s">
        <v>21</v>
      </c>
      <c r="E69" s="64" t="s">
        <v>22</v>
      </c>
      <c r="F69" s="60"/>
      <c r="G69" s="60"/>
      <c r="H69" s="60" t="str">
        <f>IFERROR(INDEX('Docketed Comments'!C:C,MATCH(A69,'Docketed Comments'!H:H,0))&amp;", "&amp;INDEX('Docketed Comments'!B:B,MATCH(A69,'Docketed Comments'!H:H,0)),"")</f>
        <v>Shaun, Thomas</v>
      </c>
      <c r="I69" s="60" t="str">
        <f>IFERROR(INDEX('Docketed Comments'!D:D,MATCH(A69,'Docketed Comments'!H:H,0)),"")</f>
        <v>Payson</v>
      </c>
      <c r="J69" s="60" t="str">
        <f>IFERROR(INDEX('Docketed Comments'!I:I,MATCH(A69,'Docketed Comments'!H:H,0)),"")</f>
        <v>RTOUE47</v>
      </c>
      <c r="K69" s="60" t="str">
        <f t="shared" si="3"/>
        <v>❌ Not on Best Plan</v>
      </c>
      <c r="L69" s="60" t="str">
        <f>IFERROR(INDEX('Docketed Comments'!F:F,MATCH(A69,'Docketed Comments'!H:H,0)),"")</f>
        <v>Opposed</v>
      </c>
      <c r="M69" s="120" t="str">
        <f>IFERROR(INDEX('Docketed Comments'!G:G,MATCH(A69,'Docketed Comments'!H:H,0)),"")</f>
        <v>https://images.edocket.azcc.gov/docketpdf/E000046230.pdf</v>
      </c>
      <c r="N69" s="118" t="str">
        <f>IFERROR(INDEX('Docketed Comments'!N:N,MATCH(A69,'Docketed Comments'!H:H,0)),"")</f>
        <v>No</v>
      </c>
      <c r="O69" s="118" t="str">
        <f>IFERROR(INDEX('Docketed Comments'!L:L,MATCH(A69,'Docketed Comments'!H:H,0)),"")</f>
        <v>No MEP R-XS ($43.07)</v>
      </c>
      <c r="P69" s="119">
        <f t="shared" si="2"/>
        <v>43.07</v>
      </c>
      <c r="Q69" s="60" t="s">
        <v>23</v>
      </c>
      <c r="R69" s="64" t="s">
        <v>24</v>
      </c>
      <c r="S69" s="64" t="s">
        <v>184</v>
      </c>
    </row>
    <row r="70" spans="1:19" ht="21.95" hidden="1" customHeight="1">
      <c r="A70" s="66" t="s">
        <v>185</v>
      </c>
      <c r="B70" s="64" t="s">
        <v>20</v>
      </c>
      <c r="C70" s="65">
        <v>46053</v>
      </c>
      <c r="D70" s="64" t="s">
        <v>21</v>
      </c>
      <c r="E70" s="64" t="s">
        <v>22</v>
      </c>
      <c r="F70" s="60"/>
      <c r="G70" s="60"/>
      <c r="H70" s="60" t="str">
        <f>IFERROR(INDEX('Docketed Comments'!C:C,MATCH(A70,'Docketed Comments'!H:H,0))&amp;", "&amp;INDEX('Docketed Comments'!B:B,MATCH(A70,'Docketed Comments'!H:H,0)),"")</f>
        <v>Mason, Berry</v>
      </c>
      <c r="I70" s="60" t="str">
        <f>IFERROR(INDEX('Docketed Comments'!D:D,MATCH(A70,'Docketed Comments'!H:H,0)),"")</f>
        <v>Phoenix</v>
      </c>
      <c r="J70" s="60" t="str">
        <f>IFERROR(INDEX('Docketed Comments'!I:I,MATCH(A70,'Docketed Comments'!H:H,0)),"")</f>
        <v>RTOUE47</v>
      </c>
      <c r="K70" s="60" t="str">
        <f t="shared" si="3"/>
        <v>❌ Not on Best Plan</v>
      </c>
      <c r="L70" s="60" t="str">
        <f>IFERROR(INDEX('Docketed Comments'!F:F,MATCH(A70,'Docketed Comments'!H:H,0)),"")</f>
        <v>Form letter</v>
      </c>
      <c r="M70" s="120" t="str">
        <f>IFERROR(INDEX('Docketed Comments'!G:G,MATCH(A70,'Docketed Comments'!H:H,0)),"")</f>
        <v>https://images.edocket.azcc.gov/docketpdf/E000046230.pdf</v>
      </c>
      <c r="N70" s="118" t="str">
        <f>IFERROR(INDEX('Docketed Comments'!N:N,MATCH(A70,'Docketed Comments'!H:H,0)),"")</f>
        <v>No</v>
      </c>
      <c r="O70" s="118" t="str">
        <f>IFERROR(INDEX('Docketed Comments'!L:L,MATCH(A70,'Docketed Comments'!H:H,0)),"")</f>
        <v>No MEP R3-47 ($90.56)</v>
      </c>
      <c r="P70" s="119">
        <f t="shared" si="2"/>
        <v>90.56</v>
      </c>
      <c r="Q70" s="60" t="s">
        <v>23</v>
      </c>
      <c r="R70" s="64" t="s">
        <v>24</v>
      </c>
      <c r="S70" s="64" t="s">
        <v>186</v>
      </c>
    </row>
    <row r="71" spans="1:19" ht="21.95" hidden="1" customHeight="1">
      <c r="A71" s="66" t="s">
        <v>187</v>
      </c>
      <c r="B71" s="64" t="s">
        <v>20</v>
      </c>
      <c r="C71" s="65">
        <v>46053</v>
      </c>
      <c r="D71" s="64" t="s">
        <v>21</v>
      </c>
      <c r="E71" s="64" t="s">
        <v>22</v>
      </c>
      <c r="F71" s="60"/>
      <c r="G71" s="60"/>
      <c r="H71" s="60" t="str">
        <f>IFERROR(INDEX('Docketed Comments'!C:C,MATCH(A71,'Docketed Comments'!H:H,0))&amp;", "&amp;INDEX('Docketed Comments'!B:B,MATCH(A71,'Docketed Comments'!H:H,0)),"")</f>
        <v>Gregory, Ficarra</v>
      </c>
      <c r="I71" s="60" t="str">
        <f>IFERROR(INDEX('Docketed Comments'!D:D,MATCH(A71,'Docketed Comments'!H:H,0)),"")</f>
        <v>Glendale</v>
      </c>
      <c r="J71" s="60" t="str">
        <f>IFERROR(INDEX('Docketed Comments'!I:I,MATCH(A71,'Docketed Comments'!H:H,0)),"")</f>
        <v>RTOUE47</v>
      </c>
      <c r="K71" s="60" t="str">
        <f t="shared" si="3"/>
        <v>❌ Not on Best Plan</v>
      </c>
      <c r="L71" s="60" t="str">
        <f>IFERROR(INDEX('Docketed Comments'!F:F,MATCH(A71,'Docketed Comments'!H:H,0)),"")</f>
        <v>Form letter</v>
      </c>
      <c r="M71" s="120" t="str">
        <f>IFERROR(INDEX('Docketed Comments'!G:G,MATCH(A71,'Docketed Comments'!H:H,0)),"")</f>
        <v>https://images.edocket.azcc.gov/docketpdf/E000046230.pdf</v>
      </c>
      <c r="N71" s="118" t="str">
        <f>IFERROR(INDEX('Docketed Comments'!N:N,MATCH(A71,'Docketed Comments'!H:H,0)),"")</f>
        <v>No</v>
      </c>
      <c r="O71" s="118" t="str">
        <f>IFERROR(INDEX('Docketed Comments'!L:L,MATCH(A71,'Docketed Comments'!H:H,0)),"")</f>
        <v>No MEP R-XS ($58.00)</v>
      </c>
      <c r="P71" s="119">
        <f t="shared" si="2"/>
        <v>58</v>
      </c>
      <c r="Q71" s="60" t="s">
        <v>23</v>
      </c>
      <c r="R71" s="64" t="s">
        <v>24</v>
      </c>
      <c r="S71" s="64" t="s">
        <v>188</v>
      </c>
    </row>
    <row r="72" spans="1:19" ht="21.95" hidden="1" customHeight="1">
      <c r="A72" s="66" t="s">
        <v>189</v>
      </c>
      <c r="B72" s="64" t="s">
        <v>31</v>
      </c>
      <c r="C72" s="65">
        <v>46053</v>
      </c>
      <c r="D72" s="64" t="s">
        <v>27</v>
      </c>
      <c r="E72" s="64" t="s">
        <v>22</v>
      </c>
      <c r="F72" s="60" t="s">
        <v>190</v>
      </c>
      <c r="G72" s="60"/>
      <c r="H72" s="60" t="str">
        <f>IFERROR(INDEX('Docketed Comments'!C:C,MATCH(A72,'Docketed Comments'!H:H,0))&amp;", "&amp;INDEX('Docketed Comments'!B:B,MATCH(A72,'Docketed Comments'!H:H,0)),"")</f>
        <v>Pedro, Ramos</v>
      </c>
      <c r="I72" s="60" t="str">
        <f>IFERROR(INDEX('Docketed Comments'!D:D,MATCH(A72,'Docketed Comments'!H:H,0)),"")</f>
        <v>Yuma</v>
      </c>
      <c r="J72" s="60" t="str">
        <f>IFERROR(INDEX('Docketed Comments'!I:I,MATCH(A72,'Docketed Comments'!H:H,0)),"")</f>
        <v>R-BASICL</v>
      </c>
      <c r="K72" s="60" t="str">
        <f t="shared" si="3"/>
        <v>❌ Not on Best Plan</v>
      </c>
      <c r="L72" s="60" t="str">
        <f>IFERROR(INDEX('Docketed Comments'!F:F,MATCH(A72,'Docketed Comments'!H:H,0)),"")</f>
        <v xml:space="preserve">Senior/Fixed Income </v>
      </c>
      <c r="M72" s="120" t="str">
        <f>IFERROR(INDEX('Docketed Comments'!G:G,MATCH(A72,'Docketed Comments'!H:H,0)),"")</f>
        <v>https://images.edocket.azcc.gov/docketpdf/E000046230.pdf</v>
      </c>
      <c r="N72" s="118" t="str">
        <f>IFERROR(INDEX('Docketed Comments'!N:N,MATCH(A72,'Docketed Comments'!H:H,0)),"")</f>
        <v>No</v>
      </c>
      <c r="O72" s="118" t="str">
        <f>IFERROR(INDEX('Docketed Comments'!L:L,MATCH(A72,'Docketed Comments'!H:H,0)),"")</f>
        <v>No MEP R3-47($230.57)</v>
      </c>
      <c r="P72" s="119">
        <f t="shared" si="2"/>
        <v>230.57</v>
      </c>
      <c r="Q72" s="60" t="s">
        <v>23</v>
      </c>
      <c r="R72" s="64" t="s">
        <v>24</v>
      </c>
      <c r="S72" s="64" t="s">
        <v>191</v>
      </c>
    </row>
    <row r="73" spans="1:19" ht="21.95" hidden="1" customHeight="1">
      <c r="A73" s="66" t="s">
        <v>192</v>
      </c>
      <c r="B73" s="64" t="s">
        <v>31</v>
      </c>
      <c r="C73" s="65">
        <v>46053</v>
      </c>
      <c r="D73" s="64" t="s">
        <v>21</v>
      </c>
      <c r="E73" s="64" t="s">
        <v>22</v>
      </c>
      <c r="F73" s="60" t="s">
        <v>165</v>
      </c>
      <c r="G73" s="60"/>
      <c r="H73" s="60" t="str">
        <f>IFERROR(INDEX('Docketed Comments'!C:C,MATCH(A73,'Docketed Comments'!H:H,0))&amp;", "&amp;INDEX('Docketed Comments'!B:B,MATCH(A73,'Docketed Comments'!H:H,0)),"")</f>
        <v>Katie, Cross</v>
      </c>
      <c r="I73" s="60" t="str">
        <f>IFERROR(INDEX('Docketed Comments'!D:D,MATCH(A73,'Docketed Comments'!H:H,0)),"")</f>
        <v>Tempe</v>
      </c>
      <c r="J73" s="60" t="str">
        <f>IFERROR(INDEX('Docketed Comments'!I:I,MATCH(A73,'Docketed Comments'!H:H,0)),"")</f>
        <v>R-BASIC</v>
      </c>
      <c r="K73" s="60" t="str">
        <f t="shared" si="3"/>
        <v>❌ Not on Best Plan</v>
      </c>
      <c r="L73" s="60" t="str">
        <f>IFERROR(INDEX('Docketed Comments'!F:F,MATCH(A73,'Docketed Comments'!H:H,0)),"")</f>
        <v>Form letter</v>
      </c>
      <c r="M73" s="120" t="str">
        <f>IFERROR(INDEX('Docketed Comments'!G:G,MATCH(A73,'Docketed Comments'!H:H,0)),"")</f>
        <v>https://images.edocket.azcc.gov/docketpdf/E000046230.pdf</v>
      </c>
      <c r="N73" s="118" t="str">
        <f>IFERROR(INDEX('Docketed Comments'!N:N,MATCH(A73,'Docketed Comments'!H:H,0)),"")</f>
        <v>No</v>
      </c>
      <c r="O73" s="118" t="str">
        <f>IFERROR(INDEX('Docketed Comments'!L:L,MATCH(A73,'Docketed Comments'!H:H,0)),"")</f>
        <v>No MEP R3-47($32.46)</v>
      </c>
      <c r="P73" s="119">
        <f t="shared" si="2"/>
        <v>32.46</v>
      </c>
      <c r="Q73" s="60" t="s">
        <v>23</v>
      </c>
      <c r="R73" s="64" t="s">
        <v>24</v>
      </c>
      <c r="S73" s="64" t="s">
        <v>193</v>
      </c>
    </row>
    <row r="74" spans="1:19" ht="21.95" hidden="1" customHeight="1">
      <c r="A74" s="66" t="s">
        <v>194</v>
      </c>
      <c r="B74" s="64" t="s">
        <v>31</v>
      </c>
      <c r="C74" s="65">
        <v>46053</v>
      </c>
      <c r="D74" s="64" t="s">
        <v>27</v>
      </c>
      <c r="E74" s="64" t="s">
        <v>35</v>
      </c>
      <c r="F74" s="60" t="s">
        <v>195</v>
      </c>
      <c r="G74" s="60"/>
      <c r="H74" s="60" t="str">
        <f>IFERROR(INDEX('Docketed Comments'!C:C,MATCH(A74,'Docketed Comments'!H:H,0))&amp;", "&amp;INDEX('Docketed Comments'!B:B,MATCH(A74,'Docketed Comments'!H:H,0)),"")</f>
        <v>Heather, Matelski</v>
      </c>
      <c r="I74" s="60" t="str">
        <f>IFERROR(INDEX('Docketed Comments'!D:D,MATCH(A74,'Docketed Comments'!H:H,0)),"")</f>
        <v>Tempe</v>
      </c>
      <c r="J74" s="60" t="str">
        <f>IFERROR(INDEX('Docketed Comments'!I:I,MATCH(A74,'Docketed Comments'!H:H,0)),"")</f>
        <v>RTOUE47</v>
      </c>
      <c r="K74" s="60" t="str">
        <f t="shared" si="3"/>
        <v>❌ Not on Best Plan</v>
      </c>
      <c r="L74" s="60" t="str">
        <f>IFERROR(INDEX('Docketed Comments'!F:F,MATCH(A74,'Docketed Comments'!H:H,0)),"")</f>
        <v>Opposed</v>
      </c>
      <c r="M74" s="120" t="str">
        <f>IFERROR(INDEX('Docketed Comments'!G:G,MATCH(A74,'Docketed Comments'!H:H,0)),"")</f>
        <v>https://images.edocket.azcc.gov/docketpdf/E000046230.pdf</v>
      </c>
      <c r="N74" s="118" t="str">
        <f>IFERROR(INDEX('Docketed Comments'!N:N,MATCH(A74,'Docketed Comments'!H:H,0)),"")</f>
        <v>No</v>
      </c>
      <c r="O74" s="118" t="str">
        <f>IFERROR(INDEX('Docketed Comments'!L:L,MATCH(A74,'Docketed Comments'!H:H,0)),"")</f>
        <v>No MEP R3-47($149.40)</v>
      </c>
      <c r="P74" s="119">
        <f t="shared" si="2"/>
        <v>149.4</v>
      </c>
      <c r="Q74" s="60" t="s">
        <v>23</v>
      </c>
      <c r="R74" s="64" t="s">
        <v>24</v>
      </c>
      <c r="S74" s="64" t="s">
        <v>196</v>
      </c>
    </row>
    <row r="75" spans="1:19" ht="21.95" hidden="1" customHeight="1">
      <c r="A75" s="66" t="s">
        <v>197</v>
      </c>
      <c r="B75" s="64" t="s">
        <v>31</v>
      </c>
      <c r="C75" s="65">
        <v>46053</v>
      </c>
      <c r="D75" s="64" t="s">
        <v>27</v>
      </c>
      <c r="E75" s="64" t="s">
        <v>35</v>
      </c>
      <c r="F75" s="60"/>
      <c r="G75" s="60"/>
      <c r="H75" s="60" t="str">
        <f>IFERROR(INDEX('Docketed Comments'!C:C,MATCH(A75,'Docketed Comments'!H:H,0))&amp;", "&amp;INDEX('Docketed Comments'!B:B,MATCH(A75,'Docketed Comments'!H:H,0)),"")</f>
        <v>George, Testo</v>
      </c>
      <c r="I75" s="60" t="str">
        <f>IFERROR(INDEX('Docketed Comments'!D:D,MATCH(A75,'Docketed Comments'!H:H,0)),"")</f>
        <v>Flagstaff</v>
      </c>
      <c r="J75" s="60" t="str">
        <f>IFERROR(INDEX('Docketed Comments'!I:I,MATCH(A75,'Docketed Comments'!H:H,0)),"")</f>
        <v>RTOUE47</v>
      </c>
      <c r="K75" s="60" t="str">
        <f t="shared" si="3"/>
        <v>❌ Not on Best Plan</v>
      </c>
      <c r="L75" s="60" t="str">
        <f>IFERROR(INDEX('Docketed Comments'!F:F,MATCH(A75,'Docketed Comments'!H:H,0)),"")</f>
        <v>Opposed</v>
      </c>
      <c r="M75" s="120" t="str">
        <f>IFERROR(INDEX('Docketed Comments'!G:G,MATCH(A75,'Docketed Comments'!H:H,0)),"")</f>
        <v>https://images.edocket.azcc.gov/docketpdf/E000046230.pdf</v>
      </c>
      <c r="N75" s="118" t="str">
        <f>IFERROR(INDEX('Docketed Comments'!N:N,MATCH(A75,'Docketed Comments'!H:H,0)),"")</f>
        <v>No</v>
      </c>
      <c r="O75" s="118" t="str">
        <f>IFERROR(INDEX('Docketed Comments'!L:L,MATCH(A75,'Docketed Comments'!H:H,0)),"")</f>
        <v>No MEP R-XS ($49.64)</v>
      </c>
      <c r="P75" s="119">
        <f t="shared" si="2"/>
        <v>49.64</v>
      </c>
      <c r="Q75" s="60" t="s">
        <v>23</v>
      </c>
      <c r="R75" s="64" t="s">
        <v>24</v>
      </c>
      <c r="S75" s="64" t="s">
        <v>198</v>
      </c>
    </row>
    <row r="76" spans="1:19" ht="21.95" hidden="1" customHeight="1">
      <c r="A76" s="66" t="s">
        <v>199</v>
      </c>
      <c r="B76" s="64" t="s">
        <v>31</v>
      </c>
      <c r="C76" s="65">
        <v>46060</v>
      </c>
      <c r="D76" s="64" t="s">
        <v>27</v>
      </c>
      <c r="E76" s="64" t="s">
        <v>22</v>
      </c>
      <c r="F76" s="60" t="s">
        <v>165</v>
      </c>
      <c r="G76" s="60"/>
      <c r="H76" s="60" t="str">
        <f>IFERROR(INDEX('Docketed Comments'!C:C,MATCH(A76,'Docketed Comments'!H:H,0))&amp;", "&amp;INDEX('Docketed Comments'!B:B,MATCH(A76,'Docketed Comments'!H:H,0)),"")</f>
        <v>Isabel, Brunetti</v>
      </c>
      <c r="I76" s="60" t="str">
        <f>IFERROR(INDEX('Docketed Comments'!D:D,MATCH(A76,'Docketed Comments'!H:H,0)),"")</f>
        <v>Phoenix</v>
      </c>
      <c r="J76" s="60" t="str">
        <f>IFERROR(INDEX('Docketed Comments'!I:I,MATCH(A76,'Docketed Comments'!H:H,0)),"")</f>
        <v>R3-47</v>
      </c>
      <c r="K76" s="60" t="str">
        <f t="shared" si="3"/>
        <v>❌ Not on Best Plan</v>
      </c>
      <c r="L76" s="60" t="str">
        <f>IFERROR(INDEX('Docketed Comments'!F:F,MATCH(A76,'Docketed Comments'!H:H,0)),"")</f>
        <v>Unfair</v>
      </c>
      <c r="M76" s="120" t="str">
        <f>IFERROR(INDEX('Docketed Comments'!G:G,MATCH(A76,'Docketed Comments'!H:H,0)),"")</f>
        <v>https://images.edocket.azcc.gov/docketpdf/E000046230.pdf</v>
      </c>
      <c r="N76" s="118" t="str">
        <f>IFERROR(INDEX('Docketed Comments'!N:N,MATCH(A76,'Docketed Comments'!H:H,0)),"")</f>
        <v>No</v>
      </c>
      <c r="O76" s="118" t="str">
        <f>IFERROR(INDEX('Docketed Comments'!L:L,MATCH(A76,'Docketed Comments'!H:H,0)),"")</f>
        <v>No MEP R-BASIC($187.87)</v>
      </c>
      <c r="P76" s="119">
        <f t="shared" si="2"/>
        <v>187.87</v>
      </c>
      <c r="Q76" s="60" t="s">
        <v>23</v>
      </c>
      <c r="R76" s="64" t="s">
        <v>24</v>
      </c>
      <c r="S76" s="64" t="s">
        <v>200</v>
      </c>
    </row>
    <row r="77" spans="1:19" ht="21.95" hidden="1" customHeight="1">
      <c r="A77" s="66" t="s">
        <v>201</v>
      </c>
      <c r="B77" s="64" t="s">
        <v>31</v>
      </c>
      <c r="C77" s="65">
        <v>46053</v>
      </c>
      <c r="D77" s="64" t="s">
        <v>21</v>
      </c>
      <c r="E77" s="64" t="s">
        <v>22</v>
      </c>
      <c r="F77" s="60" t="s">
        <v>165</v>
      </c>
      <c r="G77" s="60"/>
      <c r="H77" s="60" t="str">
        <f>IFERROR(INDEX('Docketed Comments'!C:C,MATCH(A77,'Docketed Comments'!H:H,0))&amp;", "&amp;INDEX('Docketed Comments'!B:B,MATCH(A77,'Docketed Comments'!H:H,0)),"")</f>
        <v>Natalie, Pera</v>
      </c>
      <c r="I77" s="60" t="str">
        <f>IFERROR(INDEX('Docketed Comments'!D:D,MATCH(A77,'Docketed Comments'!H:H,0)),"")</f>
        <v>Phoenix</v>
      </c>
      <c r="J77" s="60" t="str">
        <f>IFERROR(INDEX('Docketed Comments'!I:I,MATCH(A77,'Docketed Comments'!H:H,0)),"")</f>
        <v>RTOUE47</v>
      </c>
      <c r="K77" s="60" t="str">
        <f t="shared" si="3"/>
        <v>❌ Not on Best Plan</v>
      </c>
      <c r="L77" s="60" t="str">
        <f>IFERROR(INDEX('Docketed Comments'!F:F,MATCH(A77,'Docketed Comments'!H:H,0)),"")</f>
        <v>Form letter</v>
      </c>
      <c r="M77" s="120" t="str">
        <f>IFERROR(INDEX('Docketed Comments'!G:G,MATCH(A77,'Docketed Comments'!H:H,0)),"")</f>
        <v>https://images.edocket.azcc.gov/docketpdf/E000046230.pdf</v>
      </c>
      <c r="N77" s="118" t="str">
        <f>IFERROR(INDEX('Docketed Comments'!N:N,MATCH(A77,'Docketed Comments'!H:H,0)),"")</f>
        <v>No</v>
      </c>
      <c r="O77" s="118" t="str">
        <f>IFERROR(INDEX('Docketed Comments'!L:L,MATCH(A77,'Docketed Comments'!H:H,0)),"")</f>
        <v>No MEP R3-47 ($108.13)</v>
      </c>
      <c r="P77" s="119">
        <f t="shared" si="2"/>
        <v>108.13</v>
      </c>
      <c r="Q77" s="60" t="s">
        <v>23</v>
      </c>
      <c r="R77" s="64" t="s">
        <v>24</v>
      </c>
      <c r="S77" s="64" t="s">
        <v>202</v>
      </c>
    </row>
    <row r="78" spans="1:19" ht="21.95" hidden="1" customHeight="1">
      <c r="A78" s="66" t="s">
        <v>203</v>
      </c>
      <c r="B78" s="64" t="s">
        <v>31</v>
      </c>
      <c r="C78" s="65">
        <v>46053</v>
      </c>
      <c r="D78" s="64" t="s">
        <v>21</v>
      </c>
      <c r="E78" s="64" t="s">
        <v>22</v>
      </c>
      <c r="F78" s="60" t="s">
        <v>165</v>
      </c>
      <c r="G78" s="60"/>
      <c r="H78" s="60" t="str">
        <f>IFERROR(INDEX('Docketed Comments'!C:C,MATCH(A78,'Docketed Comments'!H:H,0))&amp;", "&amp;INDEX('Docketed Comments'!B:B,MATCH(A78,'Docketed Comments'!H:H,0)),"")</f>
        <v>Robert, Kennedy</v>
      </c>
      <c r="I78" s="60" t="str">
        <f>IFERROR(INDEX('Docketed Comments'!D:D,MATCH(A78,'Docketed Comments'!H:H,0)),"")</f>
        <v>Phoenix</v>
      </c>
      <c r="J78" s="60" t="str">
        <f>IFERROR(INDEX('Docketed Comments'!I:I,MATCH(A78,'Docketed Comments'!H:H,0)),"")</f>
        <v>R3-47</v>
      </c>
      <c r="K78" s="60" t="str">
        <f t="shared" si="3"/>
        <v>❌ Not on Best Plan</v>
      </c>
      <c r="L78" s="60" t="str">
        <f>IFERROR(INDEX('Docketed Comments'!F:F,MATCH(A78,'Docketed Comments'!H:H,0)),"")</f>
        <v>Opposed</v>
      </c>
      <c r="M78" s="120" t="str">
        <f>IFERROR(INDEX('Docketed Comments'!G:G,MATCH(A78,'Docketed Comments'!H:H,0)),"")</f>
        <v>https://images.edocket.azcc.gov/docketpdf/E000046230.pdf</v>
      </c>
      <c r="N78" s="118" t="str">
        <f>IFERROR(INDEX('Docketed Comments'!N:N,MATCH(A78,'Docketed Comments'!H:H,0)),"")</f>
        <v>No</v>
      </c>
      <c r="O78" s="118" t="str">
        <f>IFERROR(INDEX('Docketed Comments'!L:L,MATCH(A78,'Docketed Comments'!H:H,0)),"")</f>
        <v>No MEP R-XS ($287.81)</v>
      </c>
      <c r="P78" s="119">
        <f t="shared" si="2"/>
        <v>287.81</v>
      </c>
      <c r="Q78" s="60" t="s">
        <v>23</v>
      </c>
      <c r="R78" s="64" t="s">
        <v>24</v>
      </c>
      <c r="S78" s="64" t="s">
        <v>204</v>
      </c>
    </row>
    <row r="79" spans="1:19" ht="21.95" hidden="1" customHeight="1">
      <c r="A79" s="66" t="s">
        <v>205</v>
      </c>
      <c r="B79" s="64" t="s">
        <v>31</v>
      </c>
      <c r="C79" s="65">
        <v>46053</v>
      </c>
      <c r="D79" s="64" t="s">
        <v>27</v>
      </c>
      <c r="E79" s="64" t="s">
        <v>68</v>
      </c>
      <c r="F79" s="60" t="s">
        <v>206</v>
      </c>
      <c r="G79" s="60"/>
      <c r="H79" s="60" t="str">
        <f>IFERROR(INDEX('Docketed Comments'!C:C,MATCH(A79,'Docketed Comments'!H:H,0))&amp;", "&amp;INDEX('Docketed Comments'!B:B,MATCH(A79,'Docketed Comments'!H:H,0)),"")</f>
        <v>Tyler, Healey</v>
      </c>
      <c r="I79" s="60" t="str">
        <f>IFERROR(INDEX('Docketed Comments'!D:D,MATCH(A79,'Docketed Comments'!H:H,0)),"")</f>
        <v>Phoenix</v>
      </c>
      <c r="J79" s="60" t="str">
        <f>IFERROR(INDEX('Docketed Comments'!I:I,MATCH(A79,'Docketed Comments'!H:H,0)),"")</f>
        <v>RTOUE47</v>
      </c>
      <c r="K79" s="60" t="str">
        <f t="shared" si="3"/>
        <v>❌ Not on Best Plan</v>
      </c>
      <c r="L79" s="60" t="str">
        <f>IFERROR(INDEX('Docketed Comments'!F:F,MATCH(A79,'Docketed Comments'!H:H,0)),"")</f>
        <v>Enough with the rate hikes</v>
      </c>
      <c r="M79" s="120" t="str">
        <f>IFERROR(INDEX('Docketed Comments'!G:G,MATCH(A79,'Docketed Comments'!H:H,0)),"")</f>
        <v>https://images.edocket.azcc.gov/docketpdf/E000046230.pdf</v>
      </c>
      <c r="N79" s="118" t="str">
        <f>IFERROR(INDEX('Docketed Comments'!N:N,MATCH(A79,'Docketed Comments'!H:H,0)),"")</f>
        <v>No</v>
      </c>
      <c r="O79" s="118" t="str">
        <f>IFERROR(INDEX('Docketed Comments'!L:L,MATCH(A79,'Docketed Comments'!H:H,0)),"")</f>
        <v>No MEP R3-47($271.50)</v>
      </c>
      <c r="P79" s="119">
        <f t="shared" si="2"/>
        <v>271.5</v>
      </c>
      <c r="Q79" s="60" t="s">
        <v>23</v>
      </c>
      <c r="R79" s="64" t="s">
        <v>24</v>
      </c>
      <c r="S79" s="64" t="s">
        <v>207</v>
      </c>
    </row>
    <row r="80" spans="1:19" ht="21.95" hidden="1" customHeight="1">
      <c r="A80" s="66" t="s">
        <v>208</v>
      </c>
      <c r="B80" s="64" t="s">
        <v>31</v>
      </c>
      <c r="C80" s="65">
        <v>46053</v>
      </c>
      <c r="D80" s="64" t="s">
        <v>21</v>
      </c>
      <c r="E80" s="64" t="s">
        <v>22</v>
      </c>
      <c r="F80" s="60" t="s">
        <v>165</v>
      </c>
      <c r="G80" s="60"/>
      <c r="H80" s="60" t="str">
        <f>IFERROR(INDEX('Docketed Comments'!C:C,MATCH(A80,'Docketed Comments'!H:H,0))&amp;", "&amp;INDEX('Docketed Comments'!B:B,MATCH(A80,'Docketed Comments'!H:H,0)),"")</f>
        <v>Zachary, Abitz</v>
      </c>
      <c r="I80" s="60" t="str">
        <f>IFERROR(INDEX('Docketed Comments'!D:D,MATCH(A80,'Docketed Comments'!H:H,0)),"")</f>
        <v>Surprise</v>
      </c>
      <c r="J80" s="60" t="str">
        <f>IFERROR(INDEX('Docketed Comments'!I:I,MATCH(A80,'Docketed Comments'!H:H,0)),"")</f>
        <v>RTOUE47</v>
      </c>
      <c r="K80" s="60" t="str">
        <f t="shared" si="3"/>
        <v>❌ Not on Best Plan</v>
      </c>
      <c r="L80" s="60" t="str">
        <f>IFERROR(INDEX('Docketed Comments'!F:F,MATCH(A80,'Docketed Comments'!H:H,0)),"")</f>
        <v>Enough is enough</v>
      </c>
      <c r="M80" s="120" t="str">
        <f>IFERROR(INDEX('Docketed Comments'!G:G,MATCH(A80,'Docketed Comments'!H:H,0)),"")</f>
        <v>https://images.edocket.azcc.gov/docketpdf/E000046230.pdf</v>
      </c>
      <c r="N80" s="118" t="str">
        <f>IFERROR(INDEX('Docketed Comments'!N:N,MATCH(A80,'Docketed Comments'!H:H,0)),"")</f>
        <v>No</v>
      </c>
      <c r="O80" s="118" t="str">
        <f>IFERROR(INDEX('Docketed Comments'!L:L,MATCH(A80,'Docketed Comments'!H:H,0)),"")</f>
        <v>No MEP R3-47($426.81)</v>
      </c>
      <c r="P80" s="119">
        <f t="shared" si="2"/>
        <v>426.81</v>
      </c>
      <c r="Q80" s="60" t="s">
        <v>23</v>
      </c>
      <c r="R80" s="64" t="s">
        <v>24</v>
      </c>
      <c r="S80" s="64" t="s">
        <v>209</v>
      </c>
    </row>
    <row r="81" spans="1:19" ht="21.95" hidden="1" customHeight="1">
      <c r="A81" s="66" t="s">
        <v>210</v>
      </c>
      <c r="B81" s="64" t="s">
        <v>31</v>
      </c>
      <c r="C81" s="65">
        <v>46046</v>
      </c>
      <c r="D81" s="64" t="s">
        <v>27</v>
      </c>
      <c r="E81" s="64" t="s">
        <v>22</v>
      </c>
      <c r="F81" s="60" t="s">
        <v>211</v>
      </c>
      <c r="G81" s="60"/>
      <c r="H81" s="60" t="str">
        <f>IFERROR(INDEX('Docketed Comments'!C:C,MATCH(A81,'Docketed Comments'!H:H,0))&amp;", "&amp;INDEX('Docketed Comments'!B:B,MATCH(A81,'Docketed Comments'!H:H,0)),"")</f>
        <v>David, Henderson</v>
      </c>
      <c r="I81" s="60" t="str">
        <f>IFERROR(INDEX('Docketed Comments'!D:D,MATCH(A81,'Docketed Comments'!H:H,0)),"")</f>
        <v>Scottsdale</v>
      </c>
      <c r="J81" s="60" t="str">
        <f>IFERROR(INDEX('Docketed Comments'!I:I,MATCH(A81,'Docketed Comments'!H:H,0)),"")</f>
        <v>RTOUE47</v>
      </c>
      <c r="K81" s="60" t="str">
        <f t="shared" si="3"/>
        <v>❌ Not on Best Plan</v>
      </c>
      <c r="L81" s="60" t="str">
        <f>IFERROR(INDEX('Docketed Comments'!F:F,MATCH(A81,'Docketed Comments'!H:H,0)),"")</f>
        <v>Form letter</v>
      </c>
      <c r="M81" s="120" t="str">
        <f>IFERROR(INDEX('Docketed Comments'!G:G,MATCH(A81,'Docketed Comments'!H:H,0)),"")</f>
        <v>https://images.edocket.azcc.gov/docketpdf/E000046230.pdf</v>
      </c>
      <c r="N81" s="118" t="str">
        <f>IFERROR(INDEX('Docketed Comments'!N:N,MATCH(A81,'Docketed Comments'!H:H,0)),"")</f>
        <v>No</v>
      </c>
      <c r="O81" s="118" t="str">
        <f>IFERROR(INDEX('Docketed Comments'!L:L,MATCH(A81,'Docketed Comments'!H:H,0)),"")</f>
        <v>No MEP R-BASIC($140.27)</v>
      </c>
      <c r="P81" s="119">
        <f t="shared" si="2"/>
        <v>140.27000000000001</v>
      </c>
      <c r="Q81" s="60" t="s">
        <v>23</v>
      </c>
      <c r="R81" s="64" t="s">
        <v>24</v>
      </c>
      <c r="S81" s="124" t="s">
        <v>212</v>
      </c>
    </row>
    <row r="82" spans="1:19" ht="21.95" hidden="1" customHeight="1">
      <c r="A82" s="66" t="s">
        <v>213</v>
      </c>
      <c r="B82" s="64" t="s">
        <v>31</v>
      </c>
      <c r="C82" s="65">
        <v>46060</v>
      </c>
      <c r="D82" s="64" t="s">
        <v>27</v>
      </c>
      <c r="E82" s="64" t="s">
        <v>214</v>
      </c>
      <c r="F82" s="60" t="s">
        <v>215</v>
      </c>
      <c r="G82" s="60"/>
      <c r="H82" s="60" t="str">
        <f>IFERROR(INDEX('Docketed Comments'!C:C,MATCH(A82,'Docketed Comments'!H:H,0))&amp;", "&amp;INDEX('Docketed Comments'!B:B,MATCH(A82,'Docketed Comments'!H:H,0)),"")</f>
        <v>Govardhan Reddy, Siddavatam</v>
      </c>
      <c r="I82" s="60" t="str">
        <f>IFERROR(INDEX('Docketed Comments'!D:D,MATCH(A82,'Docketed Comments'!H:H,0)),"")</f>
        <v>Peoria</v>
      </c>
      <c r="J82" s="60" t="str">
        <f>IFERROR(INDEX('Docketed Comments'!I:I,MATCH(A82,'Docketed Comments'!H:H,0)),"")</f>
        <v>RTOUE47</v>
      </c>
      <c r="K82" s="60" t="str">
        <f t="shared" si="3"/>
        <v>❌ Not on Best Plan</v>
      </c>
      <c r="L82" s="60" t="str">
        <f>IFERROR(INDEX('Docketed Comments'!F:F,MATCH(A82,'Docketed Comments'!H:H,0)),"")</f>
        <v>Opposed</v>
      </c>
      <c r="M82" s="120" t="str">
        <f>IFERROR(INDEX('Docketed Comments'!G:G,MATCH(A82,'Docketed Comments'!H:H,0)),"")</f>
        <v>https://images.edocket.azcc.gov/docketpdf/E000046230.pdf</v>
      </c>
      <c r="N82" s="118" t="str">
        <f>IFERROR(INDEX('Docketed Comments'!N:N,MATCH(A82,'Docketed Comments'!H:H,0)),"")</f>
        <v>No</v>
      </c>
      <c r="O82" s="118" t="str">
        <f>IFERROR(INDEX('Docketed Comments'!L:L,MATCH(A82,'Docketed Comments'!H:H,0)),"")</f>
        <v>No MEP R3-47($305.79)</v>
      </c>
      <c r="P82" s="119">
        <f t="shared" si="2"/>
        <v>305.79000000000002</v>
      </c>
      <c r="Q82" s="60" t="s">
        <v>23</v>
      </c>
      <c r="R82" s="64" t="s">
        <v>24</v>
      </c>
      <c r="S82" s="64" t="s">
        <v>216</v>
      </c>
    </row>
    <row r="83" spans="1:19" ht="21.95" hidden="1" customHeight="1">
      <c r="A83" s="66" t="s">
        <v>217</v>
      </c>
      <c r="B83" s="64" t="s">
        <v>31</v>
      </c>
      <c r="C83" s="65">
        <v>46046</v>
      </c>
      <c r="D83" s="64" t="s">
        <v>27</v>
      </c>
      <c r="E83" s="64" t="s">
        <v>68</v>
      </c>
      <c r="F83" s="60" t="s">
        <v>218</v>
      </c>
      <c r="G83" s="60"/>
      <c r="H83" s="60" t="str">
        <f>IFERROR(INDEX('Docketed Comments'!C:C,MATCH(A83,'Docketed Comments'!H:H,0))&amp;", "&amp;INDEX('Docketed Comments'!B:B,MATCH(A83,'Docketed Comments'!H:H,0)),"")</f>
        <v>Ethan, Zohn</v>
      </c>
      <c r="I83" s="60" t="str">
        <f>IFERROR(INDEX('Docketed Comments'!D:D,MATCH(A83,'Docketed Comments'!H:H,0)),"")</f>
        <v>Phoenix</v>
      </c>
      <c r="J83" s="60" t="str">
        <f>IFERROR(INDEX('Docketed Comments'!I:I,MATCH(A83,'Docketed Comments'!H:H,0)),"")</f>
        <v>RTOUE47</v>
      </c>
      <c r="K83" s="60" t="str">
        <f t="shared" si="3"/>
        <v>❌ Not on Best Plan</v>
      </c>
      <c r="L83" s="60" t="str">
        <f>IFERROR(INDEX('Docketed Comments'!F:F,MATCH(A83,'Docketed Comments'!H:H,0)),"")</f>
        <v>Not good</v>
      </c>
      <c r="M83" s="120" t="str">
        <f>IFERROR(INDEX('Docketed Comments'!G:G,MATCH(A83,'Docketed Comments'!H:H,0)),"")</f>
        <v>https://images.edocket.azcc.gov/docketpdf/E000046230.pdf</v>
      </c>
      <c r="N83" s="118" t="str">
        <f>IFERROR(INDEX('Docketed Comments'!N:N,MATCH(A83,'Docketed Comments'!H:H,0)),"")</f>
        <v>No</v>
      </c>
      <c r="O83" s="118" t="str">
        <f>IFERROR(INDEX('Docketed Comments'!L:L,MATCH(A83,'Docketed Comments'!H:H,0)),"")</f>
        <v>No MEP R-XS($38.65)</v>
      </c>
      <c r="P83" s="119">
        <f t="shared" si="2"/>
        <v>38.65</v>
      </c>
      <c r="Q83" s="60" t="s">
        <v>23</v>
      </c>
      <c r="R83" s="64" t="s">
        <v>24</v>
      </c>
      <c r="S83" s="64" t="s">
        <v>219</v>
      </c>
    </row>
    <row r="84" spans="1:19" ht="21.95" hidden="1" customHeight="1">
      <c r="A84" s="66" t="s">
        <v>220</v>
      </c>
      <c r="B84" s="64" t="s">
        <v>31</v>
      </c>
      <c r="C84" s="65">
        <v>46046</v>
      </c>
      <c r="D84" s="64" t="s">
        <v>21</v>
      </c>
      <c r="E84" s="64" t="s">
        <v>22</v>
      </c>
      <c r="F84" s="60"/>
      <c r="G84" s="60"/>
      <c r="H84" s="60" t="str">
        <f>IFERROR(INDEX('Docketed Comments'!C:C,MATCH(A84,'Docketed Comments'!H:H,0))&amp;", "&amp;INDEX('Docketed Comments'!B:B,MATCH(A84,'Docketed Comments'!H:H,0)),"")</f>
        <v>Aaron, Royster</v>
      </c>
      <c r="I84" s="60" t="str">
        <f>IFERROR(INDEX('Docketed Comments'!D:D,MATCH(A84,'Docketed Comments'!H:H,0)),"")</f>
        <v>Tempe</v>
      </c>
      <c r="J84" s="60" t="str">
        <f>IFERROR(INDEX('Docketed Comments'!I:I,MATCH(A84,'Docketed Comments'!H:H,0)),"")</f>
        <v>RTOUE47</v>
      </c>
      <c r="K84" s="60" t="str">
        <f t="shared" si="3"/>
        <v>❌ Not on Best Plan</v>
      </c>
      <c r="L84" s="60" t="str">
        <f>IFERROR(INDEX('Docketed Comments'!F:F,MATCH(A84,'Docketed Comments'!H:H,0)),"")</f>
        <v>Form letter</v>
      </c>
      <c r="M84" s="120" t="str">
        <f>IFERROR(INDEX('Docketed Comments'!G:G,MATCH(A84,'Docketed Comments'!H:H,0)),"")</f>
        <v>https://images.edocket.azcc.gov/docketpdf/E000046230.pdf</v>
      </c>
      <c r="N84" s="118" t="str">
        <f>IFERROR(INDEX('Docketed Comments'!N:N,MATCH(A84,'Docketed Comments'!H:H,0)),"")</f>
        <v>No</v>
      </c>
      <c r="O84" s="118" t="str">
        <f>IFERROR(INDEX('Docketed Comments'!L:L,MATCH(A84,'Docketed Comments'!H:H,0)),"")</f>
        <v>No MEP R3-47 ($130.61)</v>
      </c>
      <c r="P84" s="119">
        <f t="shared" si="2"/>
        <v>130.61000000000001</v>
      </c>
      <c r="Q84" s="60" t="s">
        <v>23</v>
      </c>
      <c r="R84" s="64" t="s">
        <v>24</v>
      </c>
      <c r="S84" s="64" t="s">
        <v>221</v>
      </c>
    </row>
    <row r="85" spans="1:19" ht="21.95" hidden="1" customHeight="1">
      <c r="A85" s="66" t="s">
        <v>222</v>
      </c>
      <c r="B85" s="64" t="s">
        <v>31</v>
      </c>
      <c r="C85" s="65">
        <v>46046</v>
      </c>
      <c r="D85" s="64" t="s">
        <v>27</v>
      </c>
      <c r="E85" s="64" t="s">
        <v>22</v>
      </c>
      <c r="F85" s="60" t="s">
        <v>211</v>
      </c>
      <c r="G85" s="60"/>
      <c r="H85" s="60" t="str">
        <f>IFERROR(INDEX('Docketed Comments'!C:C,MATCH(A85,'Docketed Comments'!H:H,0))&amp;", "&amp;INDEX('Docketed Comments'!B:B,MATCH(A85,'Docketed Comments'!H:H,0)),"")</f>
        <v>Christopher, Macagni</v>
      </c>
      <c r="I85" s="60" t="str">
        <f>IFERROR(INDEX('Docketed Comments'!D:D,MATCH(A85,'Docketed Comments'!H:H,0)),"")</f>
        <v>Peoria</v>
      </c>
      <c r="J85" s="60" t="str">
        <f>IFERROR(INDEX('Docketed Comments'!I:I,MATCH(A85,'Docketed Comments'!H:H,0)),"")</f>
        <v>RTOUE47</v>
      </c>
      <c r="K85" s="60" t="str">
        <f t="shared" si="3"/>
        <v>❌ Not on Best Plan</v>
      </c>
      <c r="L85" s="60" t="str">
        <f>IFERROR(INDEX('Docketed Comments'!F:F,MATCH(A85,'Docketed Comments'!H:H,0)),"")</f>
        <v>Form letter</v>
      </c>
      <c r="M85" s="120" t="str">
        <f>IFERROR(INDEX('Docketed Comments'!G:G,MATCH(A85,'Docketed Comments'!H:H,0)),"")</f>
        <v>https://images.edocket.azcc.gov/docketpdf/E000046230.pdf</v>
      </c>
      <c r="N85" s="118" t="str">
        <f>IFERROR(INDEX('Docketed Comments'!N:N,MATCH(A85,'Docketed Comments'!H:H,0)),"")</f>
        <v>No</v>
      </c>
      <c r="O85" s="118" t="str">
        <f>IFERROR(INDEX('Docketed Comments'!L:L,MATCH(A85,'Docketed Comments'!H:H,0)),"")</f>
        <v>No MEP R3-47($392.95)</v>
      </c>
      <c r="P85" s="119">
        <f t="shared" si="2"/>
        <v>392.95</v>
      </c>
      <c r="Q85" s="60" t="s">
        <v>23</v>
      </c>
      <c r="R85" s="64" t="s">
        <v>24</v>
      </c>
      <c r="S85" s="64" t="s">
        <v>223</v>
      </c>
    </row>
    <row r="86" spans="1:19" ht="21.95" hidden="1" customHeight="1">
      <c r="A86" s="66" t="s">
        <v>224</v>
      </c>
      <c r="B86" s="64" t="s">
        <v>31</v>
      </c>
      <c r="C86" s="65">
        <v>46046</v>
      </c>
      <c r="D86" s="64" t="s">
        <v>21</v>
      </c>
      <c r="E86" s="64" t="s">
        <v>22</v>
      </c>
      <c r="F86" s="60" t="s">
        <v>165</v>
      </c>
      <c r="G86" s="60"/>
      <c r="H86" s="60" t="str">
        <f>IFERROR(INDEX('Docketed Comments'!C:C,MATCH(A86,'Docketed Comments'!H:H,0))&amp;", "&amp;INDEX('Docketed Comments'!B:B,MATCH(A86,'Docketed Comments'!H:H,0)),"")</f>
        <v>Morgan, Heiser</v>
      </c>
      <c r="I86" s="60" t="str">
        <f>IFERROR(INDEX('Docketed Comments'!D:D,MATCH(A86,'Docketed Comments'!H:H,0)),"")</f>
        <v>Phoenix</v>
      </c>
      <c r="J86" s="60" t="str">
        <f>IFERROR(INDEX('Docketed Comments'!I:I,MATCH(A86,'Docketed Comments'!H:H,0)),"")</f>
        <v>R3-47</v>
      </c>
      <c r="K86" s="60" t="str">
        <f t="shared" si="3"/>
        <v>❌ Not on Best Plan</v>
      </c>
      <c r="L86" s="60" t="str">
        <f>IFERROR(INDEX('Docketed Comments'!F:F,MATCH(A86,'Docketed Comments'!H:H,0)),"")</f>
        <v>Opposed</v>
      </c>
      <c r="M86" s="120" t="str">
        <f>IFERROR(INDEX('Docketed Comments'!G:G,MATCH(A86,'Docketed Comments'!H:H,0)),"")</f>
        <v>https://images.edocket.azcc.gov/docketpdf/E000046230.pdf</v>
      </c>
      <c r="N86" s="118" t="str">
        <f>IFERROR(INDEX('Docketed Comments'!N:N,MATCH(A86,'Docketed Comments'!H:H,0)),"")</f>
        <v>No</v>
      </c>
      <c r="O86" s="118" t="str">
        <f>IFERROR(INDEX('Docketed Comments'!L:L,MATCH(A86,'Docketed Comments'!H:H,0)),"")</f>
        <v>No MEP R-XS($171.24)</v>
      </c>
      <c r="P86" s="119">
        <f t="shared" si="2"/>
        <v>171.24</v>
      </c>
      <c r="Q86" s="60" t="s">
        <v>23</v>
      </c>
      <c r="R86" s="64" t="s">
        <v>24</v>
      </c>
      <c r="S86" s="64" t="s">
        <v>225</v>
      </c>
    </row>
    <row r="87" spans="1:19" ht="21.95" hidden="1" customHeight="1">
      <c r="A87" s="66" t="s">
        <v>226</v>
      </c>
      <c r="B87" s="64" t="s">
        <v>31</v>
      </c>
      <c r="C87" s="65">
        <v>46046</v>
      </c>
      <c r="D87" s="64" t="s">
        <v>21</v>
      </c>
      <c r="E87" s="64" t="s">
        <v>22</v>
      </c>
      <c r="F87" s="60" t="s">
        <v>165</v>
      </c>
      <c r="G87" s="60"/>
      <c r="H87" s="60" t="str">
        <f>IFERROR(INDEX('Docketed Comments'!C:C,MATCH(A87,'Docketed Comments'!H:H,0))&amp;", "&amp;INDEX('Docketed Comments'!B:B,MATCH(A87,'Docketed Comments'!H:H,0)),"")</f>
        <v>Michelle, Phipps</v>
      </c>
      <c r="I87" s="60" t="str">
        <f>IFERROR(INDEX('Docketed Comments'!D:D,MATCH(A87,'Docketed Comments'!H:H,0)),"")</f>
        <v>Casa Grande</v>
      </c>
      <c r="J87" s="60" t="str">
        <f>IFERROR(INDEX('Docketed Comments'!I:I,MATCH(A87,'Docketed Comments'!H:H,0)),"")</f>
        <v>RTOUE47</v>
      </c>
      <c r="K87" s="60" t="str">
        <f t="shared" si="3"/>
        <v>❌ Not on Best Plan</v>
      </c>
      <c r="L87" s="60" t="str">
        <f>IFERROR(INDEX('Docketed Comments'!F:F,MATCH(A87,'Docketed Comments'!H:H,0)),"")</f>
        <v>Opposed, out of control</v>
      </c>
      <c r="M87" s="120" t="str">
        <f>IFERROR(INDEX('Docketed Comments'!G:G,MATCH(A87,'Docketed Comments'!H:H,0)),"")</f>
        <v>https://images.edocket.azcc.gov/docketpdf/E000046230.pdf</v>
      </c>
      <c r="N87" s="118" t="str">
        <f>IFERROR(INDEX('Docketed Comments'!N:N,MATCH(A87,'Docketed Comments'!H:H,0)),"")</f>
        <v>No</v>
      </c>
      <c r="O87" s="118" t="str">
        <f>IFERROR(INDEX('Docketed Comments'!L:L,MATCH(A87,'Docketed Comments'!H:H,0)),"")</f>
        <v>No MEP R3-47($1.24)</v>
      </c>
      <c r="P87" s="119">
        <f t="shared" si="2"/>
        <v>1.24</v>
      </c>
      <c r="Q87" s="60" t="s">
        <v>23</v>
      </c>
      <c r="R87" s="64" t="s">
        <v>24</v>
      </c>
      <c r="S87" s="64" t="s">
        <v>227</v>
      </c>
    </row>
    <row r="88" spans="1:19" ht="21.95" hidden="1" customHeight="1">
      <c r="A88" s="66" t="s">
        <v>228</v>
      </c>
      <c r="B88" s="64" t="s">
        <v>31</v>
      </c>
      <c r="C88" s="65">
        <v>46046</v>
      </c>
      <c r="D88" s="64" t="s">
        <v>21</v>
      </c>
      <c r="E88" s="64" t="s">
        <v>22</v>
      </c>
      <c r="F88" s="60" t="s">
        <v>165</v>
      </c>
      <c r="G88" s="60"/>
      <c r="H88" s="60" t="str">
        <f>IFERROR(INDEX('Docketed Comments'!C:C,MATCH(A88,'Docketed Comments'!H:H,0))&amp;", "&amp;INDEX('Docketed Comments'!B:B,MATCH(A88,'Docketed Comments'!H:H,0)),"")</f>
        <v>Jordon, Smith</v>
      </c>
      <c r="I88" s="60" t="str">
        <f>IFERROR(INDEX('Docketed Comments'!D:D,MATCH(A88,'Docketed Comments'!H:H,0)),"")</f>
        <v>Phoenix</v>
      </c>
      <c r="J88" s="60" t="str">
        <f>IFERROR(INDEX('Docketed Comments'!I:I,MATCH(A88,'Docketed Comments'!H:H,0)),"")</f>
        <v>R-BASICL</v>
      </c>
      <c r="K88" s="60" t="str">
        <f t="shared" si="3"/>
        <v>❌ Not on Best Plan</v>
      </c>
      <c r="L88" s="60" t="str">
        <f>IFERROR(INDEX('Docketed Comments'!F:F,MATCH(A88,'Docketed Comments'!H:H,0)),"")</f>
        <v>Opposed</v>
      </c>
      <c r="M88" s="120" t="str">
        <f>IFERROR(INDEX('Docketed Comments'!G:G,MATCH(A88,'Docketed Comments'!H:H,0)),"")</f>
        <v>https://images.edocket.azcc.gov/docketpdf/E000046230.pdf</v>
      </c>
      <c r="N88" s="118" t="str">
        <f>IFERROR(INDEX('Docketed Comments'!N:N,MATCH(A88,'Docketed Comments'!H:H,0)),"")</f>
        <v>No</v>
      </c>
      <c r="O88" s="118" t="str">
        <f>IFERROR(INDEX('Docketed Comments'!L:L,MATCH(A88,'Docketed Comments'!H:H,0)),"")</f>
        <v>No MEP R3-47($694.71)</v>
      </c>
      <c r="P88" s="119">
        <f t="shared" si="2"/>
        <v>694.71</v>
      </c>
      <c r="Q88" s="60" t="s">
        <v>23</v>
      </c>
      <c r="R88" s="64" t="s">
        <v>24</v>
      </c>
      <c r="S88" s="64" t="s">
        <v>229</v>
      </c>
    </row>
    <row r="89" spans="1:19" ht="21.95" hidden="1" customHeight="1">
      <c r="A89" s="66" t="s">
        <v>230</v>
      </c>
      <c r="B89" s="64" t="s">
        <v>31</v>
      </c>
      <c r="C89" s="65">
        <v>46060</v>
      </c>
      <c r="D89" s="64" t="s">
        <v>21</v>
      </c>
      <c r="E89" s="64" t="s">
        <v>22</v>
      </c>
      <c r="F89" s="60" t="s">
        <v>165</v>
      </c>
      <c r="G89" s="60"/>
      <c r="H89" s="60" t="str">
        <f>IFERROR(INDEX('Docketed Comments'!C:C,MATCH(A89,'Docketed Comments'!H:H,0))&amp;", "&amp;INDEX('Docketed Comments'!B:B,MATCH(A89,'Docketed Comments'!H:H,0)),"")</f>
        <v>Bryce, Sommer</v>
      </c>
      <c r="I89" s="60" t="str">
        <f>IFERROR(INDEX('Docketed Comments'!D:D,MATCH(A89,'Docketed Comments'!H:H,0)),"")</f>
        <v>Scottsdale</v>
      </c>
      <c r="J89" s="60" t="str">
        <f>IFERROR(INDEX('Docketed Comments'!I:I,MATCH(A89,'Docketed Comments'!H:H,0)),"")</f>
        <v>R-BASIC</v>
      </c>
      <c r="K89" s="60" t="str">
        <f t="shared" si="3"/>
        <v>❌ Not on Best Plan</v>
      </c>
      <c r="L89" s="60" t="str">
        <f>IFERROR(INDEX('Docketed Comments'!F:F,MATCH(A89,'Docketed Comments'!H:H,0)),"")</f>
        <v>Horrible policy</v>
      </c>
      <c r="M89" s="120" t="str">
        <f>IFERROR(INDEX('Docketed Comments'!G:G,MATCH(A89,'Docketed Comments'!H:H,0)),"")</f>
        <v>https://images.edocket.azcc.gov/docketpdf/E000046230.pdf</v>
      </c>
      <c r="N89" s="118" t="str">
        <f>IFERROR(INDEX('Docketed Comments'!N:N,MATCH(A89,'Docketed Comments'!H:H,0)),"")</f>
        <v>No</v>
      </c>
      <c r="O89" s="118" t="str">
        <f>IFERROR(INDEX('Docketed Comments'!L:L,MATCH(A89,'Docketed Comments'!H:H,0)),"")</f>
        <v>No MEP R-XS(125.13)</v>
      </c>
      <c r="P89" s="119">
        <f t="shared" si="2"/>
        <v>125.13</v>
      </c>
      <c r="Q89" s="60" t="s">
        <v>23</v>
      </c>
      <c r="R89" s="64" t="s">
        <v>24</v>
      </c>
      <c r="S89" s="64" t="s">
        <v>231</v>
      </c>
    </row>
    <row r="90" spans="1:19" ht="21.95" hidden="1" customHeight="1">
      <c r="A90" s="66" t="s">
        <v>232</v>
      </c>
      <c r="B90" s="64" t="s">
        <v>31</v>
      </c>
      <c r="C90" s="65">
        <v>46060</v>
      </c>
      <c r="D90" s="64" t="s">
        <v>27</v>
      </c>
      <c r="E90" s="64" t="s">
        <v>22</v>
      </c>
      <c r="F90" s="60" t="s">
        <v>233</v>
      </c>
      <c r="G90" s="60"/>
      <c r="H90" s="60" t="str">
        <f>IFERROR(INDEX('Docketed Comments'!C:C,MATCH(A90,'Docketed Comments'!H:H,0))&amp;", "&amp;INDEX('Docketed Comments'!B:B,MATCH(A90,'Docketed Comments'!H:H,0)),"")</f>
        <v>Samuel, Glass</v>
      </c>
      <c r="I90" s="60" t="str">
        <f>IFERROR(INDEX('Docketed Comments'!D:D,MATCH(A90,'Docketed Comments'!H:H,0)),"")</f>
        <v>Surprise</v>
      </c>
      <c r="J90" s="60" t="str">
        <f>IFERROR(INDEX('Docketed Comments'!I:I,MATCH(A90,'Docketed Comments'!H:H,0)),"")</f>
        <v>RTOUE47</v>
      </c>
      <c r="K90" s="60" t="str">
        <f t="shared" si="3"/>
        <v>❌ Not on Best Plan</v>
      </c>
      <c r="L90" s="60" t="str">
        <f>IFERROR(INDEX('Docketed Comments'!F:F,MATCH(A90,'Docketed Comments'!H:H,0)),"")</f>
        <v>Opposed, unjust and wrong</v>
      </c>
      <c r="M90" s="120" t="str">
        <f>IFERROR(INDEX('Docketed Comments'!G:G,MATCH(A90,'Docketed Comments'!H:H,0)),"")</f>
        <v>https://images.edocket.azcc.gov/docketpdf/E000046230.pdf</v>
      </c>
      <c r="N90" s="118" t="str">
        <f>IFERROR(INDEX('Docketed Comments'!N:N,MATCH(A90,'Docketed Comments'!H:H,0)),"")</f>
        <v>No</v>
      </c>
      <c r="O90" s="118" t="str">
        <f>IFERROR(INDEX('Docketed Comments'!L:L,MATCH(A90,'Docketed Comments'!H:H,0)),"")</f>
        <v>No MEP R3-47(145.00)</v>
      </c>
      <c r="P90" s="119">
        <f t="shared" si="2"/>
        <v>145</v>
      </c>
      <c r="Q90" s="60" t="s">
        <v>23</v>
      </c>
      <c r="R90" s="64" t="s">
        <v>24</v>
      </c>
      <c r="S90" s="64" t="s">
        <v>234</v>
      </c>
    </row>
    <row r="91" spans="1:19" ht="21.95" hidden="1" customHeight="1">
      <c r="A91" s="66" t="s">
        <v>235</v>
      </c>
      <c r="B91" s="64" t="s">
        <v>31</v>
      </c>
      <c r="C91" s="65">
        <v>46046</v>
      </c>
      <c r="D91" s="64" t="s">
        <v>21</v>
      </c>
      <c r="E91" s="64" t="s">
        <v>22</v>
      </c>
      <c r="F91" s="60" t="s">
        <v>165</v>
      </c>
      <c r="G91" s="60"/>
      <c r="H91" s="60" t="str">
        <f>IFERROR(INDEX('Docketed Comments'!C:C,MATCH(A91,'Docketed Comments'!H:H,0))&amp;", "&amp;INDEX('Docketed Comments'!B:B,MATCH(A91,'Docketed Comments'!H:H,0)),"")</f>
        <v>Anthony, Pham</v>
      </c>
      <c r="I91" s="60" t="str">
        <f>IFERROR(INDEX('Docketed Comments'!D:D,MATCH(A91,'Docketed Comments'!H:H,0)),"")</f>
        <v>Peoria</v>
      </c>
      <c r="J91" s="60" t="str">
        <f>IFERROR(INDEX('Docketed Comments'!I:I,MATCH(A91,'Docketed Comments'!H:H,0)),"")</f>
        <v>R-BASICL</v>
      </c>
      <c r="K91" s="60" t="str">
        <f t="shared" si="3"/>
        <v>❌ Not on Best Plan</v>
      </c>
      <c r="L91" s="60" t="str">
        <f>IFERROR(INDEX('Docketed Comments'!F:F,MATCH(A91,'Docketed Comments'!H:H,0)),"")</f>
        <v>Opposed (included news story of indoor heat deaths)</v>
      </c>
      <c r="M91" s="120" t="str">
        <f>IFERROR(INDEX('Docketed Comments'!G:G,MATCH(A91,'Docketed Comments'!H:H,0)),"")</f>
        <v>https://images.edocket.azcc.gov/docketpdf/E000046230.pdf</v>
      </c>
      <c r="N91" s="118" t="str">
        <f>IFERROR(INDEX('Docketed Comments'!N:N,MATCH(A91,'Docketed Comments'!H:H,0)),"")</f>
        <v>No</v>
      </c>
      <c r="O91" s="118" t="str">
        <f>IFERROR(INDEX('Docketed Comments'!L:L,MATCH(A91,'Docketed Comments'!H:H,0)),"")</f>
        <v>No MEP R-BASIC($135.72)</v>
      </c>
      <c r="P91" s="119">
        <f t="shared" si="2"/>
        <v>135.72</v>
      </c>
      <c r="Q91" s="60" t="s">
        <v>23</v>
      </c>
      <c r="R91" s="64" t="s">
        <v>24</v>
      </c>
      <c r="S91" s="64" t="s">
        <v>236</v>
      </c>
    </row>
    <row r="92" spans="1:19" ht="21.95" hidden="1" customHeight="1">
      <c r="A92" s="66" t="s">
        <v>237</v>
      </c>
      <c r="B92" s="64" t="s">
        <v>31</v>
      </c>
      <c r="C92" s="65">
        <v>46046</v>
      </c>
      <c r="D92" s="64" t="s">
        <v>21</v>
      </c>
      <c r="E92" s="64" t="s">
        <v>22</v>
      </c>
      <c r="F92" s="60" t="s">
        <v>165</v>
      </c>
      <c r="G92" s="60"/>
      <c r="H92" s="60" t="str">
        <f>IFERROR(INDEX('Docketed Comments'!C:C,MATCH(A92,'Docketed Comments'!H:H,0))&amp;", "&amp;INDEX('Docketed Comments'!B:B,MATCH(A92,'Docketed Comments'!H:H,0)),"")</f>
        <v>Stefan, Roberts</v>
      </c>
      <c r="I92" s="60" t="str">
        <f>IFERROR(INDEX('Docketed Comments'!D:D,MATCH(A92,'Docketed Comments'!H:H,0)),"")</f>
        <v>Glendale</v>
      </c>
      <c r="J92" s="60" t="str">
        <f>IFERROR(INDEX('Docketed Comments'!I:I,MATCH(A92,'Docketed Comments'!H:H,0)),"")</f>
        <v>RTOUE47</v>
      </c>
      <c r="K92" s="60" t="str">
        <f t="shared" si="3"/>
        <v>❌ Not on Best Plan</v>
      </c>
      <c r="L92" s="60" t="str">
        <f>IFERROR(INDEX('Docketed Comments'!F:F,MATCH(A92,'Docketed Comments'!H:H,0)),"")</f>
        <v>Form letter</v>
      </c>
      <c r="M92" s="120" t="str">
        <f>IFERROR(INDEX('Docketed Comments'!G:G,MATCH(A92,'Docketed Comments'!H:H,0)),"")</f>
        <v>https://images.edocket.azcc.gov/docketpdf/E000046230.pdf</v>
      </c>
      <c r="N92" s="118" t="str">
        <f>IFERROR(INDEX('Docketed Comments'!N:N,MATCH(A92,'Docketed Comments'!H:H,0)),"")</f>
        <v>No</v>
      </c>
      <c r="O92" s="118" t="str">
        <f>IFERROR(INDEX('Docketed Comments'!L:L,MATCH(A92,'Docketed Comments'!H:H,0)),"")</f>
        <v>No MEP R-BASIC ($0.57)</v>
      </c>
      <c r="P92" s="119">
        <f t="shared" si="2"/>
        <v>0.56999999999999995</v>
      </c>
      <c r="Q92" s="60" t="s">
        <v>23</v>
      </c>
      <c r="R92" s="64" t="s">
        <v>24</v>
      </c>
      <c r="S92" s="64" t="s">
        <v>238</v>
      </c>
    </row>
    <row r="93" spans="1:19" ht="21.95" hidden="1" customHeight="1">
      <c r="A93" s="66" t="s">
        <v>239</v>
      </c>
      <c r="B93" s="64" t="s">
        <v>31</v>
      </c>
      <c r="C93" s="65">
        <v>46060</v>
      </c>
      <c r="D93" s="64" t="s">
        <v>21</v>
      </c>
      <c r="E93" s="64" t="s">
        <v>22</v>
      </c>
      <c r="F93" s="60" t="s">
        <v>165</v>
      </c>
      <c r="G93" s="60"/>
      <c r="H93" s="60" t="str">
        <f>IFERROR(INDEX('Docketed Comments'!C:C,MATCH(A93,'Docketed Comments'!H:H,0))&amp;", "&amp;INDEX('Docketed Comments'!B:B,MATCH(A93,'Docketed Comments'!H:H,0)),"")</f>
        <v>Diego, Rascon</v>
      </c>
      <c r="I93" s="60" t="str">
        <f>IFERROR(INDEX('Docketed Comments'!D:D,MATCH(A93,'Docketed Comments'!H:H,0)),"")</f>
        <v>Phoenix</v>
      </c>
      <c r="J93" s="60" t="str">
        <f>IFERROR(INDEX('Docketed Comments'!I:I,MATCH(A93,'Docketed Comments'!H:H,0)),"")</f>
        <v>R-BASICL</v>
      </c>
      <c r="K93" s="60" t="str">
        <f t="shared" si="3"/>
        <v>❌ Not on Best Plan</v>
      </c>
      <c r="L93" s="60" t="str">
        <f>IFERROR(INDEX('Docketed Comments'!F:F,MATCH(A93,'Docketed Comments'!H:H,0)),"")</f>
        <v>Form letter</v>
      </c>
      <c r="M93" s="120" t="str">
        <f>IFERROR(INDEX('Docketed Comments'!G:G,MATCH(A93,'Docketed Comments'!H:H,0)),"")</f>
        <v>https://docket.images.azcc.gov/E000046235.pdf</v>
      </c>
      <c r="N93" s="118" t="str">
        <f>IFERROR(INDEX('Docketed Comments'!N:N,MATCH(A93,'Docketed Comments'!H:H,0)),"")</f>
        <v>No</v>
      </c>
      <c r="O93" s="118" t="str">
        <f>IFERROR(INDEX('Docketed Comments'!L:L,MATCH(A93,'Docketed Comments'!H:H,0)),"")</f>
        <v>Not eligible yet (needs 3 months)</v>
      </c>
      <c r="P93" s="119">
        <f t="shared" si="2"/>
        <v>0</v>
      </c>
      <c r="Q93" s="60" t="s">
        <v>23</v>
      </c>
      <c r="R93" s="64" t="s">
        <v>24</v>
      </c>
      <c r="S93" s="64" t="s">
        <v>240</v>
      </c>
    </row>
    <row r="94" spans="1:19" ht="21.95" hidden="1" customHeight="1">
      <c r="A94" s="66" t="s">
        <v>241</v>
      </c>
      <c r="B94" s="64" t="s">
        <v>31</v>
      </c>
      <c r="C94" s="65">
        <v>46046</v>
      </c>
      <c r="D94" s="64" t="s">
        <v>21</v>
      </c>
      <c r="E94" s="64" t="s">
        <v>22</v>
      </c>
      <c r="F94" s="60" t="s">
        <v>165</v>
      </c>
      <c r="G94" s="60"/>
      <c r="H94" s="60" t="str">
        <f>IFERROR(INDEX('Docketed Comments'!C:C,MATCH(A94,'Docketed Comments'!H:H,0))&amp;", "&amp;INDEX('Docketed Comments'!B:B,MATCH(A94,'Docketed Comments'!H:H,0)),"")</f>
        <v>Andre, De Simone</v>
      </c>
      <c r="I94" s="60" t="str">
        <f>IFERROR(INDEX('Docketed Comments'!D:D,MATCH(A94,'Docketed Comments'!H:H,0)),"")</f>
        <v>Phoenix</v>
      </c>
      <c r="J94" s="60" t="str">
        <f>IFERROR(INDEX('Docketed Comments'!I:I,MATCH(A94,'Docketed Comments'!H:H,0)),"")</f>
        <v>RTOUE47</v>
      </c>
      <c r="K94" s="60" t="str">
        <f t="shared" si="3"/>
        <v>❌ Not on Best Plan</v>
      </c>
      <c r="L94" s="60" t="str">
        <f>IFERROR(INDEX('Docketed Comments'!F:F,MATCH(A94,'Docketed Comments'!H:H,0)),"")</f>
        <v>Form letter</v>
      </c>
      <c r="M94" s="120" t="str">
        <f>IFERROR(INDEX('Docketed Comments'!G:G,MATCH(A94,'Docketed Comments'!H:H,0)),"")</f>
        <v>https://docket.images.azcc.gov/E000046235.pdf</v>
      </c>
      <c r="N94" s="118" t="str">
        <f>IFERROR(INDEX('Docketed Comments'!N:N,MATCH(A94,'Docketed Comments'!H:H,0)),"")</f>
        <v>No</v>
      </c>
      <c r="O94" s="118" t="str">
        <f>IFERROR(INDEX('Docketed Comments'!L:L,MATCH(A94,'Docketed Comments'!H:H,0)),"")</f>
        <v>No MEP R-BASIC($60.32)</v>
      </c>
      <c r="P94" s="119">
        <f t="shared" si="2"/>
        <v>60.32</v>
      </c>
      <c r="Q94" s="60" t="s">
        <v>23</v>
      </c>
      <c r="R94" s="64" t="s">
        <v>24</v>
      </c>
      <c r="S94" s="64" t="s">
        <v>242</v>
      </c>
    </row>
    <row r="95" spans="1:19" ht="21.95" hidden="1" customHeight="1">
      <c r="A95" s="66" t="s">
        <v>243</v>
      </c>
      <c r="B95" s="64" t="s">
        <v>31</v>
      </c>
      <c r="C95" s="65">
        <v>46046</v>
      </c>
      <c r="D95" s="64" t="s">
        <v>21</v>
      </c>
      <c r="E95" s="64" t="s">
        <v>22</v>
      </c>
      <c r="F95" s="60" t="s">
        <v>165</v>
      </c>
      <c r="G95" s="60"/>
      <c r="H95" s="60" t="str">
        <f>IFERROR(INDEX('Docketed Comments'!C:C,MATCH(A95,'Docketed Comments'!H:H,0))&amp;", "&amp;INDEX('Docketed Comments'!B:B,MATCH(A95,'Docketed Comments'!H:H,0)),"")</f>
        <v>Jesse, McWilliams</v>
      </c>
      <c r="I95" s="60" t="str">
        <f>IFERROR(INDEX('Docketed Comments'!D:D,MATCH(A95,'Docketed Comments'!H:H,0)),"")</f>
        <v>Cave Creek</v>
      </c>
      <c r="J95" s="60" t="str">
        <f>IFERROR(INDEX('Docketed Comments'!I:I,MATCH(A95,'Docketed Comments'!H:H,0)),"")</f>
        <v>RTOUE47</v>
      </c>
      <c r="K95" s="60" t="str">
        <f t="shared" si="3"/>
        <v>❌ Not on Best Plan</v>
      </c>
      <c r="L95" s="60" t="str">
        <f>IFERROR(INDEX('Docketed Comments'!F:F,MATCH(A95,'Docketed Comments'!H:H,0)),"")</f>
        <v>Form letter</v>
      </c>
      <c r="M95" s="120" t="str">
        <f>IFERROR(INDEX('Docketed Comments'!G:G,MATCH(A95,'Docketed Comments'!H:H,0)),"")</f>
        <v>https://docket.images.azcc.gov/E000046235.pdf</v>
      </c>
      <c r="N95" s="118" t="str">
        <f>IFERROR(INDEX('Docketed Comments'!N:N,MATCH(A95,'Docketed Comments'!H:H,0)),"")</f>
        <v>No</v>
      </c>
      <c r="O95" s="118" t="str">
        <f>IFERROR(INDEX('Docketed Comments'!L:L,MATCH(A95,'Docketed Comments'!H:H,0)),"")</f>
        <v>No MEP R3-47($631.55)</v>
      </c>
      <c r="P95" s="119">
        <f t="shared" si="2"/>
        <v>631.54999999999995</v>
      </c>
      <c r="Q95" s="60" t="s">
        <v>23</v>
      </c>
      <c r="R95" s="64" t="s">
        <v>24</v>
      </c>
      <c r="S95" s="64" t="s">
        <v>244</v>
      </c>
    </row>
    <row r="96" spans="1:19" ht="21.95" hidden="1" customHeight="1">
      <c r="A96" s="66" t="s">
        <v>245</v>
      </c>
      <c r="B96" s="64" t="s">
        <v>31</v>
      </c>
      <c r="C96" s="65">
        <v>46060</v>
      </c>
      <c r="D96" s="64" t="s">
        <v>27</v>
      </c>
      <c r="E96" s="64" t="s">
        <v>35</v>
      </c>
      <c r="F96" s="60"/>
      <c r="G96" s="60"/>
      <c r="H96" s="60" t="str">
        <f>IFERROR(INDEX('Docketed Comments'!C:C,MATCH(A96,'Docketed Comments'!H:H,0))&amp;", "&amp;INDEX('Docketed Comments'!B:B,MATCH(A96,'Docketed Comments'!H:H,0)),"")</f>
        <v>Dale, Perelman</v>
      </c>
      <c r="I96" s="60" t="str">
        <f>IFERROR(INDEX('Docketed Comments'!D:D,MATCH(A96,'Docketed Comments'!H:H,0)),"")</f>
        <v>Scottsdale</v>
      </c>
      <c r="J96" s="60" t="str">
        <f>IFERROR(INDEX('Docketed Comments'!I:I,MATCH(A96,'Docketed Comments'!H:H,0)),"")</f>
        <v>R3-47</v>
      </c>
      <c r="K96" s="60" t="str">
        <f t="shared" si="3"/>
        <v>❌ Not on Best Plan</v>
      </c>
      <c r="L96" s="60" t="str">
        <f>IFERROR(INDEX('Docketed Comments'!F:F,MATCH(A96,'Docketed Comments'!H:H,0)),"")</f>
        <v>Increase will be very onerous for those on fixed income</v>
      </c>
      <c r="M96" s="120" t="str">
        <f>IFERROR(INDEX('Docketed Comments'!G:G,MATCH(A96,'Docketed Comments'!H:H,0)),"")</f>
        <v>https://docket.images.azcc.gov/E000046235.pdf</v>
      </c>
      <c r="N96" s="118" t="str">
        <f>IFERROR(INDEX('Docketed Comments'!N:N,MATCH(A96,'Docketed Comments'!H:H,0)),"")</f>
        <v>No</v>
      </c>
      <c r="O96" s="118" t="str">
        <f>IFERROR(INDEX('Docketed Comments'!L:L,MATCH(A96,'Docketed Comments'!H:H,0)),"")</f>
        <v>No MEP R-BSIC(32.84)</v>
      </c>
      <c r="P96" s="119">
        <f t="shared" si="2"/>
        <v>32.840000000000003</v>
      </c>
      <c r="Q96" s="60" t="s">
        <v>23</v>
      </c>
      <c r="R96" s="64" t="s">
        <v>24</v>
      </c>
      <c r="S96" s="64" t="s">
        <v>246</v>
      </c>
    </row>
    <row r="97" spans="1:19" ht="21.95" hidden="1" customHeight="1">
      <c r="A97" s="66" t="s">
        <v>247</v>
      </c>
      <c r="B97" s="64" t="s">
        <v>31</v>
      </c>
      <c r="C97" s="65">
        <v>46046</v>
      </c>
      <c r="D97" s="64" t="s">
        <v>21</v>
      </c>
      <c r="E97" s="64" t="s">
        <v>22</v>
      </c>
      <c r="F97" s="60" t="s">
        <v>165</v>
      </c>
      <c r="G97" s="60"/>
      <c r="H97" s="60" t="str">
        <f>IFERROR(INDEX('Docketed Comments'!C:C,MATCH(A97,'Docketed Comments'!H:H,0))&amp;", "&amp;INDEX('Docketed Comments'!B:B,MATCH(A97,'Docketed Comments'!H:H,0)),"")</f>
        <v>Steven, Leal</v>
      </c>
      <c r="I97" s="60" t="str">
        <f>IFERROR(INDEX('Docketed Comments'!D:D,MATCH(A97,'Docketed Comments'!H:H,0)),"")</f>
        <v>Phoenix</v>
      </c>
      <c r="J97" s="60" t="str">
        <f>IFERROR(INDEX('Docketed Comments'!I:I,MATCH(A97,'Docketed Comments'!H:H,0)),"")</f>
        <v>R-BASIC</v>
      </c>
      <c r="K97" s="60" t="str">
        <f t="shared" si="3"/>
        <v>❌ Not on Best Plan</v>
      </c>
      <c r="L97" s="60" t="str">
        <f>IFERROR(INDEX('Docketed Comments'!F:F,MATCH(A97,'Docketed Comments'!H:H,0)),"")</f>
        <v>Opposed</v>
      </c>
      <c r="M97" s="120" t="str">
        <f>IFERROR(INDEX('Docketed Comments'!G:G,MATCH(A97,'Docketed Comments'!H:H,0)),"")</f>
        <v>https://docket.images.azcc.gov/E000046235.pdf</v>
      </c>
      <c r="N97" s="118" t="str">
        <f>IFERROR(INDEX('Docketed Comments'!N:N,MATCH(A97,'Docketed Comments'!H:H,0)),"")</f>
        <v>No</v>
      </c>
      <c r="O97" s="118" t="str">
        <f>IFERROR(INDEX('Docketed Comments'!L:L,MATCH(A97,'Docketed Comments'!H:H,0)),"")</f>
        <v>No MEP RTOUE47($18.11)</v>
      </c>
      <c r="P97" s="119">
        <f t="shared" si="2"/>
        <v>18.11</v>
      </c>
      <c r="Q97" s="60" t="s">
        <v>23</v>
      </c>
      <c r="R97" s="64" t="s">
        <v>24</v>
      </c>
      <c r="S97" s="64" t="s">
        <v>248</v>
      </c>
    </row>
    <row r="98" spans="1:19" ht="21.95" hidden="1" customHeight="1">
      <c r="A98" s="66" t="s">
        <v>249</v>
      </c>
      <c r="B98" s="64" t="s">
        <v>31</v>
      </c>
      <c r="C98" s="65">
        <v>46046</v>
      </c>
      <c r="D98" s="64" t="s">
        <v>27</v>
      </c>
      <c r="E98" s="64" t="s">
        <v>214</v>
      </c>
      <c r="F98" s="60" t="s">
        <v>250</v>
      </c>
      <c r="G98" s="60"/>
      <c r="H98" s="60" t="str">
        <f>IFERROR(INDEX('Docketed Comments'!C:C,MATCH(A98,'Docketed Comments'!H:H,0))&amp;", "&amp;INDEX('Docketed Comments'!B:B,MATCH(A98,'Docketed Comments'!H:H,0)),"")</f>
        <v>Arunkumar, Lakshmipathy</v>
      </c>
      <c r="I98" s="60" t="str">
        <f>IFERROR(INDEX('Docketed Comments'!D:D,MATCH(A98,'Docketed Comments'!H:H,0)),"")</f>
        <v>Peoria</v>
      </c>
      <c r="J98" s="60" t="str">
        <f>IFERROR(INDEX('Docketed Comments'!I:I,MATCH(A98,'Docketed Comments'!H:H,0)),"")</f>
        <v>RCPw/RTOUE47</v>
      </c>
      <c r="K98" s="60" t="str">
        <f t="shared" si="3"/>
        <v>❌ Not on Best Plan</v>
      </c>
      <c r="L98" s="60" t="str">
        <f>IFERROR(INDEX('Docketed Comments'!F:F,MATCH(A98,'Docketed Comments'!H:H,0)),"")</f>
        <v>Form letter</v>
      </c>
      <c r="M98" s="120" t="str">
        <f>IFERROR(INDEX('Docketed Comments'!G:G,MATCH(A98,'Docketed Comments'!H:H,0)),"")</f>
        <v>https://docket.images.azcc.gov/E000046235.pdf</v>
      </c>
      <c r="N98" s="118" t="str">
        <f>IFERROR(INDEX('Docketed Comments'!N:N,MATCH(A98,'Docketed Comments'!H:H,0)),"")</f>
        <v>No</v>
      </c>
      <c r="O98" s="118" t="str">
        <f>IFERROR(INDEX('Docketed Comments'!L:L,MATCH(A98,'Docketed Comments'!H:H,0)),"")</f>
        <v>No MEP R3-47($52.51)</v>
      </c>
      <c r="P98" s="119">
        <f t="shared" si="2"/>
        <v>52.51</v>
      </c>
      <c r="Q98" s="60" t="s">
        <v>23</v>
      </c>
      <c r="R98" s="64" t="s">
        <v>24</v>
      </c>
      <c r="S98" s="64" t="s">
        <v>251</v>
      </c>
    </row>
    <row r="99" spans="1:19" ht="21.95" hidden="1" customHeight="1">
      <c r="A99" s="66" t="s">
        <v>252</v>
      </c>
      <c r="B99" s="64" t="s">
        <v>31</v>
      </c>
      <c r="C99" s="65">
        <v>46060</v>
      </c>
      <c r="D99" s="64" t="s">
        <v>27</v>
      </c>
      <c r="E99" s="64" t="s">
        <v>22</v>
      </c>
      <c r="F99" s="60" t="s">
        <v>253</v>
      </c>
      <c r="G99" s="60"/>
      <c r="H99" s="60" t="str">
        <f>IFERROR(INDEX('Docketed Comments'!C:C,MATCH(A99,'Docketed Comments'!H:H,0))&amp;", "&amp;INDEX('Docketed Comments'!B:B,MATCH(A99,'Docketed Comments'!H:H,0)),"")</f>
        <v>Joen, Copeland</v>
      </c>
      <c r="I99" s="60" t="str">
        <f>IFERROR(INDEX('Docketed Comments'!D:D,MATCH(A99,'Docketed Comments'!H:H,0)),"")</f>
        <v>Phoenix</v>
      </c>
      <c r="J99" s="60" t="str">
        <f>IFERROR(INDEX('Docketed Comments'!I:I,MATCH(A99,'Docketed Comments'!H:H,0)),"")</f>
        <v>R-BASICL</v>
      </c>
      <c r="K99" s="60" t="str">
        <f t="shared" si="3"/>
        <v>❌ Not on Best Plan</v>
      </c>
      <c r="L99" s="60" t="str">
        <f>IFERROR(INDEX('Docketed Comments'!F:F,MATCH(A99,'Docketed Comments'!H:H,0)),"")</f>
        <v>Opposed</v>
      </c>
      <c r="M99" s="120" t="str">
        <f>IFERROR(INDEX('Docketed Comments'!G:G,MATCH(A99,'Docketed Comments'!H:H,0)),"")</f>
        <v>https://docket.images.azcc.gov/E000046235.pdf</v>
      </c>
      <c r="N99" s="118" t="str">
        <f>IFERROR(INDEX('Docketed Comments'!N:N,MATCH(A99,'Docketed Comments'!H:H,0)),"")</f>
        <v>No</v>
      </c>
      <c r="O99" s="118" t="str">
        <f>IFERROR(INDEX('Docketed Comments'!L:L,MATCH(A99,'Docketed Comments'!H:H,0)),"")</f>
        <v>No MEP R3-47(498.46)</v>
      </c>
      <c r="P99" s="119">
        <f t="shared" si="2"/>
        <v>498.46</v>
      </c>
      <c r="Q99" s="60" t="s">
        <v>23</v>
      </c>
      <c r="R99" s="64" t="s">
        <v>24</v>
      </c>
      <c r="S99" s="64" t="s">
        <v>254</v>
      </c>
    </row>
    <row r="100" spans="1:19" ht="21.95" hidden="1" customHeight="1">
      <c r="A100" s="66" t="s">
        <v>255</v>
      </c>
      <c r="B100" s="64" t="s">
        <v>31</v>
      </c>
      <c r="C100" s="65">
        <v>46046</v>
      </c>
      <c r="D100" s="64" t="s">
        <v>21</v>
      </c>
      <c r="E100" s="64" t="s">
        <v>22</v>
      </c>
      <c r="F100" s="60" t="s">
        <v>165</v>
      </c>
      <c r="G100" s="60"/>
      <c r="H100" s="60" t="str">
        <f>IFERROR(INDEX('Docketed Comments'!C:C,MATCH(A100,'Docketed Comments'!H:H,0))&amp;", "&amp;INDEX('Docketed Comments'!B:B,MATCH(A100,'Docketed Comments'!H:H,0)),"")</f>
        <v>Daniel, Bracken</v>
      </c>
      <c r="I100" s="60" t="str">
        <f>IFERROR(INDEX('Docketed Comments'!D:D,MATCH(A100,'Docketed Comments'!H:H,0)),"")</f>
        <v>Scottsdale</v>
      </c>
      <c r="J100" s="60" t="str">
        <f>IFERROR(INDEX('Docketed Comments'!I:I,MATCH(A100,'Docketed Comments'!H:H,0)),"")</f>
        <v>R-BASICL</v>
      </c>
      <c r="K100" s="60" t="str">
        <f t="shared" si="3"/>
        <v>❌ Not on Best Plan</v>
      </c>
      <c r="L100" s="60" t="str">
        <f>IFERROR(INDEX('Docketed Comments'!F:F,MATCH(A100,'Docketed Comments'!H:H,0)),"")</f>
        <v>Form letter</v>
      </c>
      <c r="M100" s="120" t="str">
        <f>IFERROR(INDEX('Docketed Comments'!G:G,MATCH(A100,'Docketed Comments'!H:H,0)),"")</f>
        <v>https://docket.images.azcc.gov/E000046235.pdf</v>
      </c>
      <c r="N100" s="118" t="str">
        <f>IFERROR(INDEX('Docketed Comments'!N:N,MATCH(A100,'Docketed Comments'!H:H,0)),"")</f>
        <v>No</v>
      </c>
      <c r="O100" s="118" t="str">
        <f>IFERROR(INDEX('Docketed Comments'!L:L,MATCH(A100,'Docketed Comments'!H:H,0)),"")</f>
        <v>No MEP R3-47($150.38)</v>
      </c>
      <c r="P100" s="119">
        <f t="shared" si="2"/>
        <v>150.38</v>
      </c>
      <c r="Q100" s="60" t="s">
        <v>23</v>
      </c>
      <c r="R100" s="64" t="s">
        <v>24</v>
      </c>
      <c r="S100" s="64" t="s">
        <v>256</v>
      </c>
    </row>
    <row r="101" spans="1:19" ht="21.95" hidden="1" customHeight="1">
      <c r="A101" s="66" t="s">
        <v>257</v>
      </c>
      <c r="B101" s="64" t="s">
        <v>31</v>
      </c>
      <c r="C101" s="65">
        <v>46060</v>
      </c>
      <c r="D101" s="64" t="s">
        <v>21</v>
      </c>
      <c r="E101" s="64" t="s">
        <v>22</v>
      </c>
      <c r="F101" s="60" t="s">
        <v>60</v>
      </c>
      <c r="G101" s="60"/>
      <c r="H101" s="60" t="str">
        <f>IFERROR(INDEX('Docketed Comments'!C:C,MATCH(A101,'Docketed Comments'!H:H,0))&amp;", "&amp;INDEX('Docketed Comments'!B:B,MATCH(A101,'Docketed Comments'!H:H,0)),"")</f>
        <v>Jessica, Turner-Warren</v>
      </c>
      <c r="I101" s="60" t="str">
        <f>IFERROR(INDEX('Docketed Comments'!D:D,MATCH(A101,'Docketed Comments'!H:H,0)),"")</f>
        <v>Flagstaff</v>
      </c>
      <c r="J101" s="60" t="str">
        <f>IFERROR(INDEX('Docketed Comments'!I:I,MATCH(A101,'Docketed Comments'!H:H,0)),"")</f>
        <v>R-BASIC</v>
      </c>
      <c r="K101" s="60" t="str">
        <f t="shared" si="3"/>
        <v>❌ Not on Best Plan</v>
      </c>
      <c r="L101" s="60" t="str">
        <f>IFERROR(INDEX('Docketed Comments'!F:F,MATCH(A101,'Docketed Comments'!H:H,0)),"")</f>
        <v>Irresponsible</v>
      </c>
      <c r="M101" s="120" t="str">
        <f>IFERROR(INDEX('Docketed Comments'!G:G,MATCH(A101,'Docketed Comments'!H:H,0)),"")</f>
        <v>https://docket.images.azcc.gov/E000046235.pdf</v>
      </c>
      <c r="N101" s="118" t="str">
        <f>IFERROR(INDEX('Docketed Comments'!N:N,MATCH(A101,'Docketed Comments'!H:H,0)),"")</f>
        <v>No</v>
      </c>
      <c r="O101" s="118" t="str">
        <f>IFERROR(INDEX('Docketed Comments'!L:L,MATCH(A101,'Docketed Comments'!H:H,0)),"")</f>
        <v>No MEP R-XS(127.55)</v>
      </c>
      <c r="P101" s="119">
        <f t="shared" si="2"/>
        <v>127.55</v>
      </c>
      <c r="Q101" s="60" t="s">
        <v>23</v>
      </c>
      <c r="R101" s="64" t="s">
        <v>24</v>
      </c>
      <c r="S101" s="64" t="s">
        <v>258</v>
      </c>
    </row>
    <row r="102" spans="1:19" ht="21.95" hidden="1" customHeight="1">
      <c r="A102" s="66" t="s">
        <v>259</v>
      </c>
      <c r="B102" s="64" t="s">
        <v>31</v>
      </c>
      <c r="C102" s="65">
        <v>46060</v>
      </c>
      <c r="D102" s="64" t="s">
        <v>21</v>
      </c>
      <c r="E102" s="64" t="s">
        <v>22</v>
      </c>
      <c r="F102" s="60" t="s">
        <v>60</v>
      </c>
      <c r="G102" s="60"/>
      <c r="H102" s="60" t="str">
        <f>IFERROR(INDEX('Docketed Comments'!C:C,MATCH(A102,'Docketed Comments'!H:H,0))&amp;", "&amp;INDEX('Docketed Comments'!B:B,MATCH(A102,'Docketed Comments'!H:H,0)),"")</f>
        <v>Marc, Dinnerstein</v>
      </c>
      <c r="I102" s="60" t="str">
        <f>IFERROR(INDEX('Docketed Comments'!D:D,MATCH(A102,'Docketed Comments'!H:H,0)),"")</f>
        <v>Carefree</v>
      </c>
      <c r="J102" s="60" t="str">
        <f>IFERROR(INDEX('Docketed Comments'!I:I,MATCH(A102,'Docketed Comments'!H:H,0)),"")</f>
        <v>RTOUE47</v>
      </c>
      <c r="K102" s="60" t="str">
        <f t="shared" si="3"/>
        <v>❌ Not on Best Plan</v>
      </c>
      <c r="L102" s="60" t="str">
        <f>IFERROR(INDEX('Docketed Comments'!F:F,MATCH(A102,'Docketed Comments'!H:H,0)),"")</f>
        <v>Already astronomical</v>
      </c>
      <c r="M102" s="120" t="str">
        <f>IFERROR(INDEX('Docketed Comments'!G:G,MATCH(A102,'Docketed Comments'!H:H,0)),"")</f>
        <v>https://docket.images.azcc.gov/E000046235.pdf</v>
      </c>
      <c r="N102" s="118" t="str">
        <f>IFERROR(INDEX('Docketed Comments'!N:N,MATCH(A102,'Docketed Comments'!H:H,0)),"")</f>
        <v>No</v>
      </c>
      <c r="O102" s="118" t="str">
        <f>IFERROR(INDEX('Docketed Comments'!L:L,MATCH(A102,'Docketed Comments'!H:H,0)),"")</f>
        <v>No MEP R3-47(675.81)</v>
      </c>
      <c r="P102" s="119">
        <f t="shared" si="2"/>
        <v>675.81</v>
      </c>
      <c r="Q102" s="60" t="s">
        <v>23</v>
      </c>
      <c r="R102" s="64" t="s">
        <v>24</v>
      </c>
      <c r="S102" s="64" t="s">
        <v>260</v>
      </c>
    </row>
    <row r="103" spans="1:19" ht="21.95" hidden="1" customHeight="1">
      <c r="A103" s="66" t="s">
        <v>261</v>
      </c>
      <c r="B103" s="64" t="s">
        <v>31</v>
      </c>
      <c r="C103" s="65">
        <v>46046</v>
      </c>
      <c r="D103" s="64" t="s">
        <v>21</v>
      </c>
      <c r="E103" s="64" t="s">
        <v>22</v>
      </c>
      <c r="F103" s="60"/>
      <c r="G103" s="60"/>
      <c r="H103" s="60" t="str">
        <f>IFERROR(INDEX('Docketed Comments'!C:C,MATCH(A103,'Docketed Comments'!H:H,0))&amp;", "&amp;INDEX('Docketed Comments'!B:B,MATCH(A103,'Docketed Comments'!H:H,0)),"")</f>
        <v>Chanel, Vidal</v>
      </c>
      <c r="I103" s="60" t="str">
        <f>IFERROR(INDEX('Docketed Comments'!D:D,MATCH(A103,'Docketed Comments'!H:H,0)),"")</f>
        <v>Tempe</v>
      </c>
      <c r="J103" s="60" t="str">
        <f>IFERROR(INDEX('Docketed Comments'!I:I,MATCH(A103,'Docketed Comments'!H:H,0)),"")</f>
        <v>R-BASIC</v>
      </c>
      <c r="K103" s="60" t="str">
        <f t="shared" si="3"/>
        <v>❌ Not on Best Plan</v>
      </c>
      <c r="L103" s="60" t="str">
        <f>IFERROR(INDEX('Docketed Comments'!F:F,MATCH(A103,'Docketed Comments'!H:H,0)),"")</f>
        <v>Form letter</v>
      </c>
      <c r="M103" s="120" t="str">
        <f>IFERROR(INDEX('Docketed Comments'!G:G,MATCH(A103,'Docketed Comments'!H:H,0)),"")</f>
        <v>https://docket.images.azcc.gov/E000046235.pdf</v>
      </c>
      <c r="N103" s="118" t="str">
        <f>IFERROR(INDEX('Docketed Comments'!N:N,MATCH(A103,'Docketed Comments'!H:H,0)),"")</f>
        <v>No</v>
      </c>
      <c r="O103" s="118" t="str">
        <f>IFERROR(INDEX('Docketed Comments'!L:L,MATCH(A103,'Docketed Comments'!H:H,0)),"")</f>
        <v>No MEP R3-47($70.31)</v>
      </c>
      <c r="P103" s="119">
        <f t="shared" si="2"/>
        <v>70.31</v>
      </c>
      <c r="Q103" s="60" t="s">
        <v>23</v>
      </c>
      <c r="R103" s="64" t="s">
        <v>24</v>
      </c>
      <c r="S103" s="64" t="s">
        <v>262</v>
      </c>
    </row>
    <row r="104" spans="1:19" ht="21.95" hidden="1" customHeight="1">
      <c r="A104" s="66" t="s">
        <v>263</v>
      </c>
      <c r="B104" s="64" t="s">
        <v>31</v>
      </c>
      <c r="C104" s="65">
        <v>46060</v>
      </c>
      <c r="D104" s="64" t="s">
        <v>27</v>
      </c>
      <c r="E104" s="64" t="s">
        <v>35</v>
      </c>
      <c r="F104" s="60" t="s">
        <v>264</v>
      </c>
      <c r="G104" s="60"/>
      <c r="H104" s="60" t="str">
        <f>IFERROR(INDEX('Docketed Comments'!C:C,MATCH(A104,'Docketed Comments'!H:H,0))&amp;", "&amp;INDEX('Docketed Comments'!B:B,MATCH(A104,'Docketed Comments'!H:H,0)),"")</f>
        <v>Xavier, Armenta</v>
      </c>
      <c r="I104" s="60" t="str">
        <f>IFERROR(INDEX('Docketed Comments'!D:D,MATCH(A104,'Docketed Comments'!H:H,0)),"")</f>
        <v>Phoenix</v>
      </c>
      <c r="J104" s="60" t="str">
        <f>IFERROR(INDEX('Docketed Comments'!I:I,MATCH(A104,'Docketed Comments'!H:H,0)),"")</f>
        <v>RTOUE47</v>
      </c>
      <c r="K104" s="60" t="str">
        <f t="shared" si="3"/>
        <v>❌ Not on Best Plan</v>
      </c>
      <c r="L104" s="60" t="str">
        <f>IFERROR(INDEX('Docketed Comments'!F:F,MATCH(A104,'Docketed Comments'!H:H,0)),"")</f>
        <v>Opposed</v>
      </c>
      <c r="M104" s="120" t="str">
        <f>IFERROR(INDEX('Docketed Comments'!G:G,MATCH(A104,'Docketed Comments'!H:H,0)),"")</f>
        <v>https://docket.images.azcc.gov/E000046235.pdf</v>
      </c>
      <c r="N104" s="118" t="str">
        <f>IFERROR(INDEX('Docketed Comments'!N:N,MATCH(A104,'Docketed Comments'!H:H,0)),"")</f>
        <v>No</v>
      </c>
      <c r="O104" s="118" t="str">
        <f>IFERROR(INDEX('Docketed Comments'!L:L,MATCH(A104,'Docketed Comments'!H:H,0)),"")</f>
        <v>No MEP R3-47(860.51)</v>
      </c>
      <c r="P104" s="119">
        <f t="shared" si="2"/>
        <v>860.51</v>
      </c>
      <c r="Q104" s="60" t="s">
        <v>23</v>
      </c>
      <c r="R104" s="64" t="s">
        <v>24</v>
      </c>
      <c r="S104" s="64" t="s">
        <v>265</v>
      </c>
    </row>
    <row r="105" spans="1:19" ht="21.95" hidden="1" customHeight="1">
      <c r="A105" s="66" t="s">
        <v>266</v>
      </c>
      <c r="B105" s="64" t="s">
        <v>31</v>
      </c>
      <c r="C105" s="65">
        <v>46046</v>
      </c>
      <c r="D105" s="64" t="s">
        <v>27</v>
      </c>
      <c r="E105" s="64" t="s">
        <v>35</v>
      </c>
      <c r="F105" s="60" t="s">
        <v>36</v>
      </c>
      <c r="G105" s="60"/>
      <c r="H105" s="60" t="str">
        <f>IFERROR(INDEX('Docketed Comments'!C:C,MATCH(A105,'Docketed Comments'!H:H,0))&amp;", "&amp;INDEX('Docketed Comments'!B:B,MATCH(A105,'Docketed Comments'!H:H,0)),"")</f>
        <v>Matt, Horne</v>
      </c>
      <c r="I105" s="60" t="str">
        <f>IFERROR(INDEX('Docketed Comments'!D:D,MATCH(A105,'Docketed Comments'!H:H,0)),"")</f>
        <v>Phoenix</v>
      </c>
      <c r="J105" s="60" t="str">
        <f>IFERROR(INDEX('Docketed Comments'!I:I,MATCH(A105,'Docketed Comments'!H:H,0)),"")</f>
        <v>RTOUE47</v>
      </c>
      <c r="K105" s="60" t="str">
        <f t="shared" si="3"/>
        <v>❌ Not on Best Plan</v>
      </c>
      <c r="L105" s="60" t="str">
        <f>IFERROR(INDEX('Docketed Comments'!F:F,MATCH(A105,'Docketed Comments'!H:H,0)),"")</f>
        <v>Form letter</v>
      </c>
      <c r="M105" s="120" t="str">
        <f>IFERROR(INDEX('Docketed Comments'!G:G,MATCH(A105,'Docketed Comments'!H:H,0)),"")</f>
        <v>https://docket.images.azcc.gov/E000046266.pdf</v>
      </c>
      <c r="N105" s="118" t="str">
        <f>IFERROR(INDEX('Docketed Comments'!N:N,MATCH(A105,'Docketed Comments'!H:H,0)),"")</f>
        <v>No</v>
      </c>
      <c r="O105" s="118" t="str">
        <f>IFERROR(INDEX('Docketed Comments'!L:L,MATCH(A105,'Docketed Comments'!H:H,0)),"")</f>
        <v>No MEP R3-47($84.78)</v>
      </c>
      <c r="P105" s="119">
        <f t="shared" si="2"/>
        <v>84.78</v>
      </c>
      <c r="Q105" s="60" t="s">
        <v>23</v>
      </c>
      <c r="R105" s="64" t="s">
        <v>24</v>
      </c>
      <c r="S105" s="64" t="s">
        <v>267</v>
      </c>
    </row>
    <row r="106" spans="1:19" ht="21.95" hidden="1" customHeight="1">
      <c r="A106" s="66" t="s">
        <v>268</v>
      </c>
      <c r="B106" s="64" t="s">
        <v>31</v>
      </c>
      <c r="C106" s="65">
        <v>46046</v>
      </c>
      <c r="D106" s="64" t="s">
        <v>21</v>
      </c>
      <c r="E106" s="64" t="s">
        <v>22</v>
      </c>
      <c r="F106" s="60"/>
      <c r="G106" s="60"/>
      <c r="H106" s="60" t="str">
        <f>IFERROR(INDEX('Docketed Comments'!C:C,MATCH(A106,'Docketed Comments'!H:H,0))&amp;", "&amp;INDEX('Docketed Comments'!B:B,MATCH(A106,'Docketed Comments'!H:H,0)),"")</f>
        <v>Jeremy, Hochgraver</v>
      </c>
      <c r="I106" s="60" t="str">
        <f>IFERROR(INDEX('Docketed Comments'!D:D,MATCH(A106,'Docketed Comments'!H:H,0)),"")</f>
        <v>Scottsdale</v>
      </c>
      <c r="J106" s="60" t="str">
        <f>IFERROR(INDEX('Docketed Comments'!I:I,MATCH(A106,'Docketed Comments'!H:H,0)),"")</f>
        <v>RTOUE47</v>
      </c>
      <c r="K106" s="60" t="str">
        <f t="shared" si="3"/>
        <v>❌ Not on Best Plan</v>
      </c>
      <c r="L106" s="60" t="str">
        <f>IFERROR(INDEX('Docketed Comments'!F:F,MATCH(A106,'Docketed Comments'!H:H,0)),"")</f>
        <v>Opposed</v>
      </c>
      <c r="M106" s="120" t="str">
        <f>IFERROR(INDEX('Docketed Comments'!G:G,MATCH(A106,'Docketed Comments'!H:H,0)),"")</f>
        <v>https://docket.images.azcc.gov/E000046266.pdf</v>
      </c>
      <c r="N106" s="118" t="str">
        <f>IFERROR(INDEX('Docketed Comments'!N:N,MATCH(A106,'Docketed Comments'!H:H,0)),"")</f>
        <v>No</v>
      </c>
      <c r="O106" s="118" t="str">
        <f>IFERROR(INDEX('Docketed Comments'!L:L,MATCH(A106,'Docketed Comments'!H:H,0)),"")</f>
        <v>No MEP R3-47($285.34)</v>
      </c>
      <c r="P106" s="119">
        <f t="shared" si="2"/>
        <v>285.33999999999997</v>
      </c>
      <c r="Q106" s="60" t="s">
        <v>23</v>
      </c>
      <c r="R106" s="64" t="s">
        <v>24</v>
      </c>
      <c r="S106" s="64" t="s">
        <v>269</v>
      </c>
    </row>
    <row r="107" spans="1:19" ht="21.95" hidden="1" customHeight="1">
      <c r="A107" s="66" t="s">
        <v>270</v>
      </c>
      <c r="B107" s="64" t="s">
        <v>31</v>
      </c>
      <c r="C107" s="65">
        <v>46060</v>
      </c>
      <c r="D107" s="64" t="s">
        <v>21</v>
      </c>
      <c r="E107" s="64" t="s">
        <v>22</v>
      </c>
      <c r="F107" s="60" t="s">
        <v>60</v>
      </c>
      <c r="G107" s="60"/>
      <c r="H107" s="60" t="str">
        <f>IFERROR(INDEX('Docketed Comments'!C:C,MATCH(A107,'Docketed Comments'!H:H,0))&amp;", "&amp;INDEX('Docketed Comments'!B:B,MATCH(A107,'Docketed Comments'!H:H,0)),"")</f>
        <v>Vicki, Simone</v>
      </c>
      <c r="I107" s="60" t="str">
        <f>IFERROR(INDEX('Docketed Comments'!D:D,MATCH(A107,'Docketed Comments'!H:H,0)),"")</f>
        <v>Unknown</v>
      </c>
      <c r="J107" s="60" t="str">
        <f>IFERROR(INDEX('Docketed Comments'!I:I,MATCH(A107,'Docketed Comments'!H:H,0)),"")</f>
        <v>R-BASIC</v>
      </c>
      <c r="K107" s="60" t="str">
        <f t="shared" si="3"/>
        <v>❌ Not on Best Plan</v>
      </c>
      <c r="L107" s="60" t="str">
        <f>IFERROR(INDEX('Docketed Comments'!F:F,MATCH(A107,'Docketed Comments'!H:H,0)),"")</f>
        <v>Do the right thing, deny the rate increase</v>
      </c>
      <c r="M107" s="120" t="str">
        <f>IFERROR(INDEX('Docketed Comments'!G:G,MATCH(A107,'Docketed Comments'!H:H,0)),"")</f>
        <v>https://docket.images.azcc.gov/E000046266.pdf</v>
      </c>
      <c r="N107" s="118" t="str">
        <f>IFERROR(INDEX('Docketed Comments'!N:N,MATCH(A107,'Docketed Comments'!H:H,0)),"")</f>
        <v>No</v>
      </c>
      <c r="O107" s="118" t="str">
        <f>IFERROR(INDEX('Docketed Comments'!L:L,MATCH(A107,'Docketed Comments'!H:H,0)),"")</f>
        <v>No MEP R3-47(35.30)</v>
      </c>
      <c r="P107" s="119">
        <f t="shared" si="2"/>
        <v>35.299999999999997</v>
      </c>
      <c r="Q107" s="60" t="s">
        <v>23</v>
      </c>
      <c r="R107" s="64" t="s">
        <v>24</v>
      </c>
      <c r="S107" s="64" t="s">
        <v>271</v>
      </c>
    </row>
    <row r="108" spans="1:19" ht="21.95" hidden="1" customHeight="1">
      <c r="A108" s="66" t="s">
        <v>272</v>
      </c>
      <c r="B108" s="64" t="s">
        <v>31</v>
      </c>
      <c r="C108" s="65">
        <v>46046</v>
      </c>
      <c r="D108" s="64" t="s">
        <v>27</v>
      </c>
      <c r="E108" s="64" t="s">
        <v>35</v>
      </c>
      <c r="F108" s="60" t="s">
        <v>273</v>
      </c>
      <c r="G108" s="60"/>
      <c r="H108" s="60" t="str">
        <f>IFERROR(INDEX('Docketed Comments'!C:C,MATCH(A108,'Docketed Comments'!H:H,0))&amp;", "&amp;INDEX('Docketed Comments'!B:B,MATCH(A108,'Docketed Comments'!H:H,0)),"")</f>
        <v>James, Cotton</v>
      </c>
      <c r="I108" s="60" t="str">
        <f>IFERROR(INDEX('Docketed Comments'!D:D,MATCH(A108,'Docketed Comments'!H:H,0)),"")</f>
        <v>Scottsdale</v>
      </c>
      <c r="J108" s="60" t="str">
        <f>IFERROR(INDEX('Docketed Comments'!I:I,MATCH(A108,'Docketed Comments'!H:H,0)),"")</f>
        <v>R3-47</v>
      </c>
      <c r="K108" s="60" t="str">
        <f t="shared" si="3"/>
        <v>❌ Not on Best Plan</v>
      </c>
      <c r="L108" s="60" t="str">
        <f>IFERROR(INDEX('Docketed Comments'!F:F,MATCH(A108,'Docketed Comments'!H:H,0)),"")</f>
        <v>Opposed to outrageous request</v>
      </c>
      <c r="M108" s="120" t="str">
        <f>IFERROR(INDEX('Docketed Comments'!G:G,MATCH(A108,'Docketed Comments'!H:H,0)),"")</f>
        <v>https://docket.images.azcc.gov/E000046266.pdf</v>
      </c>
      <c r="N108" s="118" t="str">
        <f>IFERROR(INDEX('Docketed Comments'!N:N,MATCH(A108,'Docketed Comments'!H:H,0)),"")</f>
        <v>No</v>
      </c>
      <c r="O108" s="118" t="str">
        <f>IFERROR(INDEX('Docketed Comments'!L:L,MATCH(A108,'Docketed Comments'!H:H,0)),"")</f>
        <v>No MEP TOUE($139.14)</v>
      </c>
      <c r="P108" s="119">
        <f t="shared" si="2"/>
        <v>139.13999999999999</v>
      </c>
      <c r="Q108" s="60" t="s">
        <v>23</v>
      </c>
      <c r="R108" s="64" t="s">
        <v>24</v>
      </c>
      <c r="S108" s="64" t="s">
        <v>274</v>
      </c>
    </row>
    <row r="109" spans="1:19" ht="21.95" hidden="1" customHeight="1">
      <c r="A109" s="66" t="s">
        <v>275</v>
      </c>
      <c r="B109" s="64" t="s">
        <v>31</v>
      </c>
      <c r="C109" s="65">
        <v>46046</v>
      </c>
      <c r="D109" s="64" t="s">
        <v>27</v>
      </c>
      <c r="E109" s="64" t="s">
        <v>68</v>
      </c>
      <c r="F109" s="60" t="s">
        <v>276</v>
      </c>
      <c r="G109" s="60"/>
      <c r="H109" s="60" t="str">
        <f>IFERROR(INDEX('Docketed Comments'!C:C,MATCH(A109,'Docketed Comments'!H:H,0))&amp;", "&amp;INDEX('Docketed Comments'!B:B,MATCH(A109,'Docketed Comments'!H:H,0)),"")</f>
        <v>Srinivascharandeepak, Pydimarry</v>
      </c>
      <c r="I109" s="60" t="str">
        <f>IFERROR(INDEX('Docketed Comments'!D:D,MATCH(A109,'Docketed Comments'!H:H,0)),"")</f>
        <v>Peoria</v>
      </c>
      <c r="J109" s="60" t="str">
        <f>IFERROR(INDEX('Docketed Comments'!I:I,MATCH(A109,'Docketed Comments'!H:H,0)),"")</f>
        <v>RCPw/RTOUE47</v>
      </c>
      <c r="K109" s="60" t="str">
        <f t="shared" si="3"/>
        <v>⚠ N MEP R3-47($240.90)</v>
      </c>
      <c r="L109" s="60" t="str">
        <f>IFERROR(INDEX('Docketed Comments'!F:F,MATCH(A109,'Docketed Comments'!H:H,0)),"")</f>
        <v>Form letter</v>
      </c>
      <c r="M109" s="120" t="str">
        <f>IFERROR(INDEX('Docketed Comments'!G:G,MATCH(A109,'Docketed Comments'!H:H,0)),"")</f>
        <v>https://docket.images.azcc.gov/E000046266.pdf</v>
      </c>
      <c r="N109" s="118" t="str">
        <f>IFERROR(INDEX('Docketed Comments'!N:N,MATCH(A109,'Docketed Comments'!H:H,0)),"")</f>
        <v>No</v>
      </c>
      <c r="O109" s="118" t="str">
        <f>IFERROR(INDEX('Docketed Comments'!L:L,MATCH(A109,'Docketed Comments'!H:H,0)),"")</f>
        <v>N MEP R3-47($240.90)</v>
      </c>
      <c r="P109" s="119">
        <f t="shared" si="2"/>
        <v>240.9</v>
      </c>
      <c r="Q109" s="60" t="s">
        <v>23</v>
      </c>
      <c r="R109" s="64" t="s">
        <v>24</v>
      </c>
      <c r="S109" s="64" t="s">
        <v>277</v>
      </c>
    </row>
    <row r="110" spans="1:19" ht="21.95" hidden="1" customHeight="1">
      <c r="A110" s="66" t="s">
        <v>278</v>
      </c>
      <c r="B110" s="64" t="s">
        <v>31</v>
      </c>
      <c r="C110" s="65">
        <v>46046</v>
      </c>
      <c r="D110" s="64" t="s">
        <v>21</v>
      </c>
      <c r="E110" s="64" t="s">
        <v>35</v>
      </c>
      <c r="F110" s="60"/>
      <c r="G110" s="60"/>
      <c r="H110" s="60" t="str">
        <f>IFERROR(INDEX('Docketed Comments'!C:C,MATCH(A110,'Docketed Comments'!H:H,0))&amp;", "&amp;INDEX('Docketed Comments'!B:B,MATCH(A110,'Docketed Comments'!H:H,0)),"")</f>
        <v>Laura, Newton</v>
      </c>
      <c r="I110" s="60" t="str">
        <f>IFERROR(INDEX('Docketed Comments'!D:D,MATCH(A110,'Docketed Comments'!H:H,0)),"")</f>
        <v>Phoenix</v>
      </c>
      <c r="J110" s="60" t="str">
        <f>IFERROR(INDEX('Docketed Comments'!I:I,MATCH(A110,'Docketed Comments'!H:H,0)),"")</f>
        <v>R-BASICL</v>
      </c>
      <c r="K110" s="60" t="str">
        <f t="shared" si="3"/>
        <v>❌ Not on Best Plan</v>
      </c>
      <c r="L110" s="60" t="str">
        <f>IFERROR(INDEX('Docketed Comments'!F:F,MATCH(A110,'Docketed Comments'!H:H,0)),"")</f>
        <v>Form letter</v>
      </c>
      <c r="M110" s="120" t="str">
        <f>IFERROR(INDEX('Docketed Comments'!G:G,MATCH(A110,'Docketed Comments'!H:H,0)),"")</f>
        <v>https://docket.images.azcc.gov/E000046266.pdf</v>
      </c>
      <c r="N110" s="118" t="str">
        <f>IFERROR(INDEX('Docketed Comments'!N:N,MATCH(A110,'Docketed Comments'!H:H,0)),"")</f>
        <v>No</v>
      </c>
      <c r="O110" s="118" t="str">
        <f>IFERROR(INDEX('Docketed Comments'!L:L,MATCH(A110,'Docketed Comments'!H:H,0)),"")</f>
        <v>No MEP R3-47($65.26)</v>
      </c>
      <c r="P110" s="119">
        <f t="shared" si="2"/>
        <v>65.260000000000005</v>
      </c>
      <c r="Q110" s="60" t="s">
        <v>23</v>
      </c>
      <c r="R110" s="64" t="s">
        <v>24</v>
      </c>
      <c r="S110" s="64" t="s">
        <v>279</v>
      </c>
    </row>
    <row r="111" spans="1:19" ht="21.95" hidden="1" customHeight="1">
      <c r="A111" s="66" t="s">
        <v>280</v>
      </c>
      <c r="B111" s="64" t="s">
        <v>31</v>
      </c>
      <c r="C111" s="65">
        <v>46046</v>
      </c>
      <c r="D111" s="64" t="s">
        <v>21</v>
      </c>
      <c r="E111" s="64" t="s">
        <v>35</v>
      </c>
      <c r="F111" s="60"/>
      <c r="G111" s="60"/>
      <c r="H111" s="60" t="str">
        <f>IFERROR(INDEX('Docketed Comments'!C:C,MATCH(A111,'Docketed Comments'!H:H,0))&amp;", "&amp;INDEX('Docketed Comments'!B:B,MATCH(A111,'Docketed Comments'!H:H,0)),"")</f>
        <v>Celeste, Meiergerd</v>
      </c>
      <c r="I111" s="60" t="str">
        <f>IFERROR(INDEX('Docketed Comments'!D:D,MATCH(A111,'Docketed Comments'!H:H,0)),"")</f>
        <v>Tempe</v>
      </c>
      <c r="J111" s="60" t="str">
        <f>IFERROR(INDEX('Docketed Comments'!I:I,MATCH(A111,'Docketed Comments'!H:H,0)),"")</f>
        <v>RTOUE47</v>
      </c>
      <c r="K111" s="60" t="str">
        <f t="shared" si="3"/>
        <v>❌ Not on Best Plan</v>
      </c>
      <c r="L111" s="60" t="str">
        <f>IFERROR(INDEX('Docketed Comments'!F:F,MATCH(A111,'Docketed Comments'!H:H,0)),"")</f>
        <v>Opposed</v>
      </c>
      <c r="M111" s="120" t="str">
        <f>IFERROR(INDEX('Docketed Comments'!G:G,MATCH(A111,'Docketed Comments'!H:H,0)),"")</f>
        <v>https://docket.images.azcc.gov/E000046266.pdf</v>
      </c>
      <c r="N111" s="118" t="str">
        <f>IFERROR(INDEX('Docketed Comments'!N:N,MATCH(A111,'Docketed Comments'!H:H,0)),"")</f>
        <v>No</v>
      </c>
      <c r="O111" s="118" t="str">
        <f>IFERROR(INDEX('Docketed Comments'!L:L,MATCH(A111,'Docketed Comments'!H:H,0)),"")</f>
        <v>No MEP R3-47($92.94)</v>
      </c>
      <c r="P111" s="119">
        <f t="shared" si="2"/>
        <v>92.94</v>
      </c>
      <c r="Q111" s="60" t="s">
        <v>23</v>
      </c>
      <c r="R111" s="64" t="s">
        <v>24</v>
      </c>
      <c r="S111" s="64" t="s">
        <v>281</v>
      </c>
    </row>
    <row r="112" spans="1:19" ht="21.95" hidden="1" customHeight="1">
      <c r="A112" s="66" t="s">
        <v>282</v>
      </c>
      <c r="B112" s="64" t="s">
        <v>31</v>
      </c>
      <c r="C112" s="65">
        <v>46046</v>
      </c>
      <c r="D112" s="64" t="s">
        <v>27</v>
      </c>
      <c r="E112" s="64" t="s">
        <v>35</v>
      </c>
      <c r="F112" s="60" t="s">
        <v>283</v>
      </c>
      <c r="G112" s="60"/>
      <c r="H112" s="60" t="str">
        <f>IFERROR(INDEX('Docketed Comments'!C:C,MATCH(A112,'Docketed Comments'!H:H,0))&amp;", "&amp;INDEX('Docketed Comments'!B:B,MATCH(A112,'Docketed Comments'!H:H,0)),"")</f>
        <v>Emily, Chandler</v>
      </c>
      <c r="I112" s="60" t="str">
        <f>IFERROR(INDEX('Docketed Comments'!D:D,MATCH(A112,'Docketed Comments'!H:H,0)),"")</f>
        <v>Phoenix</v>
      </c>
      <c r="J112" s="60" t="str">
        <f>IFERROR(INDEX('Docketed Comments'!I:I,MATCH(A112,'Docketed Comments'!H:H,0)),"")</f>
        <v>R-BASICL</v>
      </c>
      <c r="K112" s="60" t="str">
        <f t="shared" si="3"/>
        <v>❌ Not on Best Plan</v>
      </c>
      <c r="L112" s="60" t="str">
        <f>IFERROR(INDEX('Docketed Comments'!F:F,MATCH(A112,'Docketed Comments'!H:H,0)),"")</f>
        <v>Families have to make difficult choices</v>
      </c>
      <c r="M112" s="120" t="str">
        <f>IFERROR(INDEX('Docketed Comments'!G:G,MATCH(A112,'Docketed Comments'!H:H,0)),"")</f>
        <v>https://docket.images.azcc.gov/E000046266.pdf</v>
      </c>
      <c r="N112" s="118" t="str">
        <f>IFERROR(INDEX('Docketed Comments'!N:N,MATCH(A112,'Docketed Comments'!H:H,0)),"")</f>
        <v>No</v>
      </c>
      <c r="O112" s="118" t="str">
        <f>IFERROR(INDEX('Docketed Comments'!L:L,MATCH(A112,'Docketed Comments'!H:H,0)),"")</f>
        <v>No MEP R-BASIC($175.71)</v>
      </c>
      <c r="P112" s="119">
        <f t="shared" si="2"/>
        <v>175.71</v>
      </c>
      <c r="Q112" s="60" t="s">
        <v>23</v>
      </c>
      <c r="R112" s="64" t="s">
        <v>24</v>
      </c>
      <c r="S112" s="64" t="s">
        <v>284</v>
      </c>
    </row>
    <row r="113" spans="1:19" ht="21.95" hidden="1" customHeight="1">
      <c r="A113" s="66" t="s">
        <v>285</v>
      </c>
      <c r="B113" s="64" t="s">
        <v>31</v>
      </c>
      <c r="C113" s="65">
        <v>46046</v>
      </c>
      <c r="D113" s="64" t="s">
        <v>27</v>
      </c>
      <c r="E113" s="64" t="s">
        <v>22</v>
      </c>
      <c r="F113" s="60" t="s">
        <v>211</v>
      </c>
      <c r="G113" s="60"/>
      <c r="H113" s="60" t="str">
        <f>IFERROR(INDEX('Docketed Comments'!C:C,MATCH(A113,'Docketed Comments'!H:H,0))&amp;", "&amp;INDEX('Docketed Comments'!B:B,MATCH(A113,'Docketed Comments'!H:H,0)),"")</f>
        <v>Jose, Deltoro</v>
      </c>
      <c r="I113" s="60" t="str">
        <f>IFERROR(INDEX('Docketed Comments'!D:D,MATCH(A113,'Docketed Comments'!H:H,0)),"")</f>
        <v>Cave Creek</v>
      </c>
      <c r="J113" s="60" t="str">
        <f>IFERROR(INDEX('Docketed Comments'!I:I,MATCH(A113,'Docketed Comments'!H:H,0)),"")</f>
        <v>RTOUE47</v>
      </c>
      <c r="K113" s="60" t="str">
        <f t="shared" si="3"/>
        <v>❌ Not on Best Plan</v>
      </c>
      <c r="L113" s="60" t="str">
        <f>IFERROR(INDEX('Docketed Comments'!F:F,MATCH(A113,'Docketed Comments'!H:H,0)),"")</f>
        <v>Form letter</v>
      </c>
      <c r="M113" s="120" t="str">
        <f>IFERROR(INDEX('Docketed Comments'!G:G,MATCH(A113,'Docketed Comments'!H:H,0)),"")</f>
        <v>https://docket.images.azcc.gov/E000046266.pdf</v>
      </c>
      <c r="N113" s="118" t="str">
        <f>IFERROR(INDEX('Docketed Comments'!N:N,MATCH(A113,'Docketed Comments'!H:H,0)),"")</f>
        <v>No</v>
      </c>
      <c r="O113" s="118" t="str">
        <f>IFERROR(INDEX('Docketed Comments'!L:L,MATCH(A113,'Docketed Comments'!H:H,0)),"")</f>
        <v>No MEP R3-47($253.38)</v>
      </c>
      <c r="P113" s="119">
        <f t="shared" si="2"/>
        <v>253.38</v>
      </c>
      <c r="Q113" s="60" t="s">
        <v>23</v>
      </c>
      <c r="R113" s="64" t="s">
        <v>24</v>
      </c>
      <c r="S113" s="64" t="s">
        <v>286</v>
      </c>
    </row>
    <row r="114" spans="1:19" ht="21.95" hidden="1" customHeight="1">
      <c r="A114" s="66" t="s">
        <v>287</v>
      </c>
      <c r="B114" s="64" t="s">
        <v>31</v>
      </c>
      <c r="C114" s="65">
        <v>46046</v>
      </c>
      <c r="D114" s="64" t="s">
        <v>27</v>
      </c>
      <c r="E114" s="64" t="s">
        <v>35</v>
      </c>
      <c r="F114" s="60"/>
      <c r="G114" s="60"/>
      <c r="H114" s="60" t="str">
        <f>IFERROR(INDEX('Docketed Comments'!C:C,MATCH(A114,'Docketed Comments'!H:H,0))&amp;", "&amp;INDEX('Docketed Comments'!B:B,MATCH(A114,'Docketed Comments'!H:H,0)),"")</f>
        <v>Michael, Jender</v>
      </c>
      <c r="I114" s="60" t="str">
        <f>IFERROR(INDEX('Docketed Comments'!D:D,MATCH(A114,'Docketed Comments'!H:H,0)),"")</f>
        <v>Phoenix</v>
      </c>
      <c r="J114" s="60" t="str">
        <f>IFERROR(INDEX('Docketed Comments'!I:I,MATCH(A114,'Docketed Comments'!H:H,0)),"")</f>
        <v>R-BASIC</v>
      </c>
      <c r="K114" s="60" t="str">
        <f t="shared" si="3"/>
        <v>❌ Not on Best Plan</v>
      </c>
      <c r="L114" s="60" t="str">
        <f>IFERROR(INDEX('Docketed Comments'!F:F,MATCH(A114,'Docketed Comments'!H:H,0)),"")</f>
        <v>Form letter</v>
      </c>
      <c r="M114" s="120" t="str">
        <f>IFERROR(INDEX('Docketed Comments'!G:G,MATCH(A114,'Docketed Comments'!H:H,0)),"")</f>
        <v>https://docket.images.azcc.gov/E000046266.pdf</v>
      </c>
      <c r="N114" s="118" t="str">
        <f>IFERROR(INDEX('Docketed Comments'!N:N,MATCH(A114,'Docketed Comments'!H:H,0)),"")</f>
        <v>No</v>
      </c>
      <c r="O114" s="118" t="str">
        <f>IFERROR(INDEX('Docketed Comments'!L:L,MATCH(A114,'Docketed Comments'!H:H,0)),"")</f>
        <v>No MEP R-XS ($47.79)</v>
      </c>
      <c r="P114" s="119">
        <f t="shared" si="2"/>
        <v>47.79</v>
      </c>
      <c r="Q114" s="60" t="s">
        <v>23</v>
      </c>
      <c r="R114" s="64" t="s">
        <v>24</v>
      </c>
      <c r="S114" s="64" t="s">
        <v>288</v>
      </c>
    </row>
    <row r="115" spans="1:19" ht="21.95" hidden="1" customHeight="1">
      <c r="A115" s="66" t="s">
        <v>289</v>
      </c>
      <c r="B115" s="64" t="s">
        <v>31</v>
      </c>
      <c r="C115" s="65">
        <v>46046</v>
      </c>
      <c r="D115" s="64" t="s">
        <v>21</v>
      </c>
      <c r="E115" s="64" t="s">
        <v>35</v>
      </c>
      <c r="F115" s="60"/>
      <c r="G115" s="60"/>
      <c r="H115" s="60" t="str">
        <f>IFERROR(INDEX('Docketed Comments'!C:C,MATCH(A115,'Docketed Comments'!H:H,0))&amp;", "&amp;INDEX('Docketed Comments'!B:B,MATCH(A115,'Docketed Comments'!H:H,0)),"")</f>
        <v>Marlenne, Ferrales</v>
      </c>
      <c r="I115" s="60" t="str">
        <f>IFERROR(INDEX('Docketed Comments'!D:D,MATCH(A115,'Docketed Comments'!H:H,0)),"")</f>
        <v>Phoenix</v>
      </c>
      <c r="J115" s="60" t="str">
        <f>IFERROR(INDEX('Docketed Comments'!I:I,MATCH(A115,'Docketed Comments'!H:H,0)),"")</f>
        <v>RTOUE47</v>
      </c>
      <c r="K115" s="60" t="str">
        <f t="shared" si="3"/>
        <v>❌ Not on Best Plan</v>
      </c>
      <c r="L115" s="60" t="str">
        <f>IFERROR(INDEX('Docketed Comments'!F:F,MATCH(A115,'Docketed Comments'!H:H,0)),"")</f>
        <v>Form letter</v>
      </c>
      <c r="M115" s="120" t="str">
        <f>IFERROR(INDEX('Docketed Comments'!G:G,MATCH(A115,'Docketed Comments'!H:H,0)),"")</f>
        <v>https://docket.images.azcc.gov/E000046266.pdf</v>
      </c>
      <c r="N115" s="118" t="str">
        <f>IFERROR(INDEX('Docketed Comments'!N:N,MATCH(A115,'Docketed Comments'!H:H,0)),"")</f>
        <v>No</v>
      </c>
      <c r="O115" s="118" t="str">
        <f>IFERROR(INDEX('Docketed Comments'!L:L,MATCH(A115,'Docketed Comments'!H:H,0)),"")</f>
        <v>No MEP R-BASIC ($18.51)</v>
      </c>
      <c r="P115" s="119">
        <f t="shared" si="2"/>
        <v>18.510000000000002</v>
      </c>
      <c r="Q115" s="60" t="s">
        <v>23</v>
      </c>
      <c r="R115" s="64" t="s">
        <v>24</v>
      </c>
      <c r="S115" s="64" t="s">
        <v>290</v>
      </c>
    </row>
    <row r="116" spans="1:19" ht="21.95" hidden="1" customHeight="1">
      <c r="A116" s="66" t="s">
        <v>291</v>
      </c>
      <c r="B116" s="64" t="s">
        <v>31</v>
      </c>
      <c r="C116" s="65">
        <v>46046</v>
      </c>
      <c r="D116" s="64" t="s">
        <v>21</v>
      </c>
      <c r="E116" s="64" t="s">
        <v>28</v>
      </c>
      <c r="F116" s="60"/>
      <c r="G116" s="60"/>
      <c r="H116" s="60" t="str">
        <f>IFERROR(INDEX('Docketed Comments'!C:C,MATCH(A116,'Docketed Comments'!H:H,0))&amp;", "&amp;INDEX('Docketed Comments'!B:B,MATCH(A116,'Docketed Comments'!H:H,0)),"")</f>
        <v>Harikrishna, Pesala</v>
      </c>
      <c r="I116" s="60" t="str">
        <f>IFERROR(INDEX('Docketed Comments'!D:D,MATCH(A116,'Docketed Comments'!H:H,0)),"")</f>
        <v>Peoria</v>
      </c>
      <c r="J116" s="60" t="str">
        <f>IFERROR(INDEX('Docketed Comments'!I:I,MATCH(A116,'Docketed Comments'!H:H,0)),"")</f>
        <v>RCPw/RTOUE47</v>
      </c>
      <c r="K116" s="60" t="str">
        <f t="shared" si="3"/>
        <v>❌ Not on Best Plan</v>
      </c>
      <c r="L116" s="60" t="str">
        <f>IFERROR(INDEX('Docketed Comments'!F:F,MATCH(A116,'Docketed Comments'!H:H,0)),"")</f>
        <v>rake hike is not good</v>
      </c>
      <c r="M116" s="120" t="str">
        <f>IFERROR(INDEX('Docketed Comments'!G:G,MATCH(A116,'Docketed Comments'!H:H,0)),"")</f>
        <v>https://docket.images.azcc.gov/E000046266.pdf</v>
      </c>
      <c r="N116" s="118" t="str">
        <f>IFERROR(INDEX('Docketed Comments'!N:N,MATCH(A116,'Docketed Comments'!H:H,0)),"")</f>
        <v>No</v>
      </c>
      <c r="O116" s="118" t="str">
        <f>IFERROR(INDEX('Docketed Comments'!L:L,MATCH(A116,'Docketed Comments'!H:H,0)),"")</f>
        <v>No MEP R3-47($83.41)</v>
      </c>
      <c r="P116" s="119">
        <f t="shared" si="2"/>
        <v>83.41</v>
      </c>
      <c r="Q116" s="60" t="s">
        <v>23</v>
      </c>
      <c r="R116" s="64" t="s">
        <v>24</v>
      </c>
      <c r="S116" s="64" t="s">
        <v>292</v>
      </c>
    </row>
    <row r="117" spans="1:19" ht="21.95" hidden="1" customHeight="1">
      <c r="A117" s="66" t="s">
        <v>293</v>
      </c>
      <c r="B117" s="64" t="s">
        <v>31</v>
      </c>
      <c r="C117" s="65">
        <v>46060</v>
      </c>
      <c r="D117" s="64" t="s">
        <v>27</v>
      </c>
      <c r="E117" s="64" t="s">
        <v>35</v>
      </c>
      <c r="F117" s="60"/>
      <c r="G117" s="60"/>
      <c r="H117" s="60" t="str">
        <f>IFERROR(INDEX('Docketed Comments'!C:C,MATCH(A117,'Docketed Comments'!H:H,0))&amp;", "&amp;INDEX('Docketed Comments'!B:B,MATCH(A117,'Docketed Comments'!H:H,0)),"")</f>
        <v>Daniel, Lee</v>
      </c>
      <c r="I117" s="60" t="str">
        <f>IFERROR(INDEX('Docketed Comments'!D:D,MATCH(A117,'Docketed Comments'!H:H,0)),"")</f>
        <v>Scottsdale</v>
      </c>
      <c r="J117" s="60" t="str">
        <f>IFERROR(INDEX('Docketed Comments'!I:I,MATCH(A117,'Docketed Comments'!H:H,0)),"")</f>
        <v>R-XS</v>
      </c>
      <c r="K117" s="60" t="str">
        <f t="shared" si="3"/>
        <v>❌ Not on Best Plan</v>
      </c>
      <c r="L117" s="60" t="str">
        <f>IFERROR(INDEX('Docketed Comments'!F:F,MATCH(A117,'Docketed Comments'!H:H,0)),"")</f>
        <v>Form letter</v>
      </c>
      <c r="M117" s="120" t="str">
        <f>IFERROR(INDEX('Docketed Comments'!G:G,MATCH(A117,'Docketed Comments'!H:H,0)),"")</f>
        <v>https://docket.images.azcc.gov/E000046266.pdf</v>
      </c>
      <c r="N117" s="118" t="str">
        <f>IFERROR(INDEX('Docketed Comments'!N:N,MATCH(A117,'Docketed Comments'!H:H,0)),"")</f>
        <v>No</v>
      </c>
      <c r="O117" s="118" t="str">
        <f>IFERROR(INDEX('Docketed Comments'!L:L,MATCH(A117,'Docketed Comments'!H:H,0)),"")</f>
        <v>Not eligible yet (needs 3 months)</v>
      </c>
      <c r="P117" s="119">
        <f t="shared" si="2"/>
        <v>0</v>
      </c>
      <c r="Q117" s="60" t="s">
        <v>23</v>
      </c>
      <c r="R117" s="64" t="s">
        <v>24</v>
      </c>
      <c r="S117" s="64" t="s">
        <v>294</v>
      </c>
    </row>
    <row r="118" spans="1:19" ht="21.95" hidden="1" customHeight="1">
      <c r="A118" s="66" t="s">
        <v>295</v>
      </c>
      <c r="B118" s="64" t="s">
        <v>31</v>
      </c>
      <c r="C118" s="65">
        <v>46039</v>
      </c>
      <c r="D118" s="64" t="s">
        <v>21</v>
      </c>
      <c r="E118" s="64" t="s">
        <v>22</v>
      </c>
      <c r="F118" s="60"/>
      <c r="G118" s="60"/>
      <c r="H118" s="60" t="str">
        <f>IFERROR(INDEX('Docketed Comments'!C:C,MATCH(A118,'Docketed Comments'!H:H,0))&amp;", "&amp;INDEX('Docketed Comments'!B:B,MATCH(A118,'Docketed Comments'!H:H,0)),"")</f>
        <v>Rajesh, Kulandaivadivelu</v>
      </c>
      <c r="I118" s="60" t="str">
        <f>IFERROR(INDEX('Docketed Comments'!D:D,MATCH(A118,'Docketed Comments'!H:H,0)),"")</f>
        <v>Peoria</v>
      </c>
      <c r="J118" s="60" t="str">
        <f>IFERROR(INDEX('Docketed Comments'!I:I,MATCH(A118,'Docketed Comments'!H:H,0)),"")</f>
        <v>R-BASICL</v>
      </c>
      <c r="K118" s="60" t="str">
        <f t="shared" si="3"/>
        <v>❌ Not on Best Plan</v>
      </c>
      <c r="L118" s="60" t="str">
        <f>IFERROR(INDEX('Docketed Comments'!F:F,MATCH(A118,'Docketed Comments'!H:H,0)),"")</f>
        <v>Form letter</v>
      </c>
      <c r="M118" s="120" t="str">
        <f>IFERROR(INDEX('Docketed Comments'!G:G,MATCH(A118,'Docketed Comments'!H:H,0)),"")</f>
        <v>https://docket.images.azcc.gov/E000046266.pdf</v>
      </c>
      <c r="N118" s="118" t="str">
        <f>IFERROR(INDEX('Docketed Comments'!N:N,MATCH(A118,'Docketed Comments'!H:H,0)),"")</f>
        <v>No</v>
      </c>
      <c r="O118" s="118" t="str">
        <f>IFERROR(INDEX('Docketed Comments'!L:L,MATCH(A118,'Docketed Comments'!H:H,0)),"")</f>
        <v>No MEP RTOUE47($181.10)</v>
      </c>
      <c r="P118" s="119">
        <f t="shared" si="2"/>
        <v>181.1</v>
      </c>
      <c r="Q118" s="60" t="s">
        <v>23</v>
      </c>
      <c r="R118" s="64" t="s">
        <v>24</v>
      </c>
      <c r="S118" s="64" t="s">
        <v>296</v>
      </c>
    </row>
    <row r="119" spans="1:19" ht="21.95" hidden="1" customHeight="1">
      <c r="A119" s="66" t="s">
        <v>297</v>
      </c>
      <c r="B119" s="64" t="s">
        <v>31</v>
      </c>
      <c r="C119" s="65">
        <v>46060</v>
      </c>
      <c r="D119" s="64" t="s">
        <v>21</v>
      </c>
      <c r="E119" s="64" t="s">
        <v>22</v>
      </c>
      <c r="F119" s="60" t="s">
        <v>41</v>
      </c>
      <c r="G119" s="60"/>
      <c r="H119" s="60" t="str">
        <f>IFERROR(INDEX('Docketed Comments'!C:C,MATCH(A119,'Docketed Comments'!H:H,0))&amp;", "&amp;INDEX('Docketed Comments'!B:B,MATCH(A119,'Docketed Comments'!H:H,0)),"")</f>
        <v>Diego, Ezrre</v>
      </c>
      <c r="I119" s="60" t="str">
        <f>IFERROR(INDEX('Docketed Comments'!D:D,MATCH(A119,'Docketed Comments'!H:H,0)),"")</f>
        <v>Phoenix</v>
      </c>
      <c r="J119" s="60" t="str">
        <f>IFERROR(INDEX('Docketed Comments'!I:I,MATCH(A119,'Docketed Comments'!H:H,0)),"")</f>
        <v>R3-47</v>
      </c>
      <c r="K119" s="60" t="str">
        <f t="shared" si="3"/>
        <v>❌ Not on Best Plan</v>
      </c>
      <c r="L119" s="60" t="str">
        <f>IFERROR(INDEX('Docketed Comments'!F:F,MATCH(A119,'Docketed Comments'!H:H,0)),"")</f>
        <v>Form letter</v>
      </c>
      <c r="M119" s="120" t="str">
        <f>IFERROR(INDEX('Docketed Comments'!G:G,MATCH(A119,'Docketed Comments'!H:H,0)),"")</f>
        <v>https://docket.images.azcc.gov/E000046266.pdf</v>
      </c>
      <c r="N119" s="118" t="str">
        <f>IFERROR(INDEX('Docketed Comments'!N:N,MATCH(A119,'Docketed Comments'!H:H,0)),"")</f>
        <v>No</v>
      </c>
      <c r="O119" s="118" t="str">
        <f>IFERROR(INDEX('Docketed Comments'!L:L,MATCH(A119,'Docketed Comments'!H:H,0)),"")</f>
        <v>Not eligible yet (needs 3 months)</v>
      </c>
      <c r="P119" s="119">
        <f t="shared" si="2"/>
        <v>0</v>
      </c>
      <c r="Q119" s="60" t="s">
        <v>23</v>
      </c>
      <c r="R119" s="64" t="s">
        <v>24</v>
      </c>
      <c r="S119" s="64" t="s">
        <v>298</v>
      </c>
    </row>
    <row r="120" spans="1:19" ht="21.95" hidden="1" customHeight="1">
      <c r="A120" s="66" t="s">
        <v>299</v>
      </c>
      <c r="B120" s="64" t="s">
        <v>31</v>
      </c>
      <c r="C120" s="65">
        <v>46039</v>
      </c>
      <c r="D120" s="64" t="s">
        <v>27</v>
      </c>
      <c r="E120" s="64" t="s">
        <v>35</v>
      </c>
      <c r="F120" s="60" t="s">
        <v>131</v>
      </c>
      <c r="G120" s="60"/>
      <c r="H120" s="60" t="str">
        <f>IFERROR(INDEX('Docketed Comments'!C:C,MATCH(A120,'Docketed Comments'!H:H,0))&amp;", "&amp;INDEX('Docketed Comments'!B:B,MATCH(A120,'Docketed Comments'!H:H,0)),"")</f>
        <v>Bevan, Greibesland</v>
      </c>
      <c r="I120" s="60" t="str">
        <f>IFERROR(INDEX('Docketed Comments'!D:D,MATCH(A120,'Docketed Comments'!H:H,0)),"")</f>
        <v>Peoria</v>
      </c>
      <c r="J120" s="60" t="str">
        <f>IFERROR(INDEX('Docketed Comments'!I:I,MATCH(A120,'Docketed Comments'!H:H,0)),"")</f>
        <v>RTOUE47</v>
      </c>
      <c r="K120" s="60" t="str">
        <f t="shared" si="3"/>
        <v>❌ Not on Best Plan</v>
      </c>
      <c r="L120" s="60" t="str">
        <f>IFERROR(INDEX('Docketed Comments'!F:F,MATCH(A120,'Docketed Comments'!H:H,0)),"")</f>
        <v>Form letter</v>
      </c>
      <c r="M120" s="120" t="str">
        <f>IFERROR(INDEX('Docketed Comments'!G:G,MATCH(A120,'Docketed Comments'!H:H,0)),"")</f>
        <v>https://docket.images.azcc.gov/E000046266.pdf</v>
      </c>
      <c r="N120" s="118" t="str">
        <f>IFERROR(INDEX('Docketed Comments'!N:N,MATCH(A120,'Docketed Comments'!H:H,0)),"")</f>
        <v>No</v>
      </c>
      <c r="O120" s="118" t="str">
        <f>IFERROR(INDEX('Docketed Comments'!L:L,MATCH(A120,'Docketed Comments'!H:H,0)),"")</f>
        <v>No MEP R3-47($138.04)</v>
      </c>
      <c r="P120" s="119">
        <f t="shared" si="2"/>
        <v>138.04</v>
      </c>
      <c r="Q120" s="60" t="s">
        <v>23</v>
      </c>
      <c r="R120" s="64" t="s">
        <v>24</v>
      </c>
      <c r="S120" s="64" t="s">
        <v>300</v>
      </c>
    </row>
    <row r="121" spans="1:19" ht="21.95" hidden="1" customHeight="1">
      <c r="A121" s="66" t="s">
        <v>301</v>
      </c>
      <c r="B121" s="64" t="s">
        <v>31</v>
      </c>
      <c r="C121" s="65">
        <v>46039</v>
      </c>
      <c r="D121" s="64" t="s">
        <v>21</v>
      </c>
      <c r="E121" s="64" t="s">
        <v>22</v>
      </c>
      <c r="F121" s="60"/>
      <c r="G121" s="60"/>
      <c r="H121" s="60" t="str">
        <f>IFERROR(INDEX('Docketed Comments'!C:C,MATCH(A121,'Docketed Comments'!H:H,0))&amp;", "&amp;INDEX('Docketed Comments'!B:B,MATCH(A121,'Docketed Comments'!H:H,0)),"")</f>
        <v>Miranda, Litton</v>
      </c>
      <c r="I121" s="60" t="str">
        <f>IFERROR(INDEX('Docketed Comments'!D:D,MATCH(A121,'Docketed Comments'!H:H,0)),"")</f>
        <v>Youngtown</v>
      </c>
      <c r="J121" s="60" t="str">
        <f>IFERROR(INDEX('Docketed Comments'!I:I,MATCH(A121,'Docketed Comments'!H:H,0)),"")</f>
        <v>RTOUE47</v>
      </c>
      <c r="K121" s="60" t="str">
        <f t="shared" si="3"/>
        <v>❌ Not on Best Plan</v>
      </c>
      <c r="L121" s="60" t="str">
        <f>IFERROR(INDEX('Docketed Comments'!F:F,MATCH(A121,'Docketed Comments'!H:H,0)),"")</f>
        <v>Form letter</v>
      </c>
      <c r="M121" s="120" t="str">
        <f>IFERROR(INDEX('Docketed Comments'!G:G,MATCH(A121,'Docketed Comments'!H:H,0)),"")</f>
        <v>https://docket.images.azcc.gov/E000046266.pdf</v>
      </c>
      <c r="N121" s="118" t="str">
        <f>IFERROR(INDEX('Docketed Comments'!N:N,MATCH(A121,'Docketed Comments'!H:H,0)),"")</f>
        <v>No</v>
      </c>
      <c r="O121" s="118" t="str">
        <f>IFERROR(INDEX('Docketed Comments'!L:L,MATCH(A121,'Docketed Comments'!H:H,0)),"")</f>
        <v>No MEP R3-47 ($110.70)</v>
      </c>
      <c r="P121" s="119">
        <f t="shared" si="2"/>
        <v>110.7</v>
      </c>
      <c r="Q121" s="60" t="s">
        <v>23</v>
      </c>
      <c r="R121" s="64" t="s">
        <v>24</v>
      </c>
      <c r="S121" s="124" t="s">
        <v>302</v>
      </c>
    </row>
    <row r="122" spans="1:19" ht="21.95" hidden="1" customHeight="1">
      <c r="A122" s="66" t="s">
        <v>303</v>
      </c>
      <c r="B122" s="64" t="s">
        <v>31</v>
      </c>
      <c r="C122" s="65">
        <v>46025</v>
      </c>
      <c r="D122" s="64" t="s">
        <v>27</v>
      </c>
      <c r="E122" s="64" t="s">
        <v>22</v>
      </c>
      <c r="F122" s="60" t="s">
        <v>304</v>
      </c>
      <c r="G122" s="60"/>
      <c r="H122" s="60" t="str">
        <f>IFERROR(INDEX('Docketed Comments'!C:C,MATCH(A122,'Docketed Comments'!H:H,0))&amp;", "&amp;INDEX('Docketed Comments'!B:B,MATCH(A122,'Docketed Comments'!H:H,0)),"")</f>
        <v>Mary Ann, Watson</v>
      </c>
      <c r="I122" s="60" t="str">
        <f>IFERROR(INDEX('Docketed Comments'!D:D,MATCH(A122,'Docketed Comments'!H:H,0)),"")</f>
        <v>Sun City West</v>
      </c>
      <c r="J122" s="60" t="str">
        <f>IFERROR(INDEX('Docketed Comments'!I:I,MATCH(A122,'Docketed Comments'!H:H,0)),"")</f>
        <v>RTOUE47</v>
      </c>
      <c r="K122" s="60" t="str">
        <f t="shared" si="3"/>
        <v>❌ Not on Best Plan</v>
      </c>
      <c r="L122" s="60" t="str">
        <f>IFERROR(INDEX('Docketed Comments'!F:F,MATCH(A122,'Docketed Comments'!H:H,0)),"")</f>
        <v>Too much too often</v>
      </c>
      <c r="M122" s="120" t="str">
        <f>IFERROR(INDEX('Docketed Comments'!G:G,MATCH(A122,'Docketed Comments'!H:H,0)),"")</f>
        <v>https://docket.images.azcc.gov/E000046266.pdf</v>
      </c>
      <c r="N122" s="118" t="str">
        <f>IFERROR(INDEX('Docketed Comments'!N:N,MATCH(A122,'Docketed Comments'!H:H,0)),"")</f>
        <v>No</v>
      </c>
      <c r="O122" s="118" t="str">
        <f>IFERROR(INDEX('Docketed Comments'!L:L,MATCH(A122,'Docketed Comments'!H:H,0)),"")</f>
        <v>No MEP R3-47($130.18)</v>
      </c>
      <c r="P122" s="119">
        <f t="shared" si="2"/>
        <v>130.18</v>
      </c>
      <c r="Q122" s="60" t="s">
        <v>23</v>
      </c>
      <c r="R122" s="64" t="s">
        <v>24</v>
      </c>
      <c r="S122" s="64" t="s">
        <v>305</v>
      </c>
    </row>
    <row r="123" spans="1:19" ht="21.95" hidden="1" customHeight="1">
      <c r="A123" s="66" t="s">
        <v>306</v>
      </c>
      <c r="B123" s="64" t="s">
        <v>31</v>
      </c>
      <c r="C123" s="65">
        <v>46025</v>
      </c>
      <c r="D123" s="64" t="s">
        <v>27</v>
      </c>
      <c r="E123" s="64" t="s">
        <v>22</v>
      </c>
      <c r="F123" s="60" t="s">
        <v>41</v>
      </c>
      <c r="G123" s="60"/>
      <c r="H123" s="60" t="str">
        <f>IFERROR(INDEX('Docketed Comments'!C:C,MATCH(A123,'Docketed Comments'!H:H,0))&amp;", "&amp;INDEX('Docketed Comments'!B:B,MATCH(A123,'Docketed Comments'!H:H,0)),"")</f>
        <v>Atul, Bahrie</v>
      </c>
      <c r="I123" s="60" t="str">
        <f>IFERROR(INDEX('Docketed Comments'!D:D,MATCH(A123,'Docketed Comments'!H:H,0)),"")</f>
        <v>Phoenix</v>
      </c>
      <c r="J123" s="60" t="str">
        <f>IFERROR(INDEX('Docketed Comments'!I:I,MATCH(A123,'Docketed Comments'!H:H,0)),"")</f>
        <v>R-BASICL</v>
      </c>
      <c r="K123" s="60" t="str">
        <f t="shared" si="3"/>
        <v>❌ Not on Best Plan</v>
      </c>
      <c r="L123" s="60" t="str">
        <f>IFERROR(INDEX('Docketed Comments'!F:F,MATCH(A123,'Docketed Comments'!H:H,0)),"")</f>
        <v>Form letter</v>
      </c>
      <c r="M123" s="120" t="str">
        <f>IFERROR(INDEX('Docketed Comments'!G:G,MATCH(A123,'Docketed Comments'!H:H,0)),"")</f>
        <v>https://docket.images.azcc.gov/E000046266.pdf</v>
      </c>
      <c r="N123" s="118" t="str">
        <f>IFERROR(INDEX('Docketed Comments'!N:N,MATCH(A123,'Docketed Comments'!H:H,0)),"")</f>
        <v>No</v>
      </c>
      <c r="O123" s="118" t="str">
        <f>IFERROR(INDEX('Docketed Comments'!L:L,MATCH(A123,'Docketed Comments'!H:H,0)),"")</f>
        <v>No MEP R3-47($481.47)</v>
      </c>
      <c r="P123" s="119">
        <f t="shared" si="2"/>
        <v>481.47</v>
      </c>
      <c r="Q123" s="60" t="s">
        <v>23</v>
      </c>
      <c r="R123" s="64" t="s">
        <v>24</v>
      </c>
      <c r="S123" s="64" t="s">
        <v>307</v>
      </c>
    </row>
    <row r="124" spans="1:19" ht="21.95" hidden="1" customHeight="1">
      <c r="A124" s="66" t="s">
        <v>308</v>
      </c>
      <c r="B124" s="64" t="s">
        <v>31</v>
      </c>
      <c r="C124" s="65">
        <v>46025</v>
      </c>
      <c r="D124" s="64" t="s">
        <v>21</v>
      </c>
      <c r="E124" s="64" t="s">
        <v>22</v>
      </c>
      <c r="F124" s="60"/>
      <c r="G124" s="60"/>
      <c r="H124" s="60" t="str">
        <f>IFERROR(INDEX('Docketed Comments'!C:C,MATCH(A124,'Docketed Comments'!H:H,0))&amp;", "&amp;INDEX('Docketed Comments'!B:B,MATCH(A124,'Docketed Comments'!H:H,0)),"")</f>
        <v>Andrew, Pludowski</v>
      </c>
      <c r="I124" s="60" t="str">
        <f>IFERROR(INDEX('Docketed Comments'!D:D,MATCH(A124,'Docketed Comments'!H:H,0)),"")</f>
        <v>Surprise</v>
      </c>
      <c r="J124" s="60" t="str">
        <f>IFERROR(INDEX('Docketed Comments'!I:I,MATCH(A124,'Docketed Comments'!H:H,0)),"")</f>
        <v>RTOUE47</v>
      </c>
      <c r="K124" s="60" t="str">
        <f t="shared" si="3"/>
        <v>❌ Not on Best Plan</v>
      </c>
      <c r="L124" s="60" t="str">
        <f>IFERROR(INDEX('Docketed Comments'!F:F,MATCH(A124,'Docketed Comments'!H:H,0)),"")</f>
        <v>Increase approved last year</v>
      </c>
      <c r="M124" s="120" t="str">
        <f>IFERROR(INDEX('Docketed Comments'!G:G,MATCH(A124,'Docketed Comments'!H:H,0)),"")</f>
        <v>https://docket.images.azcc.gov/E000046266.pdf</v>
      </c>
      <c r="N124" s="118" t="str">
        <f>IFERROR(INDEX('Docketed Comments'!N:N,MATCH(A124,'Docketed Comments'!H:H,0)),"")</f>
        <v>No</v>
      </c>
      <c r="O124" s="118" t="str">
        <f>IFERROR(INDEX('Docketed Comments'!L:L,MATCH(A124,'Docketed Comments'!H:H,0)),"")</f>
        <v>No MRP R3-47($305.33)</v>
      </c>
      <c r="P124" s="119">
        <f t="shared" si="2"/>
        <v>305.33</v>
      </c>
      <c r="Q124" s="60" t="s">
        <v>23</v>
      </c>
      <c r="R124" s="64" t="s">
        <v>24</v>
      </c>
      <c r="S124" s="64" t="s">
        <v>309</v>
      </c>
    </row>
    <row r="125" spans="1:19" ht="21.95" hidden="1" customHeight="1">
      <c r="A125" s="66" t="s">
        <v>310</v>
      </c>
      <c r="B125" s="64" t="s">
        <v>31</v>
      </c>
      <c r="C125" s="65">
        <v>46025</v>
      </c>
      <c r="D125" s="64" t="s">
        <v>27</v>
      </c>
      <c r="E125" s="64" t="s">
        <v>35</v>
      </c>
      <c r="F125" s="60" t="s">
        <v>311</v>
      </c>
      <c r="G125" s="60"/>
      <c r="H125" s="60" t="str">
        <f>IFERROR(INDEX('Docketed Comments'!C:C,MATCH(A125,'Docketed Comments'!H:H,0))&amp;", "&amp;INDEX('Docketed Comments'!B:B,MATCH(A125,'Docketed Comments'!H:H,0)),"")</f>
        <v>Kirsten, Nicholson</v>
      </c>
      <c r="I125" s="60" t="str">
        <f>IFERROR(INDEX('Docketed Comments'!D:D,MATCH(A125,'Docketed Comments'!H:H,0)),"")</f>
        <v>Phoenix</v>
      </c>
      <c r="J125" s="60" t="str">
        <f>IFERROR(INDEX('Docketed Comments'!I:I,MATCH(A125,'Docketed Comments'!H:H,0)),"")</f>
        <v>R-BASIC</v>
      </c>
      <c r="K125" s="60" t="str">
        <f t="shared" si="3"/>
        <v>❌ Not on Best Plan</v>
      </c>
      <c r="L125" s="60" t="str">
        <f>IFERROR(INDEX('Docketed Comments'!F:F,MATCH(A125,'Docketed Comments'!H:H,0)),"")</f>
        <v>Form letter</v>
      </c>
      <c r="M125" s="120" t="str">
        <f>IFERROR(INDEX('Docketed Comments'!G:G,MATCH(A125,'Docketed Comments'!H:H,0)),"")</f>
        <v>https://docket.images.azcc.gov/E000046266.pdf</v>
      </c>
      <c r="N125" s="118" t="str">
        <f>IFERROR(INDEX('Docketed Comments'!N:N,MATCH(A125,'Docketed Comments'!H:H,0)),"")</f>
        <v>No</v>
      </c>
      <c r="O125" s="118" t="str">
        <f>IFERROR(INDEX('Docketed Comments'!L:L,MATCH(A125,'Docketed Comments'!H:H,0)),"")</f>
        <v>No R3-47($76.57)</v>
      </c>
      <c r="P125" s="119">
        <f t="shared" si="2"/>
        <v>76.569999999999993</v>
      </c>
      <c r="Q125" s="60" t="s">
        <v>23</v>
      </c>
      <c r="R125" s="64" t="s">
        <v>24</v>
      </c>
      <c r="S125" s="64" t="s">
        <v>312</v>
      </c>
    </row>
    <row r="126" spans="1:19" ht="21.95" hidden="1" customHeight="1">
      <c r="A126" s="66" t="s">
        <v>313</v>
      </c>
      <c r="B126" s="64" t="s">
        <v>31</v>
      </c>
      <c r="C126" s="65">
        <v>46025</v>
      </c>
      <c r="D126" s="64"/>
      <c r="E126" s="64" t="s">
        <v>35</v>
      </c>
      <c r="F126" s="60" t="s">
        <v>314</v>
      </c>
      <c r="G126" s="60"/>
      <c r="H126" s="60" t="str">
        <f>IFERROR(INDEX('Docketed Comments'!C:C,MATCH(A126,'Docketed Comments'!H:H,0))&amp;", "&amp;INDEX('Docketed Comments'!B:B,MATCH(A126,'Docketed Comments'!H:H,0)),"")</f>
        <v>Melissa, Haynes</v>
      </c>
      <c r="I126" s="60" t="str">
        <f>IFERROR(INDEX('Docketed Comments'!D:D,MATCH(A126,'Docketed Comments'!H:H,0)),"")</f>
        <v>Surprise</v>
      </c>
      <c r="J126" s="60" t="str">
        <f>IFERROR(INDEX('Docketed Comments'!I:I,MATCH(A126,'Docketed Comments'!H:H,0)),"")</f>
        <v>R-XS</v>
      </c>
      <c r="K126" s="60" t="str">
        <f t="shared" si="3"/>
        <v>❌ Not on Best Plan</v>
      </c>
      <c r="L126" s="60" t="str">
        <f>IFERROR(INDEX('Docketed Comments'!F:F,MATCH(A126,'Docketed Comments'!H:H,0)),"")</f>
        <v>Absolutely insane</v>
      </c>
      <c r="M126" s="120" t="str">
        <f>IFERROR(INDEX('Docketed Comments'!G:G,MATCH(A126,'Docketed Comments'!H:H,0)),"")</f>
        <v>https://docket.images.azcc.gov/E000046266.pdf</v>
      </c>
      <c r="N126" s="118" t="str">
        <f>IFERROR(INDEX('Docketed Comments'!N:N,MATCH(A126,'Docketed Comments'!H:H,0)),"")</f>
        <v>No</v>
      </c>
      <c r="O126" s="118" t="str">
        <f>IFERROR(INDEX('Docketed Comments'!L:L,MATCH(A126,'Docketed Comments'!H:H,0)),"")</f>
        <v>No R3-47($147.75)</v>
      </c>
      <c r="P126" s="119">
        <f t="shared" si="2"/>
        <v>147.75</v>
      </c>
      <c r="Q126" s="60" t="s">
        <v>23</v>
      </c>
      <c r="R126" s="64" t="s">
        <v>24</v>
      </c>
      <c r="S126" s="64" t="s">
        <v>315</v>
      </c>
    </row>
    <row r="127" spans="1:19" ht="21.95" hidden="1" customHeight="1">
      <c r="A127" s="66" t="s">
        <v>316</v>
      </c>
      <c r="B127" s="64" t="s">
        <v>31</v>
      </c>
      <c r="C127" s="65">
        <v>46025</v>
      </c>
      <c r="D127" s="64" t="s">
        <v>21</v>
      </c>
      <c r="E127" s="64" t="s">
        <v>22</v>
      </c>
      <c r="F127" s="60" t="s">
        <v>41</v>
      </c>
      <c r="G127" s="60"/>
      <c r="H127" s="60" t="str">
        <f>IFERROR(INDEX('Docketed Comments'!C:C,MATCH(A127,'Docketed Comments'!H:H,0))&amp;", "&amp;INDEX('Docketed Comments'!B:B,MATCH(A127,'Docketed Comments'!H:H,0)),"")</f>
        <v>Indy, Yip</v>
      </c>
      <c r="I127" s="60" t="str">
        <f>IFERROR(INDEX('Docketed Comments'!D:D,MATCH(A127,'Docketed Comments'!H:H,0)),"")</f>
        <v>Gilbert</v>
      </c>
      <c r="J127" s="60" t="str">
        <f>IFERROR(INDEX('Docketed Comments'!I:I,MATCH(A127,'Docketed Comments'!H:H,0)),"")</f>
        <v>R-BASICL</v>
      </c>
      <c r="K127" s="60" t="str">
        <f t="shared" si="3"/>
        <v>❌ Not on Best Plan</v>
      </c>
      <c r="L127" s="60" t="str">
        <f>IFERROR(INDEX('Docketed Comments'!F:F,MATCH(A127,'Docketed Comments'!H:H,0)),"")</f>
        <v>Form letter</v>
      </c>
      <c r="M127" s="120" t="str">
        <f>IFERROR(INDEX('Docketed Comments'!G:G,MATCH(A127,'Docketed Comments'!H:H,0)),"")</f>
        <v>https://docket.images.azcc.gov/E000046266.pdf</v>
      </c>
      <c r="N127" s="118" t="str">
        <f>IFERROR(INDEX('Docketed Comments'!N:N,MATCH(A127,'Docketed Comments'!H:H,0)),"")</f>
        <v>No</v>
      </c>
      <c r="O127" s="118" t="str">
        <f>IFERROR(INDEX('Docketed Comments'!L:L,MATCH(A127,'Docketed Comments'!H:H,0)),"")</f>
        <v>No MEP R3-47($37.53)</v>
      </c>
      <c r="P127" s="119">
        <f t="shared" si="2"/>
        <v>37.53</v>
      </c>
      <c r="Q127" s="60" t="s">
        <v>23</v>
      </c>
      <c r="R127" s="64" t="s">
        <v>24</v>
      </c>
      <c r="S127" s="64" t="s">
        <v>317</v>
      </c>
    </row>
    <row r="128" spans="1:19" ht="21.95" hidden="1" customHeight="1">
      <c r="A128" s="66" t="s">
        <v>318</v>
      </c>
      <c r="B128" s="64" t="s">
        <v>31</v>
      </c>
      <c r="C128" s="65">
        <v>46025</v>
      </c>
      <c r="D128" s="64" t="s">
        <v>21</v>
      </c>
      <c r="E128" s="64" t="s">
        <v>22</v>
      </c>
      <c r="F128" s="60" t="s">
        <v>41</v>
      </c>
      <c r="G128" s="60"/>
      <c r="H128" s="60" t="str">
        <f>IFERROR(INDEX('Docketed Comments'!C:C,MATCH(A128,'Docketed Comments'!H:H,0))&amp;", "&amp;INDEX('Docketed Comments'!B:B,MATCH(A128,'Docketed Comments'!H:H,0)),"")</f>
        <v>Kenneth, Wollman</v>
      </c>
      <c r="I128" s="60" t="str">
        <f>IFERROR(INDEX('Docketed Comments'!D:D,MATCH(A128,'Docketed Comments'!H:H,0)),"")</f>
        <v>Anthem</v>
      </c>
      <c r="J128" s="60" t="str">
        <f>IFERROR(INDEX('Docketed Comments'!I:I,MATCH(A128,'Docketed Comments'!H:H,0)),"")</f>
        <v>RTOUE47</v>
      </c>
      <c r="K128" s="60" t="str">
        <f t="shared" si="3"/>
        <v>❌ Not on Best Plan</v>
      </c>
      <c r="L128" s="60" t="str">
        <f>IFERROR(INDEX('Docketed Comments'!F:F,MATCH(A128,'Docketed Comments'!H:H,0)),"")</f>
        <v>Ridiculous and a hardship</v>
      </c>
      <c r="M128" s="120" t="str">
        <f>IFERROR(INDEX('Docketed Comments'!G:G,MATCH(A128,'Docketed Comments'!H:H,0)),"")</f>
        <v>https://docket.images.azcc.gov/E000046266.pdf</v>
      </c>
      <c r="N128" s="118" t="str">
        <f>IFERROR(INDEX('Docketed Comments'!N:N,MATCH(A128,'Docketed Comments'!H:H,0)),"")</f>
        <v>No</v>
      </c>
      <c r="O128" s="118" t="str">
        <f>IFERROR(INDEX('Docketed Comments'!L:L,MATCH(A128,'Docketed Comments'!H:H,0)),"")</f>
        <v>No MEP R3-47($88.73)</v>
      </c>
      <c r="P128" s="119">
        <f t="shared" si="2"/>
        <v>88.73</v>
      </c>
      <c r="Q128" s="60" t="s">
        <v>23</v>
      </c>
      <c r="R128" s="64" t="s">
        <v>24</v>
      </c>
      <c r="S128" s="64" t="s">
        <v>319</v>
      </c>
    </row>
    <row r="129" spans="1:19" ht="21.95" hidden="1" customHeight="1">
      <c r="A129" s="66" t="s">
        <v>320</v>
      </c>
      <c r="B129" s="64" t="s">
        <v>31</v>
      </c>
      <c r="C129" s="65">
        <v>46025</v>
      </c>
      <c r="D129" s="64" t="s">
        <v>21</v>
      </c>
      <c r="E129" s="64" t="s">
        <v>22</v>
      </c>
      <c r="F129" s="60" t="s">
        <v>41</v>
      </c>
      <c r="G129" s="60"/>
      <c r="H129" s="60" t="str">
        <f>IFERROR(INDEX('Docketed Comments'!C:C,MATCH(A129,'Docketed Comments'!H:H,0))&amp;", "&amp;INDEX('Docketed Comments'!B:B,MATCH(A129,'Docketed Comments'!H:H,0)),"")</f>
        <v>Zachary, Lassner</v>
      </c>
      <c r="I129" s="60" t="str">
        <f>IFERROR(INDEX('Docketed Comments'!D:D,MATCH(A129,'Docketed Comments'!H:H,0)),"")</f>
        <v>Morristown</v>
      </c>
      <c r="J129" s="60" t="str">
        <f>IFERROR(INDEX('Docketed Comments'!I:I,MATCH(A129,'Docketed Comments'!H:H,0)),"")</f>
        <v>R3-47</v>
      </c>
      <c r="K129" s="60" t="str">
        <f t="shared" si="3"/>
        <v>❌ Not on Best Plan</v>
      </c>
      <c r="L129" s="60" t="str">
        <f>IFERROR(INDEX('Docketed Comments'!F:F,MATCH(A129,'Docketed Comments'!H:H,0)),"")</f>
        <v>Opposed</v>
      </c>
      <c r="M129" s="120" t="str">
        <f>IFERROR(INDEX('Docketed Comments'!G:G,MATCH(A129,'Docketed Comments'!H:H,0)),"")</f>
        <v>https://docket.images.azcc.gov/E000046266.pdf</v>
      </c>
      <c r="N129" s="118" t="str">
        <f>IFERROR(INDEX('Docketed Comments'!N:N,MATCH(A129,'Docketed Comments'!H:H,0)),"")</f>
        <v>No</v>
      </c>
      <c r="O129" s="118" t="str">
        <f>IFERROR(INDEX('Docketed Comments'!L:L,MATCH(A129,'Docketed Comments'!H:H,0)),"")</f>
        <v>No MEP R-BASIC($42.83)</v>
      </c>
      <c r="P129" s="119">
        <f t="shared" si="2"/>
        <v>42.83</v>
      </c>
      <c r="Q129" s="60" t="s">
        <v>23</v>
      </c>
      <c r="R129" s="64" t="s">
        <v>24</v>
      </c>
      <c r="S129" s="64" t="s">
        <v>321</v>
      </c>
    </row>
    <row r="130" spans="1:19" ht="21.95" hidden="1" customHeight="1">
      <c r="A130" s="66" t="s">
        <v>322</v>
      </c>
      <c r="B130" s="64" t="s">
        <v>31</v>
      </c>
      <c r="C130" s="65">
        <v>46025</v>
      </c>
      <c r="D130" s="64" t="s">
        <v>21</v>
      </c>
      <c r="E130" s="64" t="s">
        <v>22</v>
      </c>
      <c r="F130" s="60" t="s">
        <v>41</v>
      </c>
      <c r="G130" s="60"/>
      <c r="H130" s="60" t="str">
        <f>IFERROR(INDEX('Docketed Comments'!C:C,MATCH(A130,'Docketed Comments'!H:H,0))&amp;", "&amp;INDEX('Docketed Comments'!B:B,MATCH(A130,'Docketed Comments'!H:H,0)),"")</f>
        <v>Jason, Wesley</v>
      </c>
      <c r="I130" s="60" t="str">
        <f>IFERROR(INDEX('Docketed Comments'!D:D,MATCH(A130,'Docketed Comments'!H:H,0)),"")</f>
        <v>Peoria</v>
      </c>
      <c r="J130" s="60" t="str">
        <f>IFERROR(INDEX('Docketed Comments'!I:I,MATCH(A130,'Docketed Comments'!H:H,0)),"")</f>
        <v>R-BASICL</v>
      </c>
      <c r="K130" s="60" t="str">
        <f t="shared" si="3"/>
        <v>❌ Not on Best Plan</v>
      </c>
      <c r="L130" s="60" t="str">
        <f>IFERROR(INDEX('Docketed Comments'!F:F,MATCH(A130,'Docketed Comments'!H:H,0)),"")</f>
        <v>Form letter</v>
      </c>
      <c r="M130" s="120" t="str">
        <f>IFERROR(INDEX('Docketed Comments'!G:G,MATCH(A130,'Docketed Comments'!H:H,0)),"")</f>
        <v>https://docket.images.azcc.gov/E000046266.pdf</v>
      </c>
      <c r="N130" s="118" t="str">
        <f>IFERROR(INDEX('Docketed Comments'!N:N,MATCH(A130,'Docketed Comments'!H:H,0)),"")</f>
        <v>No</v>
      </c>
      <c r="O130" s="118" t="str">
        <f>IFERROR(INDEX('Docketed Comments'!L:L,MATCH(A130,'Docketed Comments'!H:H,0)),"")</f>
        <v>No MEP R3-47($419.59)</v>
      </c>
      <c r="P130" s="119">
        <f t="shared" ref="P130:P193" si="4">IFERROR(IF(ISNUMBER(SEARCH("$",O130)),VALUE(SUBSTITUTE(SUBSTITUTE(MID(O130,FIND("$",O130)+1,FIND(")",O130)-FIND("$",O130)-1),",","")," ","")),VALUE(SUBSTITUTE(SUBSTITUTE(MID(O130,FIND("(",O130)+1,FIND(")",O130)-FIND("(",O130)-1),",","")," ",""))),0)</f>
        <v>419.59</v>
      </c>
      <c r="Q130" s="60" t="s">
        <v>23</v>
      </c>
      <c r="R130" s="64" t="s">
        <v>24</v>
      </c>
      <c r="S130" s="64" t="s">
        <v>323</v>
      </c>
    </row>
    <row r="131" spans="1:19" ht="21.95" hidden="1" customHeight="1">
      <c r="A131" s="66" t="s">
        <v>324</v>
      </c>
      <c r="B131" s="64" t="s">
        <v>31</v>
      </c>
      <c r="C131" s="65">
        <v>46060</v>
      </c>
      <c r="D131" s="64" t="s">
        <v>21</v>
      </c>
      <c r="E131" s="64" t="s">
        <v>22</v>
      </c>
      <c r="F131" s="60" t="s">
        <v>41</v>
      </c>
      <c r="G131" s="60"/>
      <c r="H131" s="60" t="str">
        <f>IFERROR(INDEX('Docketed Comments'!C:C,MATCH(A131,'Docketed Comments'!H:H,0))&amp;", "&amp;INDEX('Docketed Comments'!B:B,MATCH(A131,'Docketed Comments'!H:H,0)),"")</f>
        <v>Ruben, Futi</v>
      </c>
      <c r="I131" s="60" t="str">
        <f>IFERROR(INDEX('Docketed Comments'!D:D,MATCH(A131,'Docketed Comments'!H:H,0)),"")</f>
        <v>Avondale</v>
      </c>
      <c r="J131" s="60" t="str">
        <f>IFERROR(INDEX('Docketed Comments'!I:I,MATCH(A131,'Docketed Comments'!H:H,0)),"")</f>
        <v>Multiple SAs</v>
      </c>
      <c r="K131" s="60" t="str">
        <f t="shared" ref="K131:K194" si="5">IFERROR(IF(OR(LEFT(O131,2)="No",LEFT(O131,3)="Not"),"❌ Not on Best Plan",IF(OR(O131="Yes",O131="Y",O131="Yes "),"✅ On Best Plan","⚠ "&amp;O131)),"")</f>
        <v>❌ Not on Best Plan</v>
      </c>
      <c r="L131" s="60" t="str">
        <f>IFERROR(INDEX('Docketed Comments'!F:F,MATCH(A131,'Docketed Comments'!H:H,0)),"")</f>
        <v>Greedy</v>
      </c>
      <c r="M131" s="120" t="str">
        <f>IFERROR(INDEX('Docketed Comments'!G:G,MATCH(A131,'Docketed Comments'!H:H,0)),"")</f>
        <v>https://docket.images.azcc.gov/E000046266.pdf</v>
      </c>
      <c r="N131" s="118" t="str">
        <f>IFERROR(INDEX('Docketed Comments'!N:N,MATCH(A131,'Docketed Comments'!H:H,0)),"")</f>
        <v>No</v>
      </c>
      <c r="O131" s="118" t="str">
        <f>IFERROR(INDEX('Docketed Comments'!L:L,MATCH(A131,'Docketed Comments'!H:H,0)),"")</f>
        <v>Not eligible yet (needs 3 months)</v>
      </c>
      <c r="P131" s="119">
        <f t="shared" si="4"/>
        <v>0</v>
      </c>
      <c r="Q131" s="60" t="s">
        <v>23</v>
      </c>
      <c r="R131" s="64" t="s">
        <v>24</v>
      </c>
      <c r="S131" s="124" t="s">
        <v>325</v>
      </c>
    </row>
    <row r="132" spans="1:19" ht="21.95" hidden="1" customHeight="1">
      <c r="A132" s="66" t="s">
        <v>326</v>
      </c>
      <c r="B132" s="64" t="s">
        <v>31</v>
      </c>
      <c r="C132" s="65">
        <v>46025</v>
      </c>
      <c r="D132" s="64" t="s">
        <v>21</v>
      </c>
      <c r="E132" s="64" t="s">
        <v>22</v>
      </c>
      <c r="F132" s="60" t="s">
        <v>41</v>
      </c>
      <c r="G132" s="60"/>
      <c r="H132" s="60" t="str">
        <f>IFERROR(INDEX('Docketed Comments'!C:C,MATCH(A132,'Docketed Comments'!H:H,0))&amp;", "&amp;INDEX('Docketed Comments'!B:B,MATCH(A132,'Docketed Comments'!H:H,0)),"")</f>
        <v>Joseph, Ramia</v>
      </c>
      <c r="I132" s="60" t="str">
        <f>IFERROR(INDEX('Docketed Comments'!D:D,MATCH(A132,'Docketed Comments'!H:H,0)),"")</f>
        <v>Surprise</v>
      </c>
      <c r="J132" s="60" t="str">
        <f>IFERROR(INDEX('Docketed Comments'!I:I,MATCH(A132,'Docketed Comments'!H:H,0)),"")</f>
        <v>RTOUE47</v>
      </c>
      <c r="K132" s="60" t="str">
        <f t="shared" si="5"/>
        <v>❌ Not on Best Plan</v>
      </c>
      <c r="L132" s="60" t="str">
        <f>IFERROR(INDEX('Docketed Comments'!F:F,MATCH(A132,'Docketed Comments'!H:H,0)),"")</f>
        <v>Form letter</v>
      </c>
      <c r="M132" s="120" t="str">
        <f>IFERROR(INDEX('Docketed Comments'!G:G,MATCH(A132,'Docketed Comments'!H:H,0)),"")</f>
        <v>https://docket.images.azcc.gov/E000046266.pdf</v>
      </c>
      <c r="N132" s="118" t="str">
        <f>IFERROR(INDEX('Docketed Comments'!N:N,MATCH(A132,'Docketed Comments'!H:H,0)),"")</f>
        <v>No</v>
      </c>
      <c r="O132" s="118" t="str">
        <f>IFERROR(INDEX('Docketed Comments'!L:L,MATCH(A132,'Docketed Comments'!H:H,0)),"")</f>
        <v>No MEP R3-47 ($9.57)</v>
      </c>
      <c r="P132" s="119">
        <f t="shared" si="4"/>
        <v>9.57</v>
      </c>
      <c r="Q132" s="60" t="s">
        <v>23</v>
      </c>
      <c r="R132" s="64" t="s">
        <v>24</v>
      </c>
      <c r="S132" s="64" t="s">
        <v>327</v>
      </c>
    </row>
    <row r="133" spans="1:19" ht="21.95" hidden="1" customHeight="1">
      <c r="A133" s="66" t="s">
        <v>328</v>
      </c>
      <c r="B133" s="64" t="s">
        <v>31</v>
      </c>
      <c r="C133" s="65">
        <v>46025</v>
      </c>
      <c r="D133" s="64" t="s">
        <v>21</v>
      </c>
      <c r="E133" s="64" t="s">
        <v>22</v>
      </c>
      <c r="F133" s="60" t="s">
        <v>41</v>
      </c>
      <c r="G133" s="60"/>
      <c r="H133" s="60" t="str">
        <f>IFERROR(INDEX('Docketed Comments'!C:C,MATCH(A133,'Docketed Comments'!H:H,0))&amp;", "&amp;INDEX('Docketed Comments'!B:B,MATCH(A133,'Docketed Comments'!H:H,0)),"")</f>
        <v>Patrick, Kane</v>
      </c>
      <c r="I133" s="60" t="str">
        <f>IFERROR(INDEX('Docketed Comments'!D:D,MATCH(A133,'Docketed Comments'!H:H,0)),"")</f>
        <v>Phoenix</v>
      </c>
      <c r="J133" s="60" t="str">
        <f>IFERROR(INDEX('Docketed Comments'!I:I,MATCH(A133,'Docketed Comments'!H:H,0)),"")</f>
        <v>R-BASIC</v>
      </c>
      <c r="K133" s="60" t="str">
        <f t="shared" si="5"/>
        <v>❌ Not on Best Plan</v>
      </c>
      <c r="L133" s="60" t="str">
        <f>IFERROR(INDEX('Docketed Comments'!F:F,MATCH(A133,'Docketed Comments'!H:H,0)),"")</f>
        <v>Form letter</v>
      </c>
      <c r="M133" s="120" t="str">
        <f>IFERROR(INDEX('Docketed Comments'!G:G,MATCH(A133,'Docketed Comments'!H:H,0)),"")</f>
        <v>https://docket.images.azcc.gov/E000046266.pdf</v>
      </c>
      <c r="N133" s="118" t="str">
        <f>IFERROR(INDEX('Docketed Comments'!N:N,MATCH(A133,'Docketed Comments'!H:H,0)),"")</f>
        <v>No</v>
      </c>
      <c r="O133" s="118" t="str">
        <f>IFERROR(INDEX('Docketed Comments'!L:L,MATCH(A133,'Docketed Comments'!H:H,0)),"")</f>
        <v>No MEP RTOUE47 ($0.81)</v>
      </c>
      <c r="P133" s="119">
        <f t="shared" si="4"/>
        <v>0.81</v>
      </c>
      <c r="Q133" s="60" t="s">
        <v>23</v>
      </c>
      <c r="R133" s="64" t="s">
        <v>24</v>
      </c>
      <c r="S133" s="64" t="s">
        <v>329</v>
      </c>
    </row>
    <row r="134" spans="1:19" ht="21.95" customHeight="1">
      <c r="A134" s="66" t="s">
        <v>330</v>
      </c>
      <c r="B134" s="64"/>
      <c r="C134" s="65"/>
      <c r="D134" s="64"/>
      <c r="E134" s="64"/>
      <c r="F134" s="60"/>
      <c r="G134" s="60" t="s">
        <v>88</v>
      </c>
      <c r="H134" s="60" t="str">
        <f>IFERROR(INDEX('Docketed Comments'!C:C,MATCH(A134,'Docketed Comments'!H:H,0))&amp;", "&amp;INDEX('Docketed Comments'!B:B,MATCH(A134,'Docketed Comments'!H:H,0)),"")</f>
        <v>Michael, Wallace</v>
      </c>
      <c r="I134" s="60" t="str">
        <f>IFERROR(INDEX('Docketed Comments'!D:D,MATCH(A134,'Docketed Comments'!H:H,0)),"")</f>
        <v>Phoenix</v>
      </c>
      <c r="J134" s="60" t="str">
        <f>IFERROR(INDEX('Docketed Comments'!I:I,MATCH(A134,'Docketed Comments'!H:H,0)),"")</f>
        <v>R3-47</v>
      </c>
      <c r="K134" s="60" t="str">
        <f t="shared" si="5"/>
        <v>⚠ R3-47</v>
      </c>
      <c r="L134" s="60" t="str">
        <f>IFERROR(INDEX('Docketed Comments'!F:F,MATCH(A134,'Docketed Comments'!H:H,0)),"")</f>
        <v>Opposed, not fair</v>
      </c>
      <c r="M134" s="120" t="str">
        <f>IFERROR(INDEX('Docketed Comments'!G:G,MATCH(A134,'Docketed Comments'!H:H,0)),"")</f>
        <v>https://docket.images.azcc.gov/E000046266.pdf</v>
      </c>
      <c r="N134" s="118" t="str">
        <f>IFERROR(INDEX('Docketed Comments'!N:N,MATCH(A134,'Docketed Comments'!H:H,0)),"")</f>
        <v>No</v>
      </c>
      <c r="O134" s="118" t="str">
        <f>IFERROR(INDEX('Docketed Comments'!L:L,MATCH(A134,'Docketed Comments'!H:H,0)),"")</f>
        <v>R3-47</v>
      </c>
      <c r="P134" s="119">
        <f t="shared" si="4"/>
        <v>0</v>
      </c>
      <c r="Q134" s="60"/>
      <c r="R134" s="64" t="s">
        <v>75</v>
      </c>
      <c r="S134" s="64" t="s">
        <v>331</v>
      </c>
    </row>
    <row r="135" spans="1:19" ht="21.95" hidden="1" customHeight="1">
      <c r="A135" s="66" t="s">
        <v>332</v>
      </c>
      <c r="B135" s="64" t="s">
        <v>31</v>
      </c>
      <c r="C135" s="65">
        <v>46025</v>
      </c>
      <c r="D135" s="64" t="s">
        <v>21</v>
      </c>
      <c r="E135" s="64" t="s">
        <v>22</v>
      </c>
      <c r="F135" s="60" t="s">
        <v>41</v>
      </c>
      <c r="G135" s="60"/>
      <c r="H135" s="60" t="str">
        <f>IFERROR(INDEX('Docketed Comments'!C:C,MATCH(A135,'Docketed Comments'!H:H,0))&amp;", "&amp;INDEX('Docketed Comments'!B:B,MATCH(A135,'Docketed Comments'!H:H,0)),"")</f>
        <v>Jamison, Lindsey</v>
      </c>
      <c r="I135" s="60" t="str">
        <f>IFERROR(INDEX('Docketed Comments'!D:D,MATCH(A135,'Docketed Comments'!H:H,0)),"")</f>
        <v>Phoenix</v>
      </c>
      <c r="J135" s="60" t="str">
        <f>IFERROR(INDEX('Docketed Comments'!I:I,MATCH(A135,'Docketed Comments'!H:H,0)),"")</f>
        <v>RTOUE47</v>
      </c>
      <c r="K135" s="60" t="str">
        <f t="shared" si="5"/>
        <v>❌ Not on Best Plan</v>
      </c>
      <c r="L135" s="60" t="str">
        <f>IFERROR(INDEX('Docketed Comments'!F:F,MATCH(A135,'Docketed Comments'!H:H,0)),"")</f>
        <v>Form letter</v>
      </c>
      <c r="M135" s="120" t="str">
        <f>IFERROR(INDEX('Docketed Comments'!G:G,MATCH(A135,'Docketed Comments'!H:H,0)),"")</f>
        <v>https://docket.images.azcc.gov/E000046266.pdf</v>
      </c>
      <c r="N135" s="118" t="str">
        <f>IFERROR(INDEX('Docketed Comments'!N:N,MATCH(A135,'Docketed Comments'!H:H,0)),"")</f>
        <v>No</v>
      </c>
      <c r="O135" s="118" t="str">
        <f>IFERROR(INDEX('Docketed Comments'!L:L,MATCH(A135,'Docketed Comments'!H:H,0)),"")</f>
        <v>No MEP R-BASIC($44.93)</v>
      </c>
      <c r="P135" s="119">
        <f t="shared" si="4"/>
        <v>44.93</v>
      </c>
      <c r="Q135" s="60" t="s">
        <v>23</v>
      </c>
      <c r="R135" s="64" t="s">
        <v>24</v>
      </c>
      <c r="S135" s="64" t="s">
        <v>333</v>
      </c>
    </row>
    <row r="136" spans="1:19" ht="21.95" hidden="1" customHeight="1">
      <c r="A136" s="66" t="s">
        <v>334</v>
      </c>
      <c r="B136" s="64" t="s">
        <v>31</v>
      </c>
      <c r="C136" s="65">
        <v>46025</v>
      </c>
      <c r="D136" s="64" t="s">
        <v>21</v>
      </c>
      <c r="E136" s="64" t="s">
        <v>22</v>
      </c>
      <c r="F136" s="60" t="s">
        <v>335</v>
      </c>
      <c r="G136" s="60"/>
      <c r="H136" s="60" t="str">
        <f>IFERROR(INDEX('Docketed Comments'!C:C,MATCH(A136,'Docketed Comments'!H:H,0))&amp;", "&amp;INDEX('Docketed Comments'!B:B,MATCH(A136,'Docketed Comments'!H:H,0)),"")</f>
        <v>Jason, Corirossi</v>
      </c>
      <c r="I136" s="60" t="str">
        <f>IFERROR(INDEX('Docketed Comments'!D:D,MATCH(A136,'Docketed Comments'!H:H,0)),"")</f>
        <v>Glendale</v>
      </c>
      <c r="J136" s="60" t="str">
        <f>IFERROR(INDEX('Docketed Comments'!I:I,MATCH(A136,'Docketed Comments'!H:H,0)),"")</f>
        <v>RTOUE47</v>
      </c>
      <c r="K136" s="60" t="str">
        <f t="shared" si="5"/>
        <v>❌ Not on Best Plan</v>
      </c>
      <c r="L136" s="60" t="str">
        <f>IFERROR(INDEX('Docketed Comments'!F:F,MATCH(A136,'Docketed Comments'!H:H,0)),"")</f>
        <v>Form letter</v>
      </c>
      <c r="M136" s="120" t="str">
        <f>IFERROR(INDEX('Docketed Comments'!G:G,MATCH(A136,'Docketed Comments'!H:H,0)),"")</f>
        <v>https://docket.images.azcc.gov/E000046266.pdf</v>
      </c>
      <c r="N136" s="118" t="str">
        <f>IFERROR(INDEX('Docketed Comments'!N:N,MATCH(A136,'Docketed Comments'!H:H,0)),"")</f>
        <v>No</v>
      </c>
      <c r="O136" s="118" t="str">
        <f>IFERROR(INDEX('Docketed Comments'!L:L,MATCH(A136,'Docketed Comments'!H:H,0)),"")</f>
        <v>No MEP R3-47($62.68)</v>
      </c>
      <c r="P136" s="119">
        <f t="shared" si="4"/>
        <v>62.68</v>
      </c>
      <c r="Q136" s="60" t="s">
        <v>23</v>
      </c>
      <c r="R136" s="64" t="s">
        <v>24</v>
      </c>
      <c r="S136" s="64" t="s">
        <v>336</v>
      </c>
    </row>
    <row r="137" spans="1:19" ht="21.95" hidden="1" customHeight="1">
      <c r="A137" s="66" t="s">
        <v>337</v>
      </c>
      <c r="B137" s="64" t="s">
        <v>31</v>
      </c>
      <c r="C137" s="65">
        <v>46025</v>
      </c>
      <c r="D137" s="64" t="s">
        <v>21</v>
      </c>
      <c r="E137" s="64" t="s">
        <v>22</v>
      </c>
      <c r="F137" s="60" t="s">
        <v>41</v>
      </c>
      <c r="G137" s="60"/>
      <c r="H137" s="60" t="str">
        <f>IFERROR(INDEX('Docketed Comments'!C:C,MATCH(A137,'Docketed Comments'!H:H,0))&amp;", "&amp;INDEX('Docketed Comments'!B:B,MATCH(A137,'Docketed Comments'!H:H,0)),"")</f>
        <v>Nicole, Talbott</v>
      </c>
      <c r="I137" s="60" t="str">
        <f>IFERROR(INDEX('Docketed Comments'!D:D,MATCH(A137,'Docketed Comments'!H:H,0)),"")</f>
        <v>Glendale</v>
      </c>
      <c r="J137" s="60" t="str">
        <f>IFERROR(INDEX('Docketed Comments'!I:I,MATCH(A137,'Docketed Comments'!H:H,0)),"")</f>
        <v>RTOUE47</v>
      </c>
      <c r="K137" s="60" t="str">
        <f t="shared" si="5"/>
        <v>❌ Not on Best Plan</v>
      </c>
      <c r="L137" s="60" t="str">
        <f>IFERROR(INDEX('Docketed Comments'!F:F,MATCH(A137,'Docketed Comments'!H:H,0)),"")</f>
        <v>Cut the fat</v>
      </c>
      <c r="M137" s="120" t="str">
        <f>IFERROR(INDEX('Docketed Comments'!G:G,MATCH(A137,'Docketed Comments'!H:H,0)),"")</f>
        <v>https://docket.images.azcc.gov/E000046266.pdf</v>
      </c>
      <c r="N137" s="118" t="str">
        <f>IFERROR(INDEX('Docketed Comments'!N:N,MATCH(A137,'Docketed Comments'!H:H,0)),"")</f>
        <v>No</v>
      </c>
      <c r="O137" s="118" t="str">
        <f>IFERROR(INDEX('Docketed Comments'!L:L,MATCH(A137,'Docketed Comments'!H:H,0)),"")</f>
        <v>No MEP R3-47($235.10)</v>
      </c>
      <c r="P137" s="119">
        <f t="shared" si="4"/>
        <v>235.1</v>
      </c>
      <c r="Q137" s="60" t="s">
        <v>23</v>
      </c>
      <c r="R137" s="64" t="s">
        <v>24</v>
      </c>
      <c r="S137" s="64" t="s">
        <v>338</v>
      </c>
    </row>
    <row r="138" spans="1:19" ht="21.95" hidden="1" customHeight="1">
      <c r="A138" s="66" t="s">
        <v>339</v>
      </c>
      <c r="B138" s="64" t="s">
        <v>31</v>
      </c>
      <c r="C138" s="65">
        <v>46025</v>
      </c>
      <c r="D138" s="64" t="s">
        <v>21</v>
      </c>
      <c r="E138" s="64" t="s">
        <v>22</v>
      </c>
      <c r="F138" s="60" t="s">
        <v>41</v>
      </c>
      <c r="G138" s="60"/>
      <c r="H138" s="60" t="str">
        <f>IFERROR(INDEX('Docketed Comments'!C:C,MATCH(A138,'Docketed Comments'!H:H,0))&amp;", "&amp;INDEX('Docketed Comments'!B:B,MATCH(A138,'Docketed Comments'!H:H,0)),"")</f>
        <v>Jeremy, Gilmore</v>
      </c>
      <c r="I138" s="60" t="str">
        <f>IFERROR(INDEX('Docketed Comments'!D:D,MATCH(A138,'Docketed Comments'!H:H,0)),"")</f>
        <v>Sun City</v>
      </c>
      <c r="J138" s="60" t="str">
        <f>IFERROR(INDEX('Docketed Comments'!I:I,MATCH(A138,'Docketed Comments'!H:H,0)),"")</f>
        <v>RCPw/R3-47</v>
      </c>
      <c r="K138" s="60" t="str">
        <f t="shared" si="5"/>
        <v>❌ Not on Best Plan</v>
      </c>
      <c r="L138" s="60" t="str">
        <f>IFERROR(INDEX('Docketed Comments'!F:F,MATCH(A138,'Docketed Comments'!H:H,0)),"")</f>
        <v>Opposed</v>
      </c>
      <c r="M138" s="120" t="str">
        <f>IFERROR(INDEX('Docketed Comments'!G:G,MATCH(A138,'Docketed Comments'!H:H,0)),"")</f>
        <v>https://docket.images.azcc.gov/E000046266.pdf</v>
      </c>
      <c r="N138" s="118" t="str">
        <f>IFERROR(INDEX('Docketed Comments'!N:N,MATCH(A138,'Docketed Comments'!H:H,0)),"")</f>
        <v>No</v>
      </c>
      <c r="O138" s="118" t="str">
        <f>IFERROR(INDEX('Docketed Comments'!L:L,MATCH(A138,'Docketed Comments'!H:H,0)),"")</f>
        <v>No MEP TOUE ($420.43)</v>
      </c>
      <c r="P138" s="119">
        <f t="shared" si="4"/>
        <v>420.43</v>
      </c>
      <c r="Q138" s="60" t="s">
        <v>23</v>
      </c>
      <c r="R138" s="64" t="s">
        <v>24</v>
      </c>
      <c r="S138" s="64" t="s">
        <v>340</v>
      </c>
    </row>
    <row r="139" spans="1:19" ht="21.95" hidden="1" customHeight="1">
      <c r="A139" s="66" t="s">
        <v>341</v>
      </c>
      <c r="B139" s="64" t="s">
        <v>31</v>
      </c>
      <c r="C139" s="65">
        <v>46025</v>
      </c>
      <c r="D139" s="64" t="s">
        <v>21</v>
      </c>
      <c r="E139" s="64" t="s">
        <v>22</v>
      </c>
      <c r="F139" s="60" t="s">
        <v>65</v>
      </c>
      <c r="G139" s="60"/>
      <c r="H139" s="60" t="str">
        <f>IFERROR(INDEX('Docketed Comments'!C:C,MATCH(A139,'Docketed Comments'!H:H,0))&amp;", "&amp;INDEX('Docketed Comments'!B:B,MATCH(A139,'Docketed Comments'!H:H,0)),"")</f>
        <v>Lisa, Hobson</v>
      </c>
      <c r="I139" s="60" t="str">
        <f>IFERROR(INDEX('Docketed Comments'!D:D,MATCH(A139,'Docketed Comments'!H:H,0)),"")</f>
        <v>Sedona</v>
      </c>
      <c r="J139" s="60" t="str">
        <f>IFERROR(INDEX('Docketed Comments'!I:I,MATCH(A139,'Docketed Comments'!H:H,0)),"")</f>
        <v>R-BASICL</v>
      </c>
      <c r="K139" s="60" t="str">
        <f t="shared" si="5"/>
        <v>❌ Not on Best Plan</v>
      </c>
      <c r="L139" s="60" t="str">
        <f>IFERROR(INDEX('Docketed Comments'!F:F,MATCH(A139,'Docketed Comments'!H:H,0)),"")</f>
        <v>Enough is enough</v>
      </c>
      <c r="M139" s="120" t="str">
        <f>IFERROR(INDEX('Docketed Comments'!G:G,MATCH(A139,'Docketed Comments'!H:H,0)),"")</f>
        <v>https://docket.images.azcc.gov/E000046269.pdf</v>
      </c>
      <c r="N139" s="118" t="str">
        <f>IFERROR(INDEX('Docketed Comments'!N:N,MATCH(A139,'Docketed Comments'!H:H,0)),"")</f>
        <v>No</v>
      </c>
      <c r="O139" s="118" t="str">
        <f>IFERROR(INDEX('Docketed Comments'!L:L,MATCH(A139,'Docketed Comments'!H:H,0)),"")</f>
        <v>No MEP R3-47 ($482.61)</v>
      </c>
      <c r="P139" s="119">
        <f t="shared" si="4"/>
        <v>482.61</v>
      </c>
      <c r="Q139" s="60" t="s">
        <v>23</v>
      </c>
      <c r="R139" s="64" t="s">
        <v>24</v>
      </c>
      <c r="S139" s="64" t="s">
        <v>342</v>
      </c>
    </row>
    <row r="140" spans="1:19" ht="21.95" hidden="1" customHeight="1">
      <c r="A140" s="66" t="s">
        <v>343</v>
      </c>
      <c r="B140" s="64" t="s">
        <v>31</v>
      </c>
      <c r="C140" s="65">
        <v>46060</v>
      </c>
      <c r="D140" s="64" t="s">
        <v>21</v>
      </c>
      <c r="E140" s="64" t="s">
        <v>22</v>
      </c>
      <c r="F140" s="60" t="s">
        <v>344</v>
      </c>
      <c r="G140" s="60"/>
      <c r="H140" s="60" t="str">
        <f>IFERROR(INDEX('Docketed Comments'!C:C,MATCH(A140,'Docketed Comments'!H:H,0))&amp;", "&amp;INDEX('Docketed Comments'!B:B,MATCH(A140,'Docketed Comments'!H:H,0)),"")</f>
        <v>Sumit, Kumar</v>
      </c>
      <c r="I140" s="60" t="str">
        <f>IFERROR(INDEX('Docketed Comments'!D:D,MATCH(A140,'Docketed Comments'!H:H,0)),"")</f>
        <v>Phoenix</v>
      </c>
      <c r="J140" s="60" t="str">
        <f>IFERROR(INDEX('Docketed Comments'!I:I,MATCH(A140,'Docketed Comments'!H:H,0)),"")</f>
        <v>Multiple SAs</v>
      </c>
      <c r="K140" s="60" t="str">
        <f t="shared" si="5"/>
        <v>❌ Not on Best Plan</v>
      </c>
      <c r="L140" s="60" t="str">
        <f>IFERROR(INDEX('Docketed Comments'!F:F,MATCH(A140,'Docketed Comments'!H:H,0)),"")</f>
        <v>Form letter</v>
      </c>
      <c r="M140" s="120" t="str">
        <f>IFERROR(INDEX('Docketed Comments'!G:G,MATCH(A140,'Docketed Comments'!H:H,0)),"")</f>
        <v>https://docket.images.azcc.gov/E000046269.pdf</v>
      </c>
      <c r="N140" s="118" t="str">
        <f>IFERROR(INDEX('Docketed Comments'!N:N,MATCH(A140,'Docketed Comments'!H:H,0)),"")</f>
        <v>No</v>
      </c>
      <c r="O140" s="118" t="str">
        <f>IFERROR(INDEX('Docketed Comments'!L:L,MATCH(A140,'Docketed Comments'!H:H,0)),"")</f>
        <v>Not eligible yet (needs 3 months)</v>
      </c>
      <c r="P140" s="119">
        <f t="shared" si="4"/>
        <v>0</v>
      </c>
      <c r="Q140" s="60" t="s">
        <v>23</v>
      </c>
      <c r="R140" s="64" t="s">
        <v>24</v>
      </c>
      <c r="S140" s="64" t="s">
        <v>345</v>
      </c>
    </row>
    <row r="141" spans="1:19" ht="21.95" hidden="1" customHeight="1">
      <c r="A141" s="66" t="s">
        <v>346</v>
      </c>
      <c r="B141" s="64" t="s">
        <v>31</v>
      </c>
      <c r="C141" s="65">
        <v>46025</v>
      </c>
      <c r="D141" s="64" t="s">
        <v>21</v>
      </c>
      <c r="E141" s="64" t="s">
        <v>22</v>
      </c>
      <c r="F141" s="60" t="s">
        <v>41</v>
      </c>
      <c r="G141" s="60"/>
      <c r="H141" s="60" t="str">
        <f>IFERROR(INDEX('Docketed Comments'!C:C,MATCH(A141,'Docketed Comments'!H:H,0))&amp;", "&amp;INDEX('Docketed Comments'!B:B,MATCH(A141,'Docketed Comments'!H:H,0)),"")</f>
        <v>Kathryne, Taylor</v>
      </c>
      <c r="I141" s="60" t="str">
        <f>IFERROR(INDEX('Docketed Comments'!D:D,MATCH(A141,'Docketed Comments'!H:H,0)),"")</f>
        <v>Hereford</v>
      </c>
      <c r="J141" s="60" t="str">
        <f>IFERROR(INDEX('Docketed Comments'!I:I,MATCH(A141,'Docketed Comments'!H:H,0)),"")</f>
        <v>RTOUE47</v>
      </c>
      <c r="K141" s="60" t="str">
        <f t="shared" si="5"/>
        <v>❌ Not on Best Plan</v>
      </c>
      <c r="L141" s="60" t="str">
        <f>IFERROR(INDEX('Docketed Comments'!F:F,MATCH(A141,'Docketed Comments'!H:H,0)),"")</f>
        <v>Opposed</v>
      </c>
      <c r="M141" s="120" t="str">
        <f>IFERROR(INDEX('Docketed Comments'!G:G,MATCH(A141,'Docketed Comments'!H:H,0)),"")</f>
        <v>https://docket.images.azcc.gov/E000046289.pdf</v>
      </c>
      <c r="N141" s="118" t="str">
        <f>IFERROR(INDEX('Docketed Comments'!N:N,MATCH(A141,'Docketed Comments'!H:H,0)),"")</f>
        <v>No</v>
      </c>
      <c r="O141" s="118" t="str">
        <f>IFERROR(INDEX('Docketed Comments'!L:L,MATCH(A141,'Docketed Comments'!H:H,0)),"")</f>
        <v>No MEP R3-47 ($161.55)</v>
      </c>
      <c r="P141" s="119">
        <f t="shared" si="4"/>
        <v>161.55000000000001</v>
      </c>
      <c r="Q141" s="60" t="s">
        <v>23</v>
      </c>
      <c r="R141" s="64" t="s">
        <v>24</v>
      </c>
      <c r="S141" s="64" t="s">
        <v>347</v>
      </c>
    </row>
    <row r="142" spans="1:19" ht="21.95" hidden="1" customHeight="1">
      <c r="A142" s="66" t="s">
        <v>348</v>
      </c>
      <c r="B142" s="64" t="s">
        <v>31</v>
      </c>
      <c r="C142" s="65">
        <v>46025</v>
      </c>
      <c r="D142" s="64"/>
      <c r="E142" s="64" t="s">
        <v>22</v>
      </c>
      <c r="F142" s="60" t="s">
        <v>54</v>
      </c>
      <c r="G142" s="60"/>
      <c r="H142" s="60" t="str">
        <f>IFERROR(INDEX('Docketed Comments'!C:C,MATCH(A142,'Docketed Comments'!H:H,0))&amp;", "&amp;INDEX('Docketed Comments'!B:B,MATCH(A142,'Docketed Comments'!H:H,0)),"")</f>
        <v>Quandra, Morrison</v>
      </c>
      <c r="I142" s="60" t="str">
        <f>IFERROR(INDEX('Docketed Comments'!D:D,MATCH(A142,'Docketed Comments'!H:H,0)),"")</f>
        <v>Chino Valley</v>
      </c>
      <c r="J142" s="60" t="str">
        <f>IFERROR(INDEX('Docketed Comments'!I:I,MATCH(A142,'Docketed Comments'!H:H,0)),"")</f>
        <v>RTOUE47</v>
      </c>
      <c r="K142" s="60" t="str">
        <f t="shared" si="5"/>
        <v>❌ Not on Best Plan</v>
      </c>
      <c r="L142" s="60" t="str">
        <f>IFERROR(INDEX('Docketed Comments'!F:F,MATCH(A142,'Docketed Comments'!H:H,0)),"")</f>
        <v>Opposed</v>
      </c>
      <c r="M142" s="120" t="str">
        <f>IFERROR(INDEX('Docketed Comments'!G:G,MATCH(A142,'Docketed Comments'!H:H,0)),"")</f>
        <v>https://docket.images.azcc.gov/E000046289.pdf</v>
      </c>
      <c r="N142" s="118" t="str">
        <f>IFERROR(INDEX('Docketed Comments'!N:N,MATCH(A142,'Docketed Comments'!H:H,0)),"")</f>
        <v>No</v>
      </c>
      <c r="O142" s="118" t="str">
        <f>IFERROR(INDEX('Docketed Comments'!L:L,MATCH(A142,'Docketed Comments'!H:H,0)),"")</f>
        <v>No MEP R-BASIC ($78.14)</v>
      </c>
      <c r="P142" s="119">
        <f t="shared" si="4"/>
        <v>78.14</v>
      </c>
      <c r="Q142" s="60" t="s">
        <v>23</v>
      </c>
      <c r="R142" s="64" t="s">
        <v>24</v>
      </c>
      <c r="S142" s="64" t="s">
        <v>349</v>
      </c>
    </row>
    <row r="143" spans="1:19" ht="21.95" hidden="1" customHeight="1">
      <c r="A143" s="66" t="s">
        <v>350</v>
      </c>
      <c r="B143" s="64" t="s">
        <v>31</v>
      </c>
      <c r="C143" s="65">
        <v>46025</v>
      </c>
      <c r="D143" s="64" t="s">
        <v>21</v>
      </c>
      <c r="E143" s="64" t="s">
        <v>22</v>
      </c>
      <c r="F143" s="60" t="s">
        <v>41</v>
      </c>
      <c r="G143" s="60"/>
      <c r="H143" s="60" t="str">
        <f>IFERROR(INDEX('Docketed Comments'!C:C,MATCH(A143,'Docketed Comments'!H:H,0))&amp;", "&amp;INDEX('Docketed Comments'!B:B,MATCH(A143,'Docketed Comments'!H:H,0)),"")</f>
        <v>Joshua Roy, Parr</v>
      </c>
      <c r="I143" s="60" t="str">
        <f>IFERROR(INDEX('Docketed Comments'!D:D,MATCH(A143,'Docketed Comments'!H:H,0)),"")</f>
        <v>Surprise</v>
      </c>
      <c r="J143" s="60" t="str">
        <f>IFERROR(INDEX('Docketed Comments'!I:I,MATCH(A143,'Docketed Comments'!H:H,0)),"")</f>
        <v>R-BASICL</v>
      </c>
      <c r="K143" s="60" t="str">
        <f t="shared" si="5"/>
        <v>❌ Not on Best Plan</v>
      </c>
      <c r="L143" s="60" t="str">
        <f>IFERROR(INDEX('Docketed Comments'!F:F,MATCH(A143,'Docketed Comments'!H:H,0)),"")</f>
        <v>Opposed</v>
      </c>
      <c r="M143" s="120" t="str">
        <f>IFERROR(INDEX('Docketed Comments'!G:G,MATCH(A143,'Docketed Comments'!H:H,0)),"")</f>
        <v>https://docket.images.azcc.gov/E000046289.pdf</v>
      </c>
      <c r="N143" s="118" t="str">
        <f>IFERROR(INDEX('Docketed Comments'!N:N,MATCH(A143,'Docketed Comments'!H:H,0)),"")</f>
        <v>No</v>
      </c>
      <c r="O143" s="118" t="str">
        <f>IFERROR(INDEX('Docketed Comments'!L:L,MATCH(A143,'Docketed Comments'!H:H,0)),"")</f>
        <v>No MEP R3-47 ($137.94)</v>
      </c>
      <c r="P143" s="119">
        <f t="shared" si="4"/>
        <v>137.94</v>
      </c>
      <c r="Q143" s="60" t="s">
        <v>23</v>
      </c>
      <c r="R143" s="64" t="s">
        <v>24</v>
      </c>
      <c r="S143" s="64" t="s">
        <v>351</v>
      </c>
    </row>
    <row r="144" spans="1:19" ht="21.95" hidden="1" customHeight="1">
      <c r="A144" s="66" t="s">
        <v>352</v>
      </c>
      <c r="B144" s="64" t="s">
        <v>31</v>
      </c>
      <c r="C144" s="65">
        <v>46025</v>
      </c>
      <c r="D144" s="64" t="s">
        <v>27</v>
      </c>
      <c r="E144" s="64" t="s">
        <v>35</v>
      </c>
      <c r="F144" s="60" t="s">
        <v>353</v>
      </c>
      <c r="G144" s="60"/>
      <c r="H144" s="60" t="str">
        <f>IFERROR(INDEX('Docketed Comments'!C:C,MATCH(A144,'Docketed Comments'!H:H,0))&amp;", "&amp;INDEX('Docketed Comments'!B:B,MATCH(A144,'Docketed Comments'!H:H,0)),"")</f>
        <v>Samantha, Malaki</v>
      </c>
      <c r="I144" s="60" t="str">
        <f>IFERROR(INDEX('Docketed Comments'!D:D,MATCH(A144,'Docketed Comments'!H:H,0)),"")</f>
        <v>Glendale</v>
      </c>
      <c r="J144" s="60" t="str">
        <f>IFERROR(INDEX('Docketed Comments'!I:I,MATCH(A144,'Docketed Comments'!H:H,0)),"")</f>
        <v>RTOUE47</v>
      </c>
      <c r="K144" s="60" t="str">
        <f t="shared" si="5"/>
        <v>❌ Not on Best Plan</v>
      </c>
      <c r="L144" s="60" t="str">
        <f>IFERROR(INDEX('Docketed Comments'!F:F,MATCH(A144,'Docketed Comments'!H:H,0)),"")</f>
        <v>Form letter</v>
      </c>
      <c r="M144" s="120" t="str">
        <f>IFERROR(INDEX('Docketed Comments'!G:G,MATCH(A144,'Docketed Comments'!H:H,0)),"")</f>
        <v>https://docket.images.azcc.gov/E000046309.pdf</v>
      </c>
      <c r="N144" s="118" t="str">
        <f>IFERROR(INDEX('Docketed Comments'!N:N,MATCH(A144,'Docketed Comments'!H:H,0)),"")</f>
        <v>No</v>
      </c>
      <c r="O144" s="118" t="str">
        <f>IFERROR(INDEX('Docketed Comments'!L:L,MATCH(A144,'Docketed Comments'!H:H,0)),"")</f>
        <v>No MEP R3-47 ($84.85)</v>
      </c>
      <c r="P144" s="119">
        <f t="shared" si="4"/>
        <v>84.85</v>
      </c>
      <c r="Q144" s="60" t="s">
        <v>23</v>
      </c>
      <c r="R144" s="64" t="s">
        <v>24</v>
      </c>
      <c r="S144" s="64" t="s">
        <v>354</v>
      </c>
    </row>
    <row r="145" spans="1:19" ht="21.95" hidden="1" customHeight="1">
      <c r="A145" s="66" t="s">
        <v>355</v>
      </c>
      <c r="B145" s="64" t="s">
        <v>31</v>
      </c>
      <c r="C145" s="65">
        <v>45997</v>
      </c>
      <c r="D145" s="64"/>
      <c r="E145" s="64" t="s">
        <v>22</v>
      </c>
      <c r="F145" s="60" t="s">
        <v>356</v>
      </c>
      <c r="G145" s="60"/>
      <c r="H145" s="60" t="str">
        <f>IFERROR(INDEX('Docketed Comments'!C:C,MATCH(A145,'Docketed Comments'!H:H,0))&amp;", "&amp;INDEX('Docketed Comments'!B:B,MATCH(A145,'Docketed Comments'!H:H,0)),"")</f>
        <v>Tanika, Roy</v>
      </c>
      <c r="I145" s="60" t="str">
        <f>IFERROR(INDEX('Docketed Comments'!D:D,MATCH(A145,'Docketed Comments'!H:H,0)),"")</f>
        <v>Phoenix</v>
      </c>
      <c r="J145" s="60" t="str">
        <f>IFERROR(INDEX('Docketed Comments'!I:I,MATCH(A145,'Docketed Comments'!H:H,0)),"")</f>
        <v>RTOUE47</v>
      </c>
      <c r="K145" s="60" t="str">
        <f t="shared" si="5"/>
        <v>❌ Not on Best Plan</v>
      </c>
      <c r="L145" s="60" t="str">
        <f>IFERROR(INDEX('Docketed Comments'!F:F,MATCH(A145,'Docketed Comments'!H:H,0)),"")</f>
        <v>Opposed</v>
      </c>
      <c r="M145" s="120" t="str">
        <f>IFERROR(INDEX('Docketed Comments'!G:G,MATCH(A145,'Docketed Comments'!H:H,0)),"")</f>
        <v>https://docket.images.azcc.gov/E000046309.pdf</v>
      </c>
      <c r="N145" s="118" t="str">
        <f>IFERROR(INDEX('Docketed Comments'!N:N,MATCH(A145,'Docketed Comments'!H:H,0)),"")</f>
        <v>No</v>
      </c>
      <c r="O145" s="118" t="str">
        <f>IFERROR(INDEX('Docketed Comments'!L:L,MATCH(A145,'Docketed Comments'!H:H,0)),"")</f>
        <v>No MEP R-XS ($24.15)</v>
      </c>
      <c r="P145" s="119">
        <f t="shared" si="4"/>
        <v>24.15</v>
      </c>
      <c r="Q145" s="60" t="s">
        <v>23</v>
      </c>
      <c r="R145" s="64" t="s">
        <v>24</v>
      </c>
      <c r="S145" s="64" t="s">
        <v>357</v>
      </c>
    </row>
    <row r="146" spans="1:19" ht="21.95" customHeight="1">
      <c r="A146" s="66" t="s">
        <v>270</v>
      </c>
      <c r="B146" s="64"/>
      <c r="C146" s="65"/>
      <c r="D146" s="64"/>
      <c r="E146" s="64"/>
      <c r="F146" s="60"/>
      <c r="G146" s="60" t="s">
        <v>358</v>
      </c>
      <c r="H146" s="60" t="str">
        <f>IFERROR(INDEX('Docketed Comments'!C:C,MATCH(A146,'Docketed Comments'!H:H,0))&amp;", "&amp;INDEX('Docketed Comments'!B:B,MATCH(A146,'Docketed Comments'!H:H,0)),"")</f>
        <v>Vicki, Simone</v>
      </c>
      <c r="I146" s="60" t="str">
        <f>IFERROR(INDEX('Docketed Comments'!D:D,MATCH(A146,'Docketed Comments'!H:H,0)),"")</f>
        <v>Unknown</v>
      </c>
      <c r="J146" s="60" t="str">
        <f>IFERROR(INDEX('Docketed Comments'!I:I,MATCH(A146,'Docketed Comments'!H:H,0)),"")</f>
        <v>R-BASIC</v>
      </c>
      <c r="K146" s="60" t="str">
        <f t="shared" si="5"/>
        <v>❌ Not on Best Plan</v>
      </c>
      <c r="L146" s="60" t="str">
        <f>IFERROR(INDEX('Docketed Comments'!F:F,MATCH(A146,'Docketed Comments'!H:H,0)),"")</f>
        <v>Do the right thing, deny the rate increase</v>
      </c>
      <c r="M146" s="120" t="str">
        <f>IFERROR(INDEX('Docketed Comments'!G:G,MATCH(A146,'Docketed Comments'!H:H,0)),"")</f>
        <v>https://docket.images.azcc.gov/E000046266.pdf</v>
      </c>
      <c r="N146" s="118" t="str">
        <f>IFERROR(INDEX('Docketed Comments'!N:N,MATCH(A146,'Docketed Comments'!H:H,0)),"")</f>
        <v>No</v>
      </c>
      <c r="O146" s="118" t="str">
        <f>IFERROR(INDEX('Docketed Comments'!L:L,MATCH(A146,'Docketed Comments'!H:H,0)),"")</f>
        <v>No MEP R3-47(35.30)</v>
      </c>
      <c r="P146" s="119">
        <f t="shared" si="4"/>
        <v>35.299999999999997</v>
      </c>
      <c r="Q146" s="60"/>
      <c r="R146" s="64" t="s">
        <v>75</v>
      </c>
      <c r="S146" s="64" t="s">
        <v>359</v>
      </c>
    </row>
    <row r="147" spans="1:19" ht="21.95" hidden="1" customHeight="1">
      <c r="A147" s="66" t="s">
        <v>360</v>
      </c>
      <c r="B147" s="64" t="s">
        <v>31</v>
      </c>
      <c r="C147" s="65">
        <v>46025</v>
      </c>
      <c r="D147" s="64" t="s">
        <v>21</v>
      </c>
      <c r="E147" s="64" t="s">
        <v>22</v>
      </c>
      <c r="F147" s="60" t="s">
        <v>41</v>
      </c>
      <c r="G147" s="60"/>
      <c r="H147" s="60" t="str">
        <f>IFERROR(INDEX('Docketed Comments'!C:C,MATCH(A147,'Docketed Comments'!H:H,0))&amp;", "&amp;INDEX('Docketed Comments'!B:B,MATCH(A147,'Docketed Comments'!H:H,0)),"")</f>
        <v>Payton, Deer</v>
      </c>
      <c r="I147" s="60" t="str">
        <f>IFERROR(INDEX('Docketed Comments'!D:D,MATCH(A147,'Docketed Comments'!H:H,0)),"")</f>
        <v>Phoenix</v>
      </c>
      <c r="J147" s="60" t="str">
        <f>IFERROR(INDEX('Docketed Comments'!I:I,MATCH(A147,'Docketed Comments'!H:H,0)),"")</f>
        <v>RTOUE47</v>
      </c>
      <c r="K147" s="60" t="str">
        <f t="shared" si="5"/>
        <v>❌ Not on Best Plan</v>
      </c>
      <c r="L147" s="60" t="str">
        <f>IFERROR(INDEX('Docketed Comments'!F:F,MATCH(A147,'Docketed Comments'!H:H,0)),"")</f>
        <v>Opposed</v>
      </c>
      <c r="M147" s="120" t="str">
        <f>IFERROR(INDEX('Docketed Comments'!G:G,MATCH(A147,'Docketed Comments'!H:H,0)),"")</f>
        <v>https://docket.images.azcc.gov/E000046329.pdf</v>
      </c>
      <c r="N147" s="118" t="str">
        <f>IFERROR(INDEX('Docketed Comments'!N:N,MATCH(A147,'Docketed Comments'!H:H,0)),"")</f>
        <v>No</v>
      </c>
      <c r="O147" s="118" t="str">
        <f>IFERROR(INDEX('Docketed Comments'!L:L,MATCH(A147,'Docketed Comments'!H:H,0)),"")</f>
        <v>No MEP R-XS ($119.86)</v>
      </c>
      <c r="P147" s="119">
        <f t="shared" si="4"/>
        <v>119.86</v>
      </c>
      <c r="Q147" s="60" t="s">
        <v>23</v>
      </c>
      <c r="R147" s="64" t="s">
        <v>24</v>
      </c>
      <c r="S147" s="64" t="s">
        <v>361</v>
      </c>
    </row>
    <row r="148" spans="1:19" ht="21.95" hidden="1" customHeight="1">
      <c r="A148" s="66" t="s">
        <v>362</v>
      </c>
      <c r="B148" s="64" t="s">
        <v>31</v>
      </c>
      <c r="C148" s="65">
        <v>45997</v>
      </c>
      <c r="D148" s="64" t="s">
        <v>21</v>
      </c>
      <c r="E148" s="64" t="s">
        <v>22</v>
      </c>
      <c r="F148" s="60" t="s">
        <v>363</v>
      </c>
      <c r="G148" s="60"/>
      <c r="H148" s="60" t="str">
        <f>IFERROR(INDEX('Docketed Comments'!C:C,MATCH(A148,'Docketed Comments'!H:H,0))&amp;", "&amp;INDEX('Docketed Comments'!B:B,MATCH(A148,'Docketed Comments'!H:H,0)),"")</f>
        <v>Benjamin, Horne</v>
      </c>
      <c r="I148" s="60" t="str">
        <f>IFERROR(INDEX('Docketed Comments'!D:D,MATCH(A148,'Docketed Comments'!H:H,0)),"")</f>
        <v>Peoria</v>
      </c>
      <c r="J148" s="60" t="str">
        <f>IFERROR(INDEX('Docketed Comments'!I:I,MATCH(A148,'Docketed Comments'!H:H,0)),"")</f>
        <v>RCPw/RTOUE47</v>
      </c>
      <c r="K148" s="60" t="str">
        <f t="shared" si="5"/>
        <v>❌ Not on Best Plan</v>
      </c>
      <c r="L148" s="60" t="str">
        <f>IFERROR(INDEX('Docketed Comments'!F:F,MATCH(A148,'Docketed Comments'!H:H,0)),"")</f>
        <v>Form letter</v>
      </c>
      <c r="M148" s="120" t="str">
        <f>IFERROR(INDEX('Docketed Comments'!G:G,MATCH(A148,'Docketed Comments'!H:H,0)),"")</f>
        <v>https://docket.images.azcc.gov/E000046349.pdf</v>
      </c>
      <c r="N148" s="118" t="str">
        <f>IFERROR(INDEX('Docketed Comments'!N:N,MATCH(A148,'Docketed Comments'!H:H,0)),"")</f>
        <v>No</v>
      </c>
      <c r="O148" s="118" t="str">
        <f>IFERROR(INDEX('Docketed Comments'!L:L,MATCH(A148,'Docketed Comments'!H:H,0)),"")</f>
        <v>No MEP R3-47 ($15.79)</v>
      </c>
      <c r="P148" s="119">
        <f t="shared" si="4"/>
        <v>15.79</v>
      </c>
      <c r="Q148" s="60" t="s">
        <v>23</v>
      </c>
      <c r="R148" s="64" t="s">
        <v>24</v>
      </c>
      <c r="S148" s="64" t="s">
        <v>364</v>
      </c>
    </row>
    <row r="149" spans="1:19" ht="21.95" hidden="1" customHeight="1">
      <c r="A149" s="66" t="s">
        <v>365</v>
      </c>
      <c r="B149" s="64" t="s">
        <v>31</v>
      </c>
      <c r="C149" s="65">
        <v>46025</v>
      </c>
      <c r="D149" s="64" t="s">
        <v>21</v>
      </c>
      <c r="E149" s="64" t="s">
        <v>22</v>
      </c>
      <c r="F149" s="60" t="s">
        <v>41</v>
      </c>
      <c r="G149" s="60"/>
      <c r="H149" s="60" t="str">
        <f>IFERROR(INDEX('Docketed Comments'!C:C,MATCH(A149,'Docketed Comments'!H:H,0))&amp;", "&amp;INDEX('Docketed Comments'!B:B,MATCH(A149,'Docketed Comments'!H:H,0)),"")</f>
        <v>Stephanie, Saltzman</v>
      </c>
      <c r="I149" s="60" t="str">
        <f>IFERROR(INDEX('Docketed Comments'!D:D,MATCH(A149,'Docketed Comments'!H:H,0)),"")</f>
        <v>Phoenix</v>
      </c>
      <c r="J149" s="60" t="str">
        <f>IFERROR(INDEX('Docketed Comments'!I:I,MATCH(A149,'Docketed Comments'!H:H,0)),"")</f>
        <v>RTOUE47</v>
      </c>
      <c r="K149" s="60" t="str">
        <f t="shared" si="5"/>
        <v>❌ Not on Best Plan</v>
      </c>
      <c r="L149" s="60" t="str">
        <f>IFERROR(INDEX('Docketed Comments'!F:F,MATCH(A149,'Docketed Comments'!H:H,0)),"")</f>
        <v xml:space="preserve">Fixed income </v>
      </c>
      <c r="M149" s="120" t="str">
        <f>IFERROR(INDEX('Docketed Comments'!G:G,MATCH(A149,'Docketed Comments'!H:H,0)),"")</f>
        <v>https://docket.images.azcc.gov/E000046404.pdf</v>
      </c>
      <c r="N149" s="118" t="str">
        <f>IFERROR(INDEX('Docketed Comments'!N:N,MATCH(A149,'Docketed Comments'!H:H,0)),"")</f>
        <v>No</v>
      </c>
      <c r="O149" s="118" t="str">
        <f>IFERROR(INDEX('Docketed Comments'!L:L,MATCH(A149,'Docketed Comments'!H:H,0)),"")</f>
        <v>No MEP R-BASIC ($77.70)</v>
      </c>
      <c r="P149" s="119">
        <f t="shared" si="4"/>
        <v>77.7</v>
      </c>
      <c r="Q149" s="60" t="s">
        <v>23</v>
      </c>
      <c r="R149" s="64" t="s">
        <v>24</v>
      </c>
      <c r="S149" s="64" t="s">
        <v>366</v>
      </c>
    </row>
    <row r="150" spans="1:19" ht="21.95" hidden="1" customHeight="1">
      <c r="A150" s="66" t="s">
        <v>367</v>
      </c>
      <c r="B150" s="64" t="s">
        <v>31</v>
      </c>
      <c r="C150" s="65">
        <v>46025</v>
      </c>
      <c r="D150" s="64" t="s">
        <v>21</v>
      </c>
      <c r="E150" s="64" t="s">
        <v>22</v>
      </c>
      <c r="F150" s="60"/>
      <c r="G150" s="60"/>
      <c r="H150" s="60" t="str">
        <f>IFERROR(INDEX('Docketed Comments'!C:C,MATCH(A150,'Docketed Comments'!H:H,0))&amp;", "&amp;INDEX('Docketed Comments'!B:B,MATCH(A150,'Docketed Comments'!H:H,0)),"")</f>
        <v>Christen, Bejar</v>
      </c>
      <c r="I150" s="60" t="str">
        <f>IFERROR(INDEX('Docketed Comments'!D:D,MATCH(A150,'Docketed Comments'!H:H,0)),"")</f>
        <v>Avondale</v>
      </c>
      <c r="J150" s="60" t="str">
        <f>IFERROR(INDEX('Docketed Comments'!I:I,MATCH(A150,'Docketed Comments'!H:H,0)),"")</f>
        <v>RTOUE47</v>
      </c>
      <c r="K150" s="60" t="str">
        <f t="shared" si="5"/>
        <v>❌ Not on Best Plan</v>
      </c>
      <c r="L150" s="60" t="str">
        <f>IFERROR(INDEX('Docketed Comments'!F:F,MATCH(A150,'Docketed Comments'!H:H,0)),"")</f>
        <v>Form letter</v>
      </c>
      <c r="M150" s="120" t="str">
        <f>IFERROR(INDEX('Docketed Comments'!G:G,MATCH(A150,'Docketed Comments'!H:H,0)),"")</f>
        <v>https://docket.images.azcc.gov/E000046404.pdf</v>
      </c>
      <c r="N150" s="118" t="str">
        <f>IFERROR(INDEX('Docketed Comments'!N:N,MATCH(A150,'Docketed Comments'!H:H,0)),"")</f>
        <v>No</v>
      </c>
      <c r="O150" s="118" t="str">
        <f>IFERROR(INDEX('Docketed Comments'!L:L,MATCH(A150,'Docketed Comments'!H:H,0)),"")</f>
        <v>No MEP R3-47 ($120.96)</v>
      </c>
      <c r="P150" s="119">
        <f t="shared" si="4"/>
        <v>120.96</v>
      </c>
      <c r="Q150" s="60" t="s">
        <v>23</v>
      </c>
      <c r="R150" s="64" t="s">
        <v>24</v>
      </c>
      <c r="S150" s="64" t="s">
        <v>368</v>
      </c>
    </row>
    <row r="151" spans="1:19" ht="21.95" hidden="1" customHeight="1">
      <c r="A151" s="66" t="s">
        <v>369</v>
      </c>
      <c r="B151" s="64" t="s">
        <v>31</v>
      </c>
      <c r="C151" s="65">
        <v>46025</v>
      </c>
      <c r="D151" s="64" t="s">
        <v>21</v>
      </c>
      <c r="E151" s="64" t="s">
        <v>22</v>
      </c>
      <c r="F151" s="60" t="s">
        <v>41</v>
      </c>
      <c r="G151" s="60"/>
      <c r="H151" s="60" t="str">
        <f>IFERROR(INDEX('Docketed Comments'!C:C,MATCH(A151,'Docketed Comments'!H:H,0))&amp;", "&amp;INDEX('Docketed Comments'!B:B,MATCH(A151,'Docketed Comments'!H:H,0)),"")</f>
        <v xml:space="preserve">Patricia, O'Neil </v>
      </c>
      <c r="I151" s="60" t="str">
        <f>IFERROR(INDEX('Docketed Comments'!D:D,MATCH(A151,'Docketed Comments'!H:H,0)),"")</f>
        <v>Surprise</v>
      </c>
      <c r="J151" s="60" t="str">
        <f>IFERROR(INDEX('Docketed Comments'!I:I,MATCH(A151,'Docketed Comments'!H:H,0)),"")</f>
        <v>RCPw/RTOUE47</v>
      </c>
      <c r="K151" s="60" t="str">
        <f t="shared" si="5"/>
        <v>❌ Not on Best Plan</v>
      </c>
      <c r="L151" s="60" t="str">
        <f>IFERROR(INDEX('Docketed Comments'!F:F,MATCH(A151,'Docketed Comments'!H:H,0)),"")</f>
        <v>Monopoly</v>
      </c>
      <c r="M151" s="120" t="str">
        <f>IFERROR(INDEX('Docketed Comments'!G:G,MATCH(A151,'Docketed Comments'!H:H,0)),"")</f>
        <v>https://docket.images.azcc.gov/E000046437.pdf</v>
      </c>
      <c r="N151" s="118" t="str">
        <f>IFERROR(INDEX('Docketed Comments'!N:N,MATCH(A151,'Docketed Comments'!H:H,0)),"")</f>
        <v>No</v>
      </c>
      <c r="O151" s="118" t="str">
        <f>IFERROR(INDEX('Docketed Comments'!L:L,MATCH(A151,'Docketed Comments'!H:H,0)),"")</f>
        <v>No MEP R3-47 ($19.36)</v>
      </c>
      <c r="P151" s="119">
        <f t="shared" si="4"/>
        <v>19.36</v>
      </c>
      <c r="Q151" s="60" t="s">
        <v>23</v>
      </c>
      <c r="R151" s="64" t="s">
        <v>24</v>
      </c>
      <c r="S151" s="64" t="s">
        <v>370</v>
      </c>
    </row>
    <row r="152" spans="1:19" ht="21.95" hidden="1" customHeight="1">
      <c r="A152" s="66" t="s">
        <v>371</v>
      </c>
      <c r="B152" s="64" t="s">
        <v>31</v>
      </c>
      <c r="C152" s="65">
        <v>46025</v>
      </c>
      <c r="D152" s="64" t="s">
        <v>21</v>
      </c>
      <c r="E152" s="64" t="s">
        <v>22</v>
      </c>
      <c r="F152" s="60" t="s">
        <v>41</v>
      </c>
      <c r="G152" s="60"/>
      <c r="H152" s="60" t="str">
        <f>IFERROR(INDEX('Docketed Comments'!C:C,MATCH(A152,'Docketed Comments'!H:H,0))&amp;", "&amp;INDEX('Docketed Comments'!B:B,MATCH(A152,'Docketed Comments'!H:H,0)),"")</f>
        <v>Rachel, Fylan</v>
      </c>
      <c r="I152" s="60" t="str">
        <f>IFERROR(INDEX('Docketed Comments'!D:D,MATCH(A152,'Docketed Comments'!H:H,0)),"")</f>
        <v>Phoenix</v>
      </c>
      <c r="J152" s="60" t="str">
        <f>IFERROR(INDEX('Docketed Comments'!I:I,MATCH(A152,'Docketed Comments'!H:H,0)),"")</f>
        <v>R-BASIC</v>
      </c>
      <c r="K152" s="60" t="str">
        <f t="shared" si="5"/>
        <v>❌ Not on Best Plan</v>
      </c>
      <c r="L152" s="60" t="str">
        <f>IFERROR(INDEX('Docketed Comments'!F:F,MATCH(A152,'Docketed Comments'!H:H,0)),"")</f>
        <v>Opposed</v>
      </c>
      <c r="M152" s="120" t="str">
        <f>IFERROR(INDEX('Docketed Comments'!G:G,MATCH(A152,'Docketed Comments'!H:H,0)),"")</f>
        <v>https://docket.images.azcc.gov/E000046437.pdf</v>
      </c>
      <c r="N152" s="118" t="str">
        <f>IFERROR(INDEX('Docketed Comments'!N:N,MATCH(A152,'Docketed Comments'!H:H,0)),"")</f>
        <v>No</v>
      </c>
      <c r="O152" s="118" t="str">
        <f>IFERROR(INDEX('Docketed Comments'!L:L,MATCH(A152,'Docketed Comments'!H:H,0)),"")</f>
        <v>No MEP R3-47 ($355.98)</v>
      </c>
      <c r="P152" s="119">
        <f t="shared" si="4"/>
        <v>355.98</v>
      </c>
      <c r="Q152" s="60" t="s">
        <v>23</v>
      </c>
      <c r="R152" s="64" t="s">
        <v>24</v>
      </c>
      <c r="S152" s="64" t="s">
        <v>372</v>
      </c>
    </row>
    <row r="153" spans="1:19" ht="21.95" hidden="1" customHeight="1">
      <c r="A153" s="66" t="s">
        <v>373</v>
      </c>
      <c r="B153" s="64" t="s">
        <v>31</v>
      </c>
      <c r="C153" s="65">
        <v>46025</v>
      </c>
      <c r="D153" s="64" t="s">
        <v>21</v>
      </c>
      <c r="E153" s="64" t="s">
        <v>22</v>
      </c>
      <c r="F153" s="60" t="s">
        <v>41</v>
      </c>
      <c r="G153" s="60"/>
      <c r="H153" s="60" t="str">
        <f>IFERROR(INDEX('Docketed Comments'!C:C,MATCH(A153,'Docketed Comments'!H:H,0))&amp;", "&amp;INDEX('Docketed Comments'!B:B,MATCH(A153,'Docketed Comments'!H:H,0)),"")</f>
        <v>Sharon, Martin</v>
      </c>
      <c r="I153" s="60" t="str">
        <f>IFERROR(INDEX('Docketed Comments'!D:D,MATCH(A153,'Docketed Comments'!H:H,0)),"")</f>
        <v>Sun City West</v>
      </c>
      <c r="J153" s="60" t="str">
        <f>IFERROR(INDEX('Docketed Comments'!I:I,MATCH(A153,'Docketed Comments'!H:H,0)),"")</f>
        <v>R-BASICL</v>
      </c>
      <c r="K153" s="60" t="str">
        <f t="shared" si="5"/>
        <v>❌ Not on Best Plan</v>
      </c>
      <c r="L153" s="60" t="str">
        <f>IFERROR(INDEX('Docketed Comments'!F:F,MATCH(A153,'Docketed Comments'!H:H,0)),"")</f>
        <v>Opposed</v>
      </c>
      <c r="M153" s="120" t="str">
        <f>IFERROR(INDEX('Docketed Comments'!G:G,MATCH(A153,'Docketed Comments'!H:H,0)),"")</f>
        <v>https://docket.images.azcc.gov/E000046437.pdf</v>
      </c>
      <c r="N153" s="118" t="str">
        <f>IFERROR(INDEX('Docketed Comments'!N:N,MATCH(A153,'Docketed Comments'!H:H,0)),"")</f>
        <v>No</v>
      </c>
      <c r="O153" s="118" t="str">
        <f>IFERROR(INDEX('Docketed Comments'!L:L,MATCH(A153,'Docketed Comments'!H:H,0)),"")</f>
        <v>No MEP R3-47 ($159.33)</v>
      </c>
      <c r="P153" s="119">
        <f t="shared" si="4"/>
        <v>159.33000000000001</v>
      </c>
      <c r="Q153" s="60" t="s">
        <v>23</v>
      </c>
      <c r="R153" s="64" t="s">
        <v>24</v>
      </c>
      <c r="S153" s="64" t="s">
        <v>374</v>
      </c>
    </row>
    <row r="154" spans="1:19" ht="21.95" hidden="1" customHeight="1">
      <c r="A154" s="66" t="s">
        <v>375</v>
      </c>
      <c r="B154" s="64" t="s">
        <v>31</v>
      </c>
      <c r="C154" s="65">
        <v>46025</v>
      </c>
      <c r="D154" s="64" t="s">
        <v>21</v>
      </c>
      <c r="E154" s="64" t="s">
        <v>22</v>
      </c>
      <c r="F154" s="60" t="s">
        <v>376</v>
      </c>
      <c r="G154" s="60"/>
      <c r="H154" s="60" t="str">
        <f>IFERROR(INDEX('Docketed Comments'!C:C,MATCH(A154,'Docketed Comments'!H:H,0))&amp;", "&amp;INDEX('Docketed Comments'!B:B,MATCH(A154,'Docketed Comments'!H:H,0)),"")</f>
        <v>Susan, Mobley</v>
      </c>
      <c r="I154" s="60" t="str">
        <f>IFERROR(INDEX('Docketed Comments'!D:D,MATCH(A154,'Docketed Comments'!H:H,0)),"")</f>
        <v>Scottsdale</v>
      </c>
      <c r="J154" s="60" t="str">
        <f>IFERROR(INDEX('Docketed Comments'!I:I,MATCH(A154,'Docketed Comments'!H:H,0)),"")</f>
        <v>R-BASICL</v>
      </c>
      <c r="K154" s="60" t="str">
        <f t="shared" si="5"/>
        <v>❌ Not on Best Plan</v>
      </c>
      <c r="L154" s="60" t="str">
        <f>IFERROR(INDEX('Docketed Comments'!F:F,MATCH(A154,'Docketed Comments'!H:H,0)),"")</f>
        <v>Form letter</v>
      </c>
      <c r="M154" s="120" t="str">
        <f>IFERROR(INDEX('Docketed Comments'!G:G,MATCH(A154,'Docketed Comments'!H:H,0)),"")</f>
        <v>https://docket.images.azcc.gov/E000046437.pdf</v>
      </c>
      <c r="N154" s="118" t="str">
        <f>IFERROR(INDEX('Docketed Comments'!N:N,MATCH(A154,'Docketed Comments'!H:H,0)),"")</f>
        <v>No</v>
      </c>
      <c r="O154" s="118" t="str">
        <f>IFERROR(INDEX('Docketed Comments'!L:L,MATCH(A154,'Docketed Comments'!H:H,0)),"")</f>
        <v>No MEP R3-47 ($498.46)</v>
      </c>
      <c r="P154" s="119">
        <f t="shared" si="4"/>
        <v>498.46</v>
      </c>
      <c r="Q154" s="60" t="s">
        <v>23</v>
      </c>
      <c r="R154" s="64" t="s">
        <v>24</v>
      </c>
      <c r="S154" s="64" t="s">
        <v>377</v>
      </c>
    </row>
    <row r="155" spans="1:19" ht="21.95" hidden="1" customHeight="1">
      <c r="A155" s="66" t="s">
        <v>378</v>
      </c>
      <c r="B155" s="64" t="s">
        <v>31</v>
      </c>
      <c r="C155" s="65">
        <v>46025</v>
      </c>
      <c r="D155" s="64"/>
      <c r="E155" s="64" t="s">
        <v>35</v>
      </c>
      <c r="F155" s="60" t="s">
        <v>379</v>
      </c>
      <c r="G155" s="60"/>
      <c r="H155" s="60" t="str">
        <f>IFERROR(INDEX('Docketed Comments'!C:C,MATCH(A155,'Docketed Comments'!H:H,0))&amp;", "&amp;INDEX('Docketed Comments'!B:B,MATCH(A155,'Docketed Comments'!H:H,0)),"")</f>
        <v>Nancy, Nelson</v>
      </c>
      <c r="I155" s="60" t="str">
        <f>IFERROR(INDEX('Docketed Comments'!D:D,MATCH(A155,'Docketed Comments'!H:H,0)),"")</f>
        <v>Phoenix</v>
      </c>
      <c r="J155" s="60" t="str">
        <f>IFERROR(INDEX('Docketed Comments'!I:I,MATCH(A155,'Docketed Comments'!H:H,0)),"")</f>
        <v>R-BASICL</v>
      </c>
      <c r="K155" s="60" t="str">
        <f t="shared" si="5"/>
        <v>❌ Not on Best Plan</v>
      </c>
      <c r="L155" s="60" t="str">
        <f>IFERROR(INDEX('Docketed Comments'!F:F,MATCH(A155,'Docketed Comments'!H:H,0)),"")</f>
        <v>Unreasonable</v>
      </c>
      <c r="M155" s="120" t="str">
        <f>IFERROR(INDEX('Docketed Comments'!G:G,MATCH(A155,'Docketed Comments'!H:H,0)),"")</f>
        <v>https://docket.images.azcc.gov/E000046437.pdf</v>
      </c>
      <c r="N155" s="118" t="str">
        <f>IFERROR(INDEX('Docketed Comments'!N:N,MATCH(A155,'Docketed Comments'!H:H,0)),"")</f>
        <v>No</v>
      </c>
      <c r="O155" s="118" t="str">
        <f>IFERROR(INDEX('Docketed Comments'!L:L,MATCH(A155,'Docketed Comments'!H:H,0)),"")</f>
        <v>No MEP R3-47 ($188.91))</v>
      </c>
      <c r="P155" s="119">
        <f t="shared" si="4"/>
        <v>188.91</v>
      </c>
      <c r="Q155" s="60" t="s">
        <v>23</v>
      </c>
      <c r="R155" s="64" t="s">
        <v>24</v>
      </c>
      <c r="S155" s="64" t="s">
        <v>380</v>
      </c>
    </row>
    <row r="156" spans="1:19" ht="21.95" hidden="1" customHeight="1">
      <c r="A156" s="66" t="s">
        <v>381</v>
      </c>
      <c r="B156" s="64" t="s">
        <v>31</v>
      </c>
      <c r="C156" s="65">
        <v>46025</v>
      </c>
      <c r="D156" s="64" t="s">
        <v>21</v>
      </c>
      <c r="E156" s="64" t="s">
        <v>22</v>
      </c>
      <c r="F156" s="60" t="s">
        <v>382</v>
      </c>
      <c r="G156" s="60"/>
      <c r="H156" s="60" t="str">
        <f>IFERROR(INDEX('Docketed Comments'!C:C,MATCH(A156,'Docketed Comments'!H:H,0))&amp;", "&amp;INDEX('Docketed Comments'!B:B,MATCH(A156,'Docketed Comments'!H:H,0)),"")</f>
        <v>Mathew, Weigand</v>
      </c>
      <c r="I156" s="60" t="str">
        <f>IFERROR(INDEX('Docketed Comments'!D:D,MATCH(A156,'Docketed Comments'!H:H,0)),"")</f>
        <v>Chandler</v>
      </c>
      <c r="J156" s="60" t="str">
        <f>IFERROR(INDEX('Docketed Comments'!I:I,MATCH(A156,'Docketed Comments'!H:H,0)),"")</f>
        <v>R-Basic</v>
      </c>
      <c r="K156" s="60" t="str">
        <f t="shared" si="5"/>
        <v>❌ Not on Best Plan</v>
      </c>
      <c r="L156" s="60" t="str">
        <f>IFERROR(INDEX('Docketed Comments'!F:F,MATCH(A156,'Docketed Comments'!H:H,0)),"")</f>
        <v>Form letter</v>
      </c>
      <c r="M156" s="120" t="str">
        <f>IFERROR(INDEX('Docketed Comments'!G:G,MATCH(A156,'Docketed Comments'!H:H,0)),"")</f>
        <v>https://docket.images.azcc.gov/E000046437.pdf</v>
      </c>
      <c r="N156" s="118" t="str">
        <f>IFERROR(INDEX('Docketed Comments'!N:N,MATCH(A156,'Docketed Comments'!H:H,0)),"")</f>
        <v>No</v>
      </c>
      <c r="O156" s="118" t="str">
        <f>IFERROR(INDEX('Docketed Comments'!L:L,MATCH(A156,'Docketed Comments'!H:H,0)),"")</f>
        <v>No MEP TOUE ($20.50)</v>
      </c>
      <c r="P156" s="119">
        <f t="shared" si="4"/>
        <v>20.5</v>
      </c>
      <c r="Q156" s="60" t="s">
        <v>23</v>
      </c>
      <c r="R156" s="64" t="s">
        <v>24</v>
      </c>
      <c r="S156" s="64" t="s">
        <v>383</v>
      </c>
    </row>
    <row r="157" spans="1:19" ht="21.95" hidden="1" customHeight="1">
      <c r="A157" s="66" t="s">
        <v>384</v>
      </c>
      <c r="B157" s="64" t="s">
        <v>31</v>
      </c>
      <c r="C157" s="65">
        <v>45997</v>
      </c>
      <c r="D157" s="64" t="s">
        <v>21</v>
      </c>
      <c r="E157" s="64" t="s">
        <v>22</v>
      </c>
      <c r="F157" s="60" t="s">
        <v>363</v>
      </c>
      <c r="G157" s="60"/>
      <c r="H157" s="60" t="str">
        <f>IFERROR(INDEX('Docketed Comments'!C:C,MATCH(A157,'Docketed Comments'!H:H,0))&amp;", "&amp;INDEX('Docketed Comments'!B:B,MATCH(A157,'Docketed Comments'!H:H,0)),"")</f>
        <v>Susan, Mohajerin</v>
      </c>
      <c r="I157" s="60" t="str">
        <f>IFERROR(INDEX('Docketed Comments'!D:D,MATCH(A157,'Docketed Comments'!H:H,0)),"")</f>
        <v>Scottsdale</v>
      </c>
      <c r="J157" s="60" t="str">
        <f>IFERROR(INDEX('Docketed Comments'!I:I,MATCH(A157,'Docketed Comments'!H:H,0)),"")</f>
        <v>RTOUE47</v>
      </c>
      <c r="K157" s="60" t="str">
        <f t="shared" si="5"/>
        <v>❌ Not on Best Plan</v>
      </c>
      <c r="L157" s="60" t="str">
        <f>IFERROR(INDEX('Docketed Comments'!F:F,MATCH(A157,'Docketed Comments'!H:H,0)),"")</f>
        <v>Enough is enough, already paying $160 for a 700 sqdt apartment</v>
      </c>
      <c r="M157" s="120" t="str">
        <f>IFERROR(INDEX('Docketed Comments'!G:G,MATCH(A157,'Docketed Comments'!H:H,0)),"")</f>
        <v>https://docket.images.azcc.gov/E000046437.pdf</v>
      </c>
      <c r="N157" s="118" t="str">
        <f>IFERROR(INDEX('Docketed Comments'!N:N,MATCH(A157,'Docketed Comments'!H:H,0)),"")</f>
        <v>No</v>
      </c>
      <c r="O157" s="118" t="str">
        <f>IFERROR(INDEX('Docketed Comments'!L:L,MATCH(A157,'Docketed Comments'!H:H,0)),"")</f>
        <v>No MEP R-XS ($98.76)</v>
      </c>
      <c r="P157" s="119">
        <f t="shared" si="4"/>
        <v>98.76</v>
      </c>
      <c r="Q157" s="60" t="s">
        <v>23</v>
      </c>
      <c r="R157" s="64" t="s">
        <v>24</v>
      </c>
      <c r="S157" s="64" t="s">
        <v>385</v>
      </c>
    </row>
    <row r="158" spans="1:19" ht="21.95" hidden="1" customHeight="1">
      <c r="A158" s="66" t="s">
        <v>386</v>
      </c>
      <c r="B158" s="64" t="s">
        <v>31</v>
      </c>
      <c r="C158" s="65">
        <v>46053</v>
      </c>
      <c r="D158" s="64" t="s">
        <v>27</v>
      </c>
      <c r="E158" s="64" t="s">
        <v>68</v>
      </c>
      <c r="F158" s="60" t="s">
        <v>387</v>
      </c>
      <c r="G158" s="60"/>
      <c r="H158" s="60" t="str">
        <f>IFERROR(INDEX('Docketed Comments'!C:C,MATCH(A158,'Docketed Comments'!H:H,0))&amp;", "&amp;INDEX('Docketed Comments'!B:B,MATCH(A158,'Docketed Comments'!H:H,0)),"")</f>
        <v>Danielle, Donato</v>
      </c>
      <c r="I158" s="60" t="str">
        <f>IFERROR(INDEX('Docketed Comments'!D:D,MATCH(A158,'Docketed Comments'!H:H,0)),"")</f>
        <v>Phoenix</v>
      </c>
      <c r="J158" s="60" t="str">
        <f>IFERROR(INDEX('Docketed Comments'!I:I,MATCH(A158,'Docketed Comments'!H:H,0)),"")</f>
        <v>RTOUE47</v>
      </c>
      <c r="K158" s="60" t="str">
        <f t="shared" si="5"/>
        <v>❌ Not on Best Plan</v>
      </c>
      <c r="L158" s="60" t="str">
        <f>IFERROR(INDEX('Docketed Comments'!F:F,MATCH(A158,'Docketed Comments'!H:H,0)),"")</f>
        <v xml:space="preserve">This is a significant burden, especially at a time when cost of living continues to rise </v>
      </c>
      <c r="M158" s="120" t="str">
        <f>IFERROR(INDEX('Docketed Comments'!G:G,MATCH(A158,'Docketed Comments'!H:H,0)),"")</f>
        <v>https://docket.images.azcc.gov/E000046472.pdf</v>
      </c>
      <c r="N158" s="118" t="str">
        <f>IFERROR(INDEX('Docketed Comments'!N:N,MATCH(A158,'Docketed Comments'!H:H,0)),"")</f>
        <v>No</v>
      </c>
      <c r="O158" s="118" t="str">
        <f>IFERROR(INDEX('Docketed Comments'!L:L,MATCH(A158,'Docketed Comments'!H:H,0)),"")</f>
        <v>No MEP R3-47(336.10)</v>
      </c>
      <c r="P158" s="119">
        <f t="shared" si="4"/>
        <v>336.1</v>
      </c>
      <c r="Q158" s="60" t="s">
        <v>23</v>
      </c>
      <c r="R158" s="64" t="s">
        <v>24</v>
      </c>
      <c r="S158" s="64" t="s">
        <v>388</v>
      </c>
    </row>
    <row r="159" spans="1:19" ht="21.95" hidden="1" customHeight="1">
      <c r="A159" s="66" t="s">
        <v>389</v>
      </c>
      <c r="B159" s="64" t="s">
        <v>31</v>
      </c>
      <c r="C159" s="65">
        <v>46053</v>
      </c>
      <c r="D159" s="64" t="s">
        <v>21</v>
      </c>
      <c r="E159" s="64" t="s">
        <v>22</v>
      </c>
      <c r="F159" s="60" t="s">
        <v>165</v>
      </c>
      <c r="G159" s="60"/>
      <c r="H159" s="60" t="str">
        <f>IFERROR(INDEX('Docketed Comments'!C:C,MATCH(A159,'Docketed Comments'!H:H,0))&amp;", "&amp;INDEX('Docketed Comments'!B:B,MATCH(A159,'Docketed Comments'!H:H,0)),"")</f>
        <v>Rob, Keates</v>
      </c>
      <c r="I159" s="60" t="str">
        <f>IFERROR(INDEX('Docketed Comments'!D:D,MATCH(A159,'Docketed Comments'!H:H,0)),"")</f>
        <v>Chandler</v>
      </c>
      <c r="J159" s="60" t="str">
        <f>IFERROR(INDEX('Docketed Comments'!I:I,MATCH(A159,'Docketed Comments'!H:H,0)),"")</f>
        <v>RTOUE47</v>
      </c>
      <c r="K159" s="60" t="str">
        <f t="shared" si="5"/>
        <v>❌ Not on Best Plan</v>
      </c>
      <c r="L159" s="60" t="str">
        <f>IFERROR(INDEX('Docketed Comments'!F:F,MATCH(A159,'Docketed Comments'!H:H,0)),"")</f>
        <v>Opposed-Price gouging</v>
      </c>
      <c r="M159" s="120" t="str">
        <f>IFERROR(INDEX('Docketed Comments'!G:G,MATCH(A159,'Docketed Comments'!H:H,0)),"")</f>
        <v>https://docket.images.azcc.gov/E000046502.pdf</v>
      </c>
      <c r="N159" s="118" t="str">
        <f>IFERROR(INDEX('Docketed Comments'!N:N,MATCH(A159,'Docketed Comments'!H:H,0)),"")</f>
        <v>No</v>
      </c>
      <c r="O159" s="118" t="str">
        <f>IFERROR(INDEX('Docketed Comments'!L:L,MATCH(A159,'Docketed Comments'!H:H,0)),"")</f>
        <v>No MEP R-BASIC(126.09)</v>
      </c>
      <c r="P159" s="119">
        <f t="shared" si="4"/>
        <v>126.09</v>
      </c>
      <c r="Q159" s="60" t="s">
        <v>23</v>
      </c>
      <c r="R159" s="64" t="s">
        <v>24</v>
      </c>
      <c r="S159" s="64" t="s">
        <v>390</v>
      </c>
    </row>
    <row r="160" spans="1:19" ht="21.95" hidden="1" customHeight="1">
      <c r="A160" s="66" t="s">
        <v>391</v>
      </c>
      <c r="B160" s="64" t="s">
        <v>31</v>
      </c>
      <c r="C160" s="65">
        <v>46046</v>
      </c>
      <c r="D160" s="64" t="s">
        <v>27</v>
      </c>
      <c r="E160" s="64" t="s">
        <v>35</v>
      </c>
      <c r="F160" s="60" t="s">
        <v>392</v>
      </c>
      <c r="G160" s="60"/>
      <c r="H160" s="60" t="str">
        <f>IFERROR(INDEX('Docketed Comments'!C:C,MATCH(A160,'Docketed Comments'!H:H,0))&amp;", "&amp;INDEX('Docketed Comments'!B:B,MATCH(A160,'Docketed Comments'!H:H,0)),"")</f>
        <v>Corinna, Lopardo</v>
      </c>
      <c r="I160" s="60" t="str">
        <f>IFERROR(INDEX('Docketed Comments'!D:D,MATCH(A160,'Docketed Comments'!H:H,0)),"")</f>
        <v>Litchfield Park</v>
      </c>
      <c r="J160" s="60" t="str">
        <f>IFERROR(INDEX('Docketed Comments'!I:I,MATCH(A160,'Docketed Comments'!H:H,0)),"")</f>
        <v>RTOUE47</v>
      </c>
      <c r="K160" s="60" t="str">
        <f t="shared" si="5"/>
        <v>❌ Not on Best Plan</v>
      </c>
      <c r="L160" s="60" t="str">
        <f>IFERROR(INDEX('Docketed Comments'!F:F,MATCH(A160,'Docketed Comments'!H:H,0)),"")</f>
        <v>Form letter</v>
      </c>
      <c r="M160" s="120" t="str">
        <f>IFERROR(INDEX('Docketed Comments'!G:G,MATCH(A160,'Docketed Comments'!H:H,0)),"")</f>
        <v>https://docket.images.azcc.gov/E000046525.pdf</v>
      </c>
      <c r="N160" s="118" t="str">
        <f>IFERROR(INDEX('Docketed Comments'!N:N,MATCH(A160,'Docketed Comments'!H:H,0)),"")</f>
        <v>No</v>
      </c>
      <c r="O160" s="118" t="str">
        <f>IFERROR(INDEX('Docketed Comments'!L:L,MATCH(A160,'Docketed Comments'!H:H,0)),"")</f>
        <v>No MEP R3-47 ($13.58)</v>
      </c>
      <c r="P160" s="119">
        <f t="shared" si="4"/>
        <v>13.58</v>
      </c>
      <c r="Q160" s="60" t="s">
        <v>23</v>
      </c>
      <c r="R160" s="64" t="s">
        <v>24</v>
      </c>
      <c r="S160" s="124" t="s">
        <v>393</v>
      </c>
    </row>
    <row r="161" spans="1:19" ht="21.95" hidden="1" customHeight="1">
      <c r="A161" s="66" t="s">
        <v>394</v>
      </c>
      <c r="B161" s="64" t="s">
        <v>31</v>
      </c>
      <c r="C161" s="65">
        <v>46053</v>
      </c>
      <c r="D161" s="64" t="s">
        <v>21</v>
      </c>
      <c r="E161" s="64" t="s">
        <v>22</v>
      </c>
      <c r="F161" s="60" t="s">
        <v>165</v>
      </c>
      <c r="G161" s="60"/>
      <c r="H161" s="60" t="str">
        <f>IFERROR(INDEX('Docketed Comments'!C:C,MATCH(A161,'Docketed Comments'!H:H,0))&amp;", "&amp;INDEX('Docketed Comments'!B:B,MATCH(A161,'Docketed Comments'!H:H,0)),"")</f>
        <v>Walter, Marinero</v>
      </c>
      <c r="I161" s="60" t="str">
        <f>IFERROR(INDEX('Docketed Comments'!D:D,MATCH(A161,'Docketed Comments'!H:H,0)),"")</f>
        <v>Buckeye</v>
      </c>
      <c r="J161" s="60" t="str">
        <f>IFERROR(INDEX('Docketed Comments'!I:I,MATCH(A161,'Docketed Comments'!H:H,0)),"")</f>
        <v>RTOUE47</v>
      </c>
      <c r="K161" s="60" t="str">
        <f t="shared" si="5"/>
        <v>❌ Not on Best Plan</v>
      </c>
      <c r="L161" s="60" t="str">
        <f>IFERROR(INDEX('Docketed Comments'!F:F,MATCH(A161,'Docketed Comments'!H:H,0)),"")</f>
        <v xml:space="preserve">Strongly Opposed- Undue and unsustainable financial burden </v>
      </c>
      <c r="M161" s="120" t="str">
        <f>IFERROR(INDEX('Docketed Comments'!G:G,MATCH(A161,'Docketed Comments'!H:H,0)),"")</f>
        <v>https://docket.images.azcc.gov/E000046525.pdf</v>
      </c>
      <c r="N161" s="118" t="str">
        <f>IFERROR(INDEX('Docketed Comments'!N:N,MATCH(A161,'Docketed Comments'!H:H,0)),"")</f>
        <v>No</v>
      </c>
      <c r="O161" s="118" t="str">
        <f>IFERROR(INDEX('Docketed Comments'!L:L,MATCH(A161,'Docketed Comments'!H:H,0)),"")</f>
        <v>No MEP R3-47(1039.42)</v>
      </c>
      <c r="P161" s="119">
        <f t="shared" si="4"/>
        <v>1039.42</v>
      </c>
      <c r="Q161" s="60" t="s">
        <v>23</v>
      </c>
      <c r="R161" s="64" t="s">
        <v>24</v>
      </c>
      <c r="S161" s="64" t="s">
        <v>395</v>
      </c>
    </row>
    <row r="162" spans="1:19" ht="21.95" hidden="1" customHeight="1">
      <c r="A162" s="66" t="s">
        <v>396</v>
      </c>
      <c r="B162" s="64" t="s">
        <v>31</v>
      </c>
      <c r="C162" s="65">
        <v>45997</v>
      </c>
      <c r="D162" s="64" t="s">
        <v>21</v>
      </c>
      <c r="E162" s="64" t="s">
        <v>22</v>
      </c>
      <c r="F162" s="60" t="s">
        <v>397</v>
      </c>
      <c r="G162" s="60"/>
      <c r="H162" s="60" t="str">
        <f>IFERROR(INDEX('Docketed Comments'!C:C,MATCH(A162,'Docketed Comments'!H:H,0))&amp;", "&amp;INDEX('Docketed Comments'!B:B,MATCH(A162,'Docketed Comments'!H:H,0)),"")</f>
        <v>Mary, Suckow</v>
      </c>
      <c r="I162" s="60" t="str">
        <f>IFERROR(INDEX('Docketed Comments'!D:D,MATCH(A162,'Docketed Comments'!H:H,0)),"")</f>
        <v>Glendale</v>
      </c>
      <c r="J162" s="60" t="str">
        <f>IFERROR(INDEX('Docketed Comments'!I:I,MATCH(A162,'Docketed Comments'!H:H,0)),"")</f>
        <v>RCPw/RTOUE47</v>
      </c>
      <c r="K162" s="60" t="str">
        <f t="shared" si="5"/>
        <v>❌ Not on Best Plan</v>
      </c>
      <c r="L162" s="60" t="str">
        <f>IFERROR(INDEX('Docketed Comments'!F:F,MATCH(A162,'Docketed Comments'!H:H,0)),"")</f>
        <v>Opposed-Rates already incredibly high</v>
      </c>
      <c r="M162" s="120" t="str">
        <f>IFERROR(INDEX('Docketed Comments'!G:G,MATCH(A162,'Docketed Comments'!H:H,0)),"")</f>
        <v>https://docket.images.azcc.gov/E000046531.pdf</v>
      </c>
      <c r="N162" s="118" t="str">
        <f>IFERROR(INDEX('Docketed Comments'!N:N,MATCH(A162,'Docketed Comments'!H:H,0)),"")</f>
        <v>No</v>
      </c>
      <c r="O162" s="118" t="str">
        <f>IFERROR(INDEX('Docketed Comments'!L:L,MATCH(A162,'Docketed Comments'!H:H,0)),"")</f>
        <v>No MEP R3-47 (101.27)</v>
      </c>
      <c r="P162" s="119">
        <f t="shared" si="4"/>
        <v>101.27</v>
      </c>
      <c r="Q162" s="60" t="s">
        <v>23</v>
      </c>
      <c r="R162" s="64" t="s">
        <v>24</v>
      </c>
      <c r="S162" s="64" t="s">
        <v>398</v>
      </c>
    </row>
    <row r="163" spans="1:19" ht="21.95" hidden="1" customHeight="1">
      <c r="A163" s="66" t="s">
        <v>399</v>
      </c>
      <c r="B163" s="64" t="s">
        <v>31</v>
      </c>
      <c r="C163" s="65">
        <v>45997</v>
      </c>
      <c r="D163" s="64" t="s">
        <v>21</v>
      </c>
      <c r="E163" s="64" t="s">
        <v>22</v>
      </c>
      <c r="F163" s="60" t="s">
        <v>400</v>
      </c>
      <c r="G163" s="60"/>
      <c r="H163" s="60" t="str">
        <f>IFERROR(INDEX('Docketed Comments'!C:C,MATCH(A163,'Docketed Comments'!H:H,0))&amp;", "&amp;INDEX('Docketed Comments'!B:B,MATCH(A163,'Docketed Comments'!H:H,0)),"")</f>
        <v>Robert, Sexton</v>
      </c>
      <c r="I163" s="60" t="str">
        <f>IFERROR(INDEX('Docketed Comments'!D:D,MATCH(A163,'Docketed Comments'!H:H,0)),"")</f>
        <v>Goodyear</v>
      </c>
      <c r="J163" s="60" t="str">
        <f>IFERROR(INDEX('Docketed Comments'!I:I,MATCH(A163,'Docketed Comments'!H:H,0)),"")</f>
        <v>R-BASIC</v>
      </c>
      <c r="K163" s="60" t="str">
        <f t="shared" si="5"/>
        <v>❌ Not on Best Plan</v>
      </c>
      <c r="L163" s="60" t="str">
        <f>IFERROR(INDEX('Docketed Comments'!F:F,MATCH(A163,'Docketed Comments'!H:H,0)),"")</f>
        <v>Strongly Oppose</v>
      </c>
      <c r="M163" s="120" t="str">
        <f>IFERROR(INDEX('Docketed Comments'!G:G,MATCH(A163,'Docketed Comments'!H:H,0)),"")</f>
        <v>https://docket.images.azcc.gov/E000046548.pdf</v>
      </c>
      <c r="N163" s="118" t="str">
        <f>IFERROR(INDEX('Docketed Comments'!N:N,MATCH(A163,'Docketed Comments'!H:H,0)),"")</f>
        <v>No</v>
      </c>
      <c r="O163" s="118" t="str">
        <f>IFERROR(INDEX('Docketed Comments'!L:L,MATCH(A163,'Docketed Comments'!H:H,0)),"")</f>
        <v>No MEP R-XS ($126.36)</v>
      </c>
      <c r="P163" s="119">
        <f t="shared" si="4"/>
        <v>126.36</v>
      </c>
      <c r="Q163" s="60" t="s">
        <v>23</v>
      </c>
      <c r="R163" s="64" t="s">
        <v>24</v>
      </c>
      <c r="S163" s="64" t="s">
        <v>401</v>
      </c>
    </row>
    <row r="164" spans="1:19" ht="21.95" hidden="1" customHeight="1">
      <c r="A164" s="66" t="s">
        <v>402</v>
      </c>
      <c r="B164" s="64" t="s">
        <v>31</v>
      </c>
      <c r="C164" s="65">
        <v>46053</v>
      </c>
      <c r="D164" s="64" t="s">
        <v>21</v>
      </c>
      <c r="E164" s="64" t="s">
        <v>22</v>
      </c>
      <c r="F164" s="60" t="s">
        <v>165</v>
      </c>
      <c r="G164" s="60"/>
      <c r="H164" s="60" t="str">
        <f>IFERROR(INDEX('Docketed Comments'!C:C,MATCH(A164,'Docketed Comments'!H:H,0))&amp;", "&amp;INDEX('Docketed Comments'!B:B,MATCH(A164,'Docketed Comments'!H:H,0)),"")</f>
        <v>Jonathan, Haggard</v>
      </c>
      <c r="I164" s="60" t="str">
        <f>IFERROR(INDEX('Docketed Comments'!D:D,MATCH(A164,'Docketed Comments'!H:H,0)),"")</f>
        <v>Tempe</v>
      </c>
      <c r="J164" s="60" t="str">
        <f>IFERROR(INDEX('Docketed Comments'!I:I,MATCH(A164,'Docketed Comments'!H:H,0)),"")</f>
        <v>R3-47</v>
      </c>
      <c r="K164" s="60" t="str">
        <f t="shared" si="5"/>
        <v>❌ Not on Best Plan</v>
      </c>
      <c r="L164" s="60" t="str">
        <f>IFERROR(INDEX('Docketed Comments'!F:F,MATCH(A164,'Docketed Comments'!H:H,0)),"")</f>
        <v>Opposed- no reason for a rate hike</v>
      </c>
      <c r="M164" s="120" t="str">
        <f>IFERROR(INDEX('Docketed Comments'!G:G,MATCH(A164,'Docketed Comments'!H:H,0)),"")</f>
        <v>https://docket.images.azcc.gov/E000046554.pdf</v>
      </c>
      <c r="N164" s="118" t="str">
        <f>IFERROR(INDEX('Docketed Comments'!N:N,MATCH(A164,'Docketed Comments'!H:H,0)),"")</f>
        <v>No</v>
      </c>
      <c r="O164" s="118" t="str">
        <f>IFERROR(INDEX('Docketed Comments'!L:L,MATCH(A164,'Docketed Comments'!H:H,0)),"")</f>
        <v>Not eligible yet (needs 3 months)</v>
      </c>
      <c r="P164" s="119">
        <f t="shared" si="4"/>
        <v>0</v>
      </c>
      <c r="Q164" s="60" t="s">
        <v>23</v>
      </c>
      <c r="R164" s="64" t="s">
        <v>24</v>
      </c>
      <c r="S164" s="64" t="s">
        <v>403</v>
      </c>
    </row>
    <row r="165" spans="1:19" ht="21.95" hidden="1" customHeight="1">
      <c r="A165" s="66" t="s">
        <v>404</v>
      </c>
      <c r="B165" s="64" t="s">
        <v>31</v>
      </c>
      <c r="C165" s="65">
        <v>46053</v>
      </c>
      <c r="D165" s="64" t="s">
        <v>27</v>
      </c>
      <c r="E165" s="64" t="s">
        <v>35</v>
      </c>
      <c r="F165" s="60"/>
      <c r="G165" s="60"/>
      <c r="H165" s="60" t="str">
        <f>IFERROR(INDEX('Docketed Comments'!C:C,MATCH(A165,'Docketed Comments'!H:H,0))&amp;", "&amp;INDEX('Docketed Comments'!B:B,MATCH(A165,'Docketed Comments'!H:H,0)),"")</f>
        <v>Richard, LeVangie</v>
      </c>
      <c r="I165" s="60" t="str">
        <f>IFERROR(INDEX('Docketed Comments'!D:D,MATCH(A165,'Docketed Comments'!H:H,0)),"")</f>
        <v>Phoenix</v>
      </c>
      <c r="J165" s="60" t="str">
        <f>IFERROR(INDEX('Docketed Comments'!I:I,MATCH(A165,'Docketed Comments'!H:H,0)),"")</f>
        <v>R3-47</v>
      </c>
      <c r="K165" s="60" t="str">
        <f t="shared" si="5"/>
        <v>❌ Not on Best Plan</v>
      </c>
      <c r="L165" s="60" t="str">
        <f>IFERROR(INDEX('Docketed Comments'!F:F,MATCH(A165,'Docketed Comments'!H:H,0)),"")</f>
        <v>Opposed-I'm moving to SRP territory</v>
      </c>
      <c r="M165" s="120" t="str">
        <f>IFERROR(INDEX('Docketed Comments'!G:G,MATCH(A165,'Docketed Comments'!H:H,0)),"")</f>
        <v>https://docket.images.azcc.gov/E000046554.pdf</v>
      </c>
      <c r="N165" s="118" t="str">
        <f>IFERROR(INDEX('Docketed Comments'!N:N,MATCH(A165,'Docketed Comments'!H:H,0)),"")</f>
        <v>No</v>
      </c>
      <c r="O165" s="118" t="str">
        <f>IFERROR(INDEX('Docketed Comments'!L:L,MATCH(A165,'Docketed Comments'!H:H,0)),"")</f>
        <v>Not eligible yet (needs 3 months)</v>
      </c>
      <c r="P165" s="119">
        <f t="shared" si="4"/>
        <v>0</v>
      </c>
      <c r="Q165" s="60" t="s">
        <v>23</v>
      </c>
      <c r="R165" s="64" t="s">
        <v>24</v>
      </c>
      <c r="S165" s="64" t="s">
        <v>405</v>
      </c>
    </row>
    <row r="166" spans="1:19" ht="21.95" hidden="1" customHeight="1">
      <c r="A166" s="66" t="s">
        <v>406</v>
      </c>
      <c r="B166" s="64" t="s">
        <v>31</v>
      </c>
      <c r="C166" s="65">
        <v>46039</v>
      </c>
      <c r="D166" s="64" t="s">
        <v>27</v>
      </c>
      <c r="E166" s="64" t="s">
        <v>22</v>
      </c>
      <c r="F166" s="60" t="s">
        <v>407</v>
      </c>
      <c r="G166" s="60"/>
      <c r="H166" s="60" t="str">
        <f>IFERROR(INDEX('Docketed Comments'!C:C,MATCH(A166,'Docketed Comments'!H:H,0))&amp;", "&amp;INDEX('Docketed Comments'!B:B,MATCH(A166,'Docketed Comments'!H:H,0)),"")</f>
        <v>Madilyn, Rhodes</v>
      </c>
      <c r="I166" s="60" t="str">
        <f>IFERROR(INDEX('Docketed Comments'!D:D,MATCH(A166,'Docketed Comments'!H:H,0)),"")</f>
        <v>Phoenix</v>
      </c>
      <c r="J166" s="60" t="str">
        <f>IFERROR(INDEX('Docketed Comments'!I:I,MATCH(A166,'Docketed Comments'!H:H,0)),"")</f>
        <v>R3-47</v>
      </c>
      <c r="K166" s="60" t="str">
        <f t="shared" si="5"/>
        <v>❌ Not on Best Plan</v>
      </c>
      <c r="L166" s="60" t="str">
        <f>IFERROR(INDEX('Docketed Comments'!F:F,MATCH(A166,'Docketed Comments'!H:H,0)),"")</f>
        <v>Opposed-prioritizes share holders over customers</v>
      </c>
      <c r="M166" s="120" t="str">
        <f>IFERROR(INDEX('Docketed Comments'!G:G,MATCH(A166,'Docketed Comments'!H:H,0)),"")</f>
        <v>https://docket.images.azcc.gov/E000046578.pdf</v>
      </c>
      <c r="N166" s="118" t="str">
        <f>IFERROR(INDEX('Docketed Comments'!N:N,MATCH(A166,'Docketed Comments'!H:H,0)),"")</f>
        <v>No</v>
      </c>
      <c r="O166" s="118" t="str">
        <f>IFERROR(INDEX('Docketed Comments'!L:L,MATCH(A166,'Docketed Comments'!H:H,0)),"")</f>
        <v>No MEP R-BASIC ($254.29)</v>
      </c>
      <c r="P166" s="119">
        <f t="shared" si="4"/>
        <v>254.29</v>
      </c>
      <c r="Q166" s="60" t="s">
        <v>23</v>
      </c>
      <c r="R166" s="64" t="s">
        <v>24</v>
      </c>
      <c r="S166" s="64" t="s">
        <v>408</v>
      </c>
    </row>
    <row r="167" spans="1:19" ht="21.95" hidden="1" customHeight="1">
      <c r="A167" s="66" t="s">
        <v>409</v>
      </c>
      <c r="B167" s="64" t="s">
        <v>31</v>
      </c>
      <c r="C167" s="65">
        <v>46039</v>
      </c>
      <c r="D167" s="64" t="s">
        <v>27</v>
      </c>
      <c r="E167" s="64" t="s">
        <v>35</v>
      </c>
      <c r="F167" s="60" t="s">
        <v>410</v>
      </c>
      <c r="G167" s="60"/>
      <c r="H167" s="60" t="str">
        <f>IFERROR(INDEX('Docketed Comments'!C:C,MATCH(A167,'Docketed Comments'!H:H,0))&amp;", "&amp;INDEX('Docketed Comments'!B:B,MATCH(A167,'Docketed Comments'!H:H,0)),"")</f>
        <v>Samantha, Hill</v>
      </c>
      <c r="I167" s="60" t="str">
        <f>IFERROR(INDEX('Docketed Comments'!D:D,MATCH(A167,'Docketed Comments'!H:H,0)),"")</f>
        <v>Peoria</v>
      </c>
      <c r="J167" s="60" t="str">
        <f>IFERROR(INDEX('Docketed Comments'!I:I,MATCH(A167,'Docketed Comments'!H:H,0)),"")</f>
        <v>RTOUE47</v>
      </c>
      <c r="K167" s="60" t="str">
        <f t="shared" si="5"/>
        <v>❌ Not on Best Plan</v>
      </c>
      <c r="L167" s="60" t="str">
        <f>IFERROR(INDEX('Docketed Comments'!F:F,MATCH(A167,'Docketed Comments'!H:H,0)),"")</f>
        <v>APS needs to be kept inn check and ave rates controlled</v>
      </c>
      <c r="M167" s="120" t="str">
        <f>IFERROR(INDEX('Docketed Comments'!G:G,MATCH(A167,'Docketed Comments'!H:H,0)),"")</f>
        <v>https://docket.images.azcc.gov/E000046578.pdf</v>
      </c>
      <c r="N167" s="118" t="str">
        <f>IFERROR(INDEX('Docketed Comments'!N:N,MATCH(A167,'Docketed Comments'!H:H,0)),"")</f>
        <v>No</v>
      </c>
      <c r="O167" s="118" t="str">
        <f>IFERROR(INDEX('Docketed Comments'!L:L,MATCH(A167,'Docketed Comments'!H:H,0)),"")</f>
        <v>No MEP R3-47 ($65.89)</v>
      </c>
      <c r="P167" s="119">
        <f t="shared" si="4"/>
        <v>65.89</v>
      </c>
      <c r="Q167" s="60" t="s">
        <v>23</v>
      </c>
      <c r="R167" s="64" t="s">
        <v>24</v>
      </c>
      <c r="S167" s="64" t="s">
        <v>411</v>
      </c>
    </row>
    <row r="168" spans="1:19" ht="21.95" hidden="1" customHeight="1">
      <c r="A168" s="66" t="s">
        <v>412</v>
      </c>
      <c r="B168" s="64" t="s">
        <v>31</v>
      </c>
      <c r="C168" s="65">
        <v>46039</v>
      </c>
      <c r="D168" s="64" t="s">
        <v>27</v>
      </c>
      <c r="E168" s="64" t="s">
        <v>214</v>
      </c>
      <c r="F168" s="60" t="s">
        <v>413</v>
      </c>
      <c r="G168" s="60"/>
      <c r="H168" s="60" t="str">
        <f>IFERROR(INDEX('Docketed Comments'!C:C,MATCH(A168,'Docketed Comments'!H:H,0))&amp;", "&amp;INDEX('Docketed Comments'!B:B,MATCH(A168,'Docketed Comments'!H:H,0)),"")</f>
        <v>Dawn, Hoffner</v>
      </c>
      <c r="I168" s="60" t="str">
        <f>IFERROR(INDEX('Docketed Comments'!D:D,MATCH(A168,'Docketed Comments'!H:H,0)),"")</f>
        <v>Scottsdale</v>
      </c>
      <c r="J168" s="60" t="str">
        <f>IFERROR(INDEX('Docketed Comments'!I:I,MATCH(A168,'Docketed Comments'!H:H,0)),"")</f>
        <v>RTOUE47</v>
      </c>
      <c r="K168" s="60" t="str">
        <f t="shared" si="5"/>
        <v>❌ Not on Best Plan</v>
      </c>
      <c r="L168" s="60" t="str">
        <f>IFERROR(INDEX('Docketed Comments'!F:F,MATCH(A168,'Docketed Comments'!H:H,0)),"")</f>
        <v>Form letter</v>
      </c>
      <c r="M168" s="120" t="str">
        <f>IFERROR(INDEX('Docketed Comments'!G:G,MATCH(A168,'Docketed Comments'!H:H,0)),"")</f>
        <v>https://docket.images.azcc.gov/E000046578.pdf</v>
      </c>
      <c r="N168" s="118" t="str">
        <f>IFERROR(INDEX('Docketed Comments'!N:N,MATCH(A168,'Docketed Comments'!H:H,0)),"")</f>
        <v>No</v>
      </c>
      <c r="O168" s="118" t="str">
        <f>IFERROR(INDEX('Docketed Comments'!L:L,MATCH(A168,'Docketed Comments'!H:H,0)),"")</f>
        <v>No MEP R3-47 ($91.07)</v>
      </c>
      <c r="P168" s="119">
        <f t="shared" si="4"/>
        <v>91.07</v>
      </c>
      <c r="Q168" s="60" t="s">
        <v>23</v>
      </c>
      <c r="R168" s="64" t="s">
        <v>24</v>
      </c>
      <c r="S168" s="64" t="s">
        <v>414</v>
      </c>
    </row>
    <row r="169" spans="1:19" ht="21.95" hidden="1" customHeight="1">
      <c r="A169" s="66" t="s">
        <v>415</v>
      </c>
      <c r="B169" s="64" t="s">
        <v>31</v>
      </c>
      <c r="C169" s="65">
        <v>46053</v>
      </c>
      <c r="D169" s="64" t="s">
        <v>21</v>
      </c>
      <c r="E169" s="64" t="s">
        <v>22</v>
      </c>
      <c r="F169" s="60" t="s">
        <v>165</v>
      </c>
      <c r="G169" s="60"/>
      <c r="H169" s="60" t="str">
        <f>IFERROR(INDEX('Docketed Comments'!C:C,MATCH(A169,'Docketed Comments'!H:H,0))&amp;", "&amp;INDEX('Docketed Comments'!B:B,MATCH(A169,'Docketed Comments'!H:H,0)),"")</f>
        <v>Marisol, De Santiago</v>
      </c>
      <c r="I169" s="60" t="str">
        <f>IFERROR(INDEX('Docketed Comments'!D:D,MATCH(A169,'Docketed Comments'!H:H,0)),"")</f>
        <v>Buckeye</v>
      </c>
      <c r="J169" s="60" t="str">
        <f>IFERROR(INDEX('Docketed Comments'!I:I,MATCH(A169,'Docketed Comments'!H:H,0)),"")</f>
        <v>RTOUE47</v>
      </c>
      <c r="K169" s="60" t="str">
        <f t="shared" si="5"/>
        <v>❌ Not on Best Plan</v>
      </c>
      <c r="L169" s="60" t="str">
        <f>IFERROR(INDEX('Docketed Comments'!F:F,MATCH(A169,'Docketed Comments'!H:H,0)),"")</f>
        <v>I object</v>
      </c>
      <c r="M169" s="120" t="str">
        <f>IFERROR(INDEX('Docketed Comments'!G:G,MATCH(A169,'Docketed Comments'!H:H,0)),"")</f>
        <v>https://docket.images.azcc.gov/E000046586.pdf</v>
      </c>
      <c r="N169" s="118" t="str">
        <f>IFERROR(INDEX('Docketed Comments'!N:N,MATCH(A169,'Docketed Comments'!H:H,0)),"")</f>
        <v>No</v>
      </c>
      <c r="O169" s="118" t="str">
        <f>IFERROR(INDEX('Docketed Comments'!L:L,MATCH(A169,'Docketed Comments'!H:H,0)),"")</f>
        <v>No MEP R3-47(104.05)</v>
      </c>
      <c r="P169" s="119">
        <f t="shared" si="4"/>
        <v>104.05</v>
      </c>
      <c r="Q169" s="60" t="s">
        <v>23</v>
      </c>
      <c r="R169" s="64" t="s">
        <v>24</v>
      </c>
      <c r="S169" s="64" t="s">
        <v>416</v>
      </c>
    </row>
    <row r="170" spans="1:19" ht="21.95" hidden="1" customHeight="1">
      <c r="A170" s="66" t="s">
        <v>417</v>
      </c>
      <c r="B170" s="64" t="s">
        <v>31</v>
      </c>
      <c r="C170" s="65">
        <v>46053</v>
      </c>
      <c r="D170" s="64" t="s">
        <v>21</v>
      </c>
      <c r="E170" s="64" t="s">
        <v>22</v>
      </c>
      <c r="F170" s="60" t="s">
        <v>165</v>
      </c>
      <c r="G170" s="60"/>
      <c r="H170" s="60" t="str">
        <f>IFERROR(INDEX('Docketed Comments'!C:C,MATCH(A170,'Docketed Comments'!H:H,0))&amp;", "&amp;INDEX('Docketed Comments'!B:B,MATCH(A170,'Docketed Comments'!H:H,0)),"")</f>
        <v>Karen, Dietrich</v>
      </c>
      <c r="I170" s="60" t="str">
        <f>IFERROR(INDEX('Docketed Comments'!D:D,MATCH(A170,'Docketed Comments'!H:H,0)),"")</f>
        <v>Dewey</v>
      </c>
      <c r="J170" s="60" t="str">
        <f>IFERROR(INDEX('Docketed Comments'!I:I,MATCH(A170,'Docketed Comments'!H:H,0)),"")</f>
        <v>R-XS</v>
      </c>
      <c r="K170" s="60" t="str">
        <f t="shared" si="5"/>
        <v>❌ Not on Best Plan</v>
      </c>
      <c r="L170" s="60" t="str">
        <f>IFERROR(INDEX('Docketed Comments'!F:F,MATCH(A170,'Docketed Comments'!H:H,0)),"")</f>
        <v>Enough is enough with increases</v>
      </c>
      <c r="M170" s="120" t="str">
        <f>IFERROR(INDEX('Docketed Comments'!G:G,MATCH(A170,'Docketed Comments'!H:H,0)),"")</f>
        <v>https://docket.images.azcc.gov/E000046710.pdf</v>
      </c>
      <c r="N170" s="118" t="str">
        <f>IFERROR(INDEX('Docketed Comments'!N:N,MATCH(A170,'Docketed Comments'!H:H,0)),"")</f>
        <v>No</v>
      </c>
      <c r="O170" s="118" t="str">
        <f>IFERROR(INDEX('Docketed Comments'!L:L,MATCH(A170,'Docketed Comments'!H:H,0)),"")</f>
        <v>Not eligible</v>
      </c>
      <c r="P170" s="119">
        <f t="shared" si="4"/>
        <v>0</v>
      </c>
      <c r="Q170" s="60" t="s">
        <v>23</v>
      </c>
      <c r="R170" s="64" t="s">
        <v>24</v>
      </c>
      <c r="S170" s="64" t="s">
        <v>418</v>
      </c>
    </row>
    <row r="171" spans="1:19" ht="21.95" hidden="1" customHeight="1">
      <c r="A171" s="66" t="s">
        <v>419</v>
      </c>
      <c r="B171" s="64" t="s">
        <v>31</v>
      </c>
      <c r="C171" s="65">
        <v>46053</v>
      </c>
      <c r="D171" s="64" t="s">
        <v>21</v>
      </c>
      <c r="E171" s="64" t="s">
        <v>22</v>
      </c>
      <c r="F171" s="60" t="s">
        <v>165</v>
      </c>
      <c r="G171" s="60"/>
      <c r="H171" s="60" t="str">
        <f>IFERROR(INDEX('Docketed Comments'!C:C,MATCH(A171,'Docketed Comments'!H:H,0))&amp;", "&amp;INDEX('Docketed Comments'!B:B,MATCH(A171,'Docketed Comments'!H:H,0)),"")</f>
        <v>Linnette, Morales</v>
      </c>
      <c r="I171" s="60" t="str">
        <f>IFERROR(INDEX('Docketed Comments'!D:D,MATCH(A171,'Docketed Comments'!H:H,0)),"")</f>
        <v>Peoria</v>
      </c>
      <c r="J171" s="60" t="str">
        <f>IFERROR(INDEX('Docketed Comments'!I:I,MATCH(A171,'Docketed Comments'!H:H,0)),"")</f>
        <v>RTOUE47</v>
      </c>
      <c r="K171" s="60" t="str">
        <f t="shared" si="5"/>
        <v>❌ Not on Best Plan</v>
      </c>
      <c r="L171" s="60" t="str">
        <f>IFERROR(INDEX('Docketed Comments'!F:F,MATCH(A171,'Docketed Comments'!H:H,0)),"")</f>
        <v>Form letter</v>
      </c>
      <c r="M171" s="120" t="str">
        <f>IFERROR(INDEX('Docketed Comments'!G:G,MATCH(A171,'Docketed Comments'!H:H,0)),"")</f>
        <v>https://docket.images.azcc.gov/E000046710.pdf</v>
      </c>
      <c r="N171" s="118" t="str">
        <f>IFERROR(INDEX('Docketed Comments'!N:N,MATCH(A171,'Docketed Comments'!H:H,0)),"")</f>
        <v>No</v>
      </c>
      <c r="O171" s="118" t="str">
        <f>IFERROR(INDEX('Docketed Comments'!L:L,MATCH(A171,'Docketed Comments'!H:H,0)),"")</f>
        <v>No MEP R-XS(143.13)</v>
      </c>
      <c r="P171" s="119">
        <f t="shared" si="4"/>
        <v>143.13</v>
      </c>
      <c r="Q171" s="60" t="s">
        <v>23</v>
      </c>
      <c r="R171" s="64" t="s">
        <v>24</v>
      </c>
      <c r="S171" s="64" t="s">
        <v>420</v>
      </c>
    </row>
    <row r="172" spans="1:19" ht="21.95" hidden="1" customHeight="1">
      <c r="A172" s="66" t="s">
        <v>421</v>
      </c>
      <c r="B172" s="64" t="s">
        <v>31</v>
      </c>
      <c r="C172" s="65">
        <v>46053</v>
      </c>
      <c r="D172" s="64" t="s">
        <v>27</v>
      </c>
      <c r="E172" s="64" t="s">
        <v>35</v>
      </c>
      <c r="F172" s="60"/>
      <c r="G172" s="60"/>
      <c r="H172" s="60" t="str">
        <f>IFERROR(INDEX('Docketed Comments'!C:C,MATCH(A172,'Docketed Comments'!H:H,0))&amp;", "&amp;INDEX('Docketed Comments'!B:B,MATCH(A172,'Docketed Comments'!H:H,0)),"")</f>
        <v>Linda, Kapolas</v>
      </c>
      <c r="I172" s="60" t="str">
        <f>IFERROR(INDEX('Docketed Comments'!D:D,MATCH(A172,'Docketed Comments'!H:H,0)),"")</f>
        <v>Goodyear</v>
      </c>
      <c r="J172" s="60" t="str">
        <f>IFERROR(INDEX('Docketed Comments'!I:I,MATCH(A172,'Docketed Comments'!H:H,0)),"")</f>
        <v>RCPw/RTOUE47</v>
      </c>
      <c r="K172" s="60" t="str">
        <f t="shared" si="5"/>
        <v>❌ Not on Best Plan</v>
      </c>
      <c r="L172" s="60" t="str">
        <f>IFERROR(INDEX('Docketed Comments'!F:F,MATCH(A172,'Docketed Comments'!H:H,0)),"")</f>
        <v>From letter</v>
      </c>
      <c r="M172" s="120" t="str">
        <f>IFERROR(INDEX('Docketed Comments'!G:G,MATCH(A172,'Docketed Comments'!H:H,0)),"")</f>
        <v>https://docket.images.azcc.gov/E000046710.pdf</v>
      </c>
      <c r="N172" s="118" t="str">
        <f>IFERROR(INDEX('Docketed Comments'!N:N,MATCH(A172,'Docketed Comments'!H:H,0)),"")</f>
        <v>No</v>
      </c>
      <c r="O172" s="118" t="str">
        <f>IFERROR(INDEX('Docketed Comments'!L:L,MATCH(A172,'Docketed Comments'!H:H,0)),"")</f>
        <v>No MEP R3-47(7.05)</v>
      </c>
      <c r="P172" s="119">
        <f t="shared" si="4"/>
        <v>7.05</v>
      </c>
      <c r="Q172" s="60" t="s">
        <v>23</v>
      </c>
      <c r="R172" s="64" t="s">
        <v>24</v>
      </c>
      <c r="S172" s="64" t="s">
        <v>422</v>
      </c>
    </row>
    <row r="173" spans="1:19" ht="21.95" hidden="1" customHeight="1">
      <c r="A173" s="66" t="s">
        <v>423</v>
      </c>
      <c r="B173" s="64" t="s">
        <v>31</v>
      </c>
      <c r="C173" s="65">
        <v>46053</v>
      </c>
      <c r="D173" s="64" t="s">
        <v>27</v>
      </c>
      <c r="E173" s="64" t="s">
        <v>35</v>
      </c>
      <c r="F173" s="60" t="s">
        <v>99</v>
      </c>
      <c r="G173" s="60"/>
      <c r="H173" s="60" t="str">
        <f>IFERROR(INDEX('Docketed Comments'!C:C,MATCH(A173,'Docketed Comments'!H:H,0))&amp;", "&amp;INDEX('Docketed Comments'!B:B,MATCH(A173,'Docketed Comments'!H:H,0)),"")</f>
        <v>Kendall, Eskew</v>
      </c>
      <c r="I173" s="60" t="str">
        <f>IFERROR(INDEX('Docketed Comments'!D:D,MATCH(A173,'Docketed Comments'!H:H,0)),"")</f>
        <v>Buckeye</v>
      </c>
      <c r="J173" s="60" t="str">
        <f>IFERROR(INDEX('Docketed Comments'!I:I,MATCH(A173,'Docketed Comments'!H:H,0)),"")</f>
        <v>REV47</v>
      </c>
      <c r="K173" s="60" t="str">
        <f t="shared" si="5"/>
        <v>❌ Not on Best Plan</v>
      </c>
      <c r="L173" s="60" t="str">
        <f>IFERROR(INDEX('Docketed Comments'!F:F,MATCH(A173,'Docketed Comments'!H:H,0)),"")</f>
        <v>Opposed- Solar customers are to shoulder the financial burden</v>
      </c>
      <c r="M173" s="120" t="str">
        <f>IFERROR(INDEX('Docketed Comments'!G:G,MATCH(A173,'Docketed Comments'!H:H,0)),"")</f>
        <v>https://docket.images.azcc.gov/E000046709.pdf</v>
      </c>
      <c r="N173" s="118" t="str">
        <f>IFERROR(INDEX('Docketed Comments'!N:N,MATCH(A173,'Docketed Comments'!H:H,0)),"")</f>
        <v>No</v>
      </c>
      <c r="O173" s="118" t="str">
        <f>IFERROR(INDEX('Docketed Comments'!L:L,MATCH(A173,'Docketed Comments'!H:H,0)),"")</f>
        <v>No MEP R3-47(23.91)</v>
      </c>
      <c r="P173" s="119">
        <f t="shared" si="4"/>
        <v>23.91</v>
      </c>
      <c r="Q173" s="60" t="s">
        <v>23</v>
      </c>
      <c r="R173" s="64" t="s">
        <v>24</v>
      </c>
      <c r="S173" s="64" t="s">
        <v>424</v>
      </c>
    </row>
    <row r="174" spans="1:19" ht="21.95" hidden="1" customHeight="1">
      <c r="A174" s="66" t="s">
        <v>425</v>
      </c>
      <c r="B174" s="64" t="s">
        <v>31</v>
      </c>
      <c r="C174" s="65">
        <v>46053</v>
      </c>
      <c r="D174" s="64" t="s">
        <v>27</v>
      </c>
      <c r="E174" s="64" t="s">
        <v>35</v>
      </c>
      <c r="F174" s="60"/>
      <c r="G174" s="60"/>
      <c r="H174" s="60" t="str">
        <f>IFERROR(INDEX('Docketed Comments'!C:C,MATCH(A174,'Docketed Comments'!H:H,0))&amp;", "&amp;INDEX('Docketed Comments'!B:B,MATCH(A174,'Docketed Comments'!H:H,0)),"")</f>
        <v>Elliot, Simpson</v>
      </c>
      <c r="I174" s="60" t="str">
        <f>IFERROR(INDEX('Docketed Comments'!D:D,MATCH(A174,'Docketed Comments'!H:H,0)),"")</f>
        <v>Phoenix</v>
      </c>
      <c r="J174" s="60" t="str">
        <f>IFERROR(INDEX('Docketed Comments'!I:I,MATCH(A174,'Docketed Comments'!H:H,0)),"")</f>
        <v>REV47</v>
      </c>
      <c r="K174" s="60" t="str">
        <f t="shared" si="5"/>
        <v>❌ Not on Best Plan</v>
      </c>
      <c r="L174" s="60" t="str">
        <f>IFERROR(INDEX('Docketed Comments'!F:F,MATCH(A174,'Docketed Comments'!H:H,0)),"")</f>
        <v>Respectfully Opposed-already financially strained</v>
      </c>
      <c r="M174" s="120" t="str">
        <f>IFERROR(INDEX('Docketed Comments'!G:G,MATCH(A174,'Docketed Comments'!H:H,0)),"")</f>
        <v>https://edocket.azcc.gov/search/document-search/item-detail/448293</v>
      </c>
      <c r="N174" s="118" t="str">
        <f>IFERROR(INDEX('Docketed Comments'!N:N,MATCH(A174,'Docketed Comments'!H:H,0)),"")</f>
        <v>No</v>
      </c>
      <c r="O174" s="118" t="str">
        <f>IFERROR(INDEX('Docketed Comments'!L:L,MATCH(A174,'Docketed Comments'!H:H,0)),"")</f>
        <v>Not eligible yet (needs 3 months)</v>
      </c>
      <c r="P174" s="119">
        <f t="shared" si="4"/>
        <v>0</v>
      </c>
      <c r="Q174" s="60" t="s">
        <v>23</v>
      </c>
      <c r="R174" s="64" t="s">
        <v>24</v>
      </c>
      <c r="S174" s="64" t="s">
        <v>426</v>
      </c>
    </row>
    <row r="175" spans="1:19" ht="21.95" hidden="1" customHeight="1">
      <c r="A175" s="66" t="s">
        <v>427</v>
      </c>
      <c r="B175" s="64" t="s">
        <v>31</v>
      </c>
      <c r="C175" s="65">
        <v>46053</v>
      </c>
      <c r="D175" s="64" t="s">
        <v>21</v>
      </c>
      <c r="E175" s="64" t="s">
        <v>22</v>
      </c>
      <c r="F175" s="60" t="s">
        <v>165</v>
      </c>
      <c r="G175" s="60"/>
      <c r="H175" s="60" t="str">
        <f>IFERROR(INDEX('Docketed Comments'!C:C,MATCH(A175,'Docketed Comments'!H:H,0))&amp;", "&amp;INDEX('Docketed Comments'!B:B,MATCH(A175,'Docketed Comments'!H:H,0)),"")</f>
        <v>Linda, Rae</v>
      </c>
      <c r="I175" s="60" t="str">
        <f>IFERROR(INDEX('Docketed Comments'!D:D,MATCH(A175,'Docketed Comments'!H:H,0)),"")</f>
        <v>Prescott Valley</v>
      </c>
      <c r="J175" s="60" t="str">
        <f>IFERROR(INDEX('Docketed Comments'!I:I,MATCH(A175,'Docketed Comments'!H:H,0)),"")</f>
        <v>RTOUE47</v>
      </c>
      <c r="K175" s="60" t="str">
        <f t="shared" si="5"/>
        <v>❌ Not on Best Plan</v>
      </c>
      <c r="L175" s="60" t="str">
        <f>IFERROR(INDEX('Docketed Comments'!F:F,MATCH(A175,'Docketed Comments'!H:H,0)),"")</f>
        <v>Retiree, increase will cause hardship</v>
      </c>
      <c r="M175" s="120" t="str">
        <f>IFERROR(INDEX('Docketed Comments'!G:G,MATCH(A175,'Docketed Comments'!H:H,0)),"")</f>
        <v>https://docket.images.azcc.gov/E000046876.pdf</v>
      </c>
      <c r="N175" s="118" t="str">
        <f>IFERROR(INDEX('Docketed Comments'!N:N,MATCH(A175,'Docketed Comments'!H:H,0)),"")</f>
        <v>No</v>
      </c>
      <c r="O175" s="118" t="str">
        <f>IFERROR(INDEX('Docketed Comments'!L:L,MATCH(A175,'Docketed Comments'!H:H,0)),"")</f>
        <v>No MEP R-BASIC(90.00)</v>
      </c>
      <c r="P175" s="119">
        <f t="shared" si="4"/>
        <v>90</v>
      </c>
      <c r="Q175" s="60" t="s">
        <v>23</v>
      </c>
      <c r="R175" s="64" t="s">
        <v>24</v>
      </c>
      <c r="S175" s="124" t="s">
        <v>428</v>
      </c>
    </row>
    <row r="176" spans="1:19" ht="21.95" hidden="1" customHeight="1">
      <c r="A176" s="66" t="s">
        <v>429</v>
      </c>
      <c r="B176" s="64" t="s">
        <v>31</v>
      </c>
      <c r="C176" s="65">
        <v>46053</v>
      </c>
      <c r="D176" s="64" t="s">
        <v>21</v>
      </c>
      <c r="E176" s="64" t="s">
        <v>22</v>
      </c>
      <c r="F176" s="60" t="s">
        <v>165</v>
      </c>
      <c r="G176" s="60"/>
      <c r="H176" s="60" t="str">
        <f>IFERROR(INDEX('Docketed Comments'!C:C,MATCH(A176,'Docketed Comments'!H:H,0))&amp;", "&amp;INDEX('Docketed Comments'!B:B,MATCH(A176,'Docketed Comments'!H:H,0)),"")</f>
        <v>Cynthia, Tornetta</v>
      </c>
      <c r="I176" s="60" t="str">
        <f>IFERROR(INDEX('Docketed Comments'!D:D,MATCH(A176,'Docketed Comments'!H:H,0)),"")</f>
        <v>Unknown</v>
      </c>
      <c r="J176" s="60" t="str">
        <f>IFERROR(INDEX('Docketed Comments'!I:I,MATCH(A176,'Docketed Comments'!H:H,0)),"")</f>
        <v>R-BASICL</v>
      </c>
      <c r="K176" s="60" t="str">
        <f t="shared" si="5"/>
        <v>❌ Not on Best Plan</v>
      </c>
      <c r="L176" s="60" t="str">
        <f>IFERROR(INDEX('Docketed Comments'!F:F,MATCH(A176,'Docketed Comments'!H:H,0)),"")</f>
        <v>Opposed-please consider seniors,families,fixed income</v>
      </c>
      <c r="M176" s="120" t="str">
        <f>IFERROR(INDEX('Docketed Comments'!G:G,MATCH(A176,'Docketed Comments'!H:H,0)),"")</f>
        <v>https://docket.images.azcc.gov/E000046900.pdf</v>
      </c>
      <c r="N176" s="118" t="str">
        <f>IFERROR(INDEX('Docketed Comments'!N:N,MATCH(A176,'Docketed Comments'!H:H,0)),"")</f>
        <v>No</v>
      </c>
      <c r="O176" s="118" t="str">
        <f>IFERROR(INDEX('Docketed Comments'!L:L,MATCH(A176,'Docketed Comments'!H:H,0)),"")</f>
        <v>No MEP R3-47(68.47)</v>
      </c>
      <c r="P176" s="119">
        <f t="shared" si="4"/>
        <v>68.47</v>
      </c>
      <c r="Q176" s="60" t="s">
        <v>23</v>
      </c>
      <c r="R176" s="64" t="s">
        <v>24</v>
      </c>
      <c r="S176" s="64" t="s">
        <v>430</v>
      </c>
    </row>
    <row r="177" spans="1:19" ht="21.95" hidden="1" customHeight="1">
      <c r="A177" s="66" t="s">
        <v>431</v>
      </c>
      <c r="B177" s="64" t="s">
        <v>31</v>
      </c>
      <c r="C177" s="65">
        <v>46032</v>
      </c>
      <c r="D177" s="64" t="s">
        <v>21</v>
      </c>
      <c r="E177" s="64" t="s">
        <v>22</v>
      </c>
      <c r="F177" s="60" t="s">
        <v>432</v>
      </c>
      <c r="G177" s="60"/>
      <c r="H177" s="60" t="str">
        <f>IFERROR(INDEX('Docketed Comments'!C:C,MATCH(A177,'Docketed Comments'!H:H,0))&amp;", "&amp;INDEX('Docketed Comments'!B:B,MATCH(A177,'Docketed Comments'!H:H,0)),"")</f>
        <v>Brenda, Myers</v>
      </c>
      <c r="I177" s="60" t="str">
        <f>IFERROR(INDEX('Docketed Comments'!D:D,MATCH(A177,'Docketed Comments'!H:H,0)),"")</f>
        <v>Sun City</v>
      </c>
      <c r="J177" s="60" t="str">
        <f>IFERROR(INDEX('Docketed Comments'!I:I,MATCH(A177,'Docketed Comments'!H:H,0)),"")</f>
        <v>R-BASICL</v>
      </c>
      <c r="K177" s="60" t="str">
        <f t="shared" si="5"/>
        <v>❌ Not on Best Plan</v>
      </c>
      <c r="L177" s="60" t="str">
        <f>IFERROR(INDEX('Docketed Comments'!F:F,MATCH(A177,'Docketed Comments'!H:H,0)),"")</f>
        <v>Form Letter: Enough is enough! You must reject the latest 14% rate hikes by APS and TEP</v>
      </c>
      <c r="M177" s="120" t="str">
        <f>IFERROR(INDEX('Docketed Comments'!G:G,MATCH(A177,'Docketed Comments'!H:H,0)),"")</f>
        <v>https://docket.images.azcc.gov/E000046970.pdf</v>
      </c>
      <c r="N177" s="118" t="str">
        <f>IFERROR(INDEX('Docketed Comments'!N:N,MATCH(A177,'Docketed Comments'!H:H,0)),"")</f>
        <v>No</v>
      </c>
      <c r="O177" s="118" t="str">
        <f>IFERROR(INDEX('Docketed Comments'!L:L,MATCH(A177,'Docketed Comments'!H:H,0)),"")</f>
        <v xml:space="preserve">No MEP R3-47 ($272.50) </v>
      </c>
      <c r="P177" s="119">
        <f t="shared" si="4"/>
        <v>272.5</v>
      </c>
      <c r="Q177" s="60" t="s">
        <v>23</v>
      </c>
      <c r="R177" s="64" t="s">
        <v>24</v>
      </c>
      <c r="S177" s="64" t="s">
        <v>433</v>
      </c>
    </row>
    <row r="178" spans="1:19" ht="21.95" hidden="1" customHeight="1">
      <c r="A178" s="66" t="s">
        <v>434</v>
      </c>
      <c r="B178" s="64" t="s">
        <v>31</v>
      </c>
      <c r="C178" s="65">
        <v>46053</v>
      </c>
      <c r="D178" s="64" t="s">
        <v>27</v>
      </c>
      <c r="E178" s="64" t="s">
        <v>35</v>
      </c>
      <c r="F178" s="60"/>
      <c r="G178" s="60"/>
      <c r="H178" s="60" t="str">
        <f>IFERROR(INDEX('Docketed Comments'!C:C,MATCH(A178,'Docketed Comments'!H:H,0))&amp;", "&amp;INDEX('Docketed Comments'!B:B,MATCH(A178,'Docketed Comments'!H:H,0)),"")</f>
        <v>Gene, Holcombe</v>
      </c>
      <c r="I178" s="60" t="str">
        <f>IFERROR(INDEX('Docketed Comments'!D:D,MATCH(A178,'Docketed Comments'!H:H,0)),"")</f>
        <v>Cave Creek</v>
      </c>
      <c r="J178" s="60" t="str">
        <f>IFERROR(INDEX('Docketed Comments'!I:I,MATCH(A178,'Docketed Comments'!H:H,0)),"")</f>
        <v>RCPw/RTOUE47</v>
      </c>
      <c r="K178" s="60" t="str">
        <f t="shared" si="5"/>
        <v>❌ Not on Best Plan</v>
      </c>
      <c r="L178" s="60" t="str">
        <f>IFERROR(INDEX('Docketed Comments'!F:F,MATCH(A178,'Docketed Comments'!H:H,0)),"")</f>
        <v>Form Letter: Enough is enough! You must reject the latest 14% rate hikes by APS and TEP</v>
      </c>
      <c r="M178" s="120" t="str">
        <f>IFERROR(INDEX('Docketed Comments'!G:G,MATCH(A178,'Docketed Comments'!H:H,0)),"")</f>
        <v>https://docket.images.azcc.gov/E000046970.pdf</v>
      </c>
      <c r="N178" s="118" t="str">
        <f>IFERROR(INDEX('Docketed Comments'!N:N,MATCH(A178,'Docketed Comments'!H:H,0)),"")</f>
        <v>No</v>
      </c>
      <c r="O178" s="118" t="str">
        <f>IFERROR(INDEX('Docketed Comments'!L:L,MATCH(A178,'Docketed Comments'!H:H,0)),"")</f>
        <v>Not eligible yet (needs 3 months)</v>
      </c>
      <c r="P178" s="119">
        <f t="shared" si="4"/>
        <v>0</v>
      </c>
      <c r="Q178" s="60" t="s">
        <v>23</v>
      </c>
      <c r="R178" s="64" t="s">
        <v>24</v>
      </c>
      <c r="S178" s="64" t="s">
        <v>435</v>
      </c>
    </row>
    <row r="179" spans="1:19" ht="21.95" hidden="1" customHeight="1">
      <c r="A179" s="66" t="s">
        <v>436</v>
      </c>
      <c r="B179" s="64" t="s">
        <v>31</v>
      </c>
      <c r="C179" s="65">
        <v>46032</v>
      </c>
      <c r="D179" s="64" t="s">
        <v>21</v>
      </c>
      <c r="E179" s="64" t="s">
        <v>22</v>
      </c>
      <c r="F179" s="60" t="s">
        <v>57</v>
      </c>
      <c r="G179" s="60"/>
      <c r="H179" s="60" t="str">
        <f>IFERROR(INDEX('Docketed Comments'!C:C,MATCH(A179,'Docketed Comments'!H:H,0))&amp;", "&amp;INDEX('Docketed Comments'!B:B,MATCH(A179,'Docketed Comments'!H:H,0)),"")</f>
        <v>Danielle, Foti</v>
      </c>
      <c r="I179" s="60" t="str">
        <f>IFERROR(INDEX('Docketed Comments'!D:D,MATCH(A179,'Docketed Comments'!H:H,0)),"")</f>
        <v>Bisbee</v>
      </c>
      <c r="J179" s="60" t="str">
        <f>IFERROR(INDEX('Docketed Comments'!I:I,MATCH(A179,'Docketed Comments'!H:H,0)),"")</f>
        <v>RTOUE47</v>
      </c>
      <c r="K179" s="60" t="str">
        <f t="shared" si="5"/>
        <v>❌ Not on Best Plan</v>
      </c>
      <c r="L179" s="60" t="str">
        <f>IFERROR(INDEX('Docketed Comments'!F:F,MATCH(A179,'Docketed Comments'!H:H,0)),"")</f>
        <v>Opposed - Arizonans are already struggling with inflation</v>
      </c>
      <c r="M179" s="120" t="str">
        <f>IFERROR(INDEX('Docketed Comments'!G:G,MATCH(A179,'Docketed Comments'!H:H,0)),"")</f>
        <v>https://docket.images.azcc.gov/E000047024.pdf</v>
      </c>
      <c r="N179" s="118" t="str">
        <f>IFERROR(INDEX('Docketed Comments'!N:N,MATCH(A179,'Docketed Comments'!H:H,0)),"")</f>
        <v>No</v>
      </c>
      <c r="O179" s="118" t="str">
        <f>IFERROR(INDEX('Docketed Comments'!L:L,MATCH(A179,'Docketed Comments'!H:H,0)),"")</f>
        <v>No MEP R-XS ($108.43)</v>
      </c>
      <c r="P179" s="119">
        <f t="shared" si="4"/>
        <v>108.43</v>
      </c>
      <c r="Q179" s="60" t="s">
        <v>23</v>
      </c>
      <c r="R179" s="64" t="s">
        <v>24</v>
      </c>
      <c r="S179" s="64" t="s">
        <v>437</v>
      </c>
    </row>
    <row r="180" spans="1:19" ht="21.95" hidden="1" customHeight="1">
      <c r="A180" s="66" t="s">
        <v>438</v>
      </c>
      <c r="B180" s="64" t="s">
        <v>31</v>
      </c>
      <c r="C180" s="65">
        <v>46032</v>
      </c>
      <c r="D180" s="64"/>
      <c r="E180" s="64" t="s">
        <v>35</v>
      </c>
      <c r="F180" s="60" t="s">
        <v>432</v>
      </c>
      <c r="G180" s="60"/>
      <c r="H180" s="60" t="str">
        <f>IFERROR(INDEX('Docketed Comments'!C:C,MATCH(A180,'Docketed Comments'!H:H,0))&amp;", "&amp;INDEX('Docketed Comments'!B:B,MATCH(A180,'Docketed Comments'!H:H,0)),"")</f>
        <v>Jaime, Grimwood</v>
      </c>
      <c r="I180" s="60" t="str">
        <f>IFERROR(INDEX('Docketed Comments'!D:D,MATCH(A180,'Docketed Comments'!H:H,0)),"")</f>
        <v>Phoenix</v>
      </c>
      <c r="J180" s="60" t="str">
        <f>IFERROR(INDEX('Docketed Comments'!I:I,MATCH(A180,'Docketed Comments'!H:H,0)),"")</f>
        <v>R-BASICL</v>
      </c>
      <c r="K180" s="60" t="str">
        <f t="shared" si="5"/>
        <v>❌ Not on Best Plan</v>
      </c>
      <c r="L180" s="60" t="str">
        <f>IFERROR(INDEX('Docketed Comments'!F:F,MATCH(A180,'Docketed Comments'!H:H,0)),"")</f>
        <v>Form Letter: Enough is enough! You must reject the latest 14% rate hikes by APS and TEP</v>
      </c>
      <c r="M180" s="120" t="str">
        <f>IFERROR(INDEX('Docketed Comments'!G:G,MATCH(A180,'Docketed Comments'!H:H,0)),"")</f>
        <v>https://docket.images.azcc.gov/E000046996.pdf</v>
      </c>
      <c r="N180" s="118" t="str">
        <f>IFERROR(INDEX('Docketed Comments'!N:N,MATCH(A180,'Docketed Comments'!H:H,0)),"")</f>
        <v>No</v>
      </c>
      <c r="O180" s="118" t="str">
        <f>IFERROR(INDEX('Docketed Comments'!L:L,MATCH(A180,'Docketed Comments'!H:H,0)),"")</f>
        <v>No MEP R3-47 ($437.04)</v>
      </c>
      <c r="P180" s="119">
        <f t="shared" si="4"/>
        <v>437.04</v>
      </c>
      <c r="Q180" s="60" t="s">
        <v>23</v>
      </c>
      <c r="R180" s="64" t="s">
        <v>24</v>
      </c>
      <c r="S180" s="64" t="s">
        <v>439</v>
      </c>
    </row>
    <row r="181" spans="1:19" ht="21.95" hidden="1" customHeight="1">
      <c r="A181" s="66" t="s">
        <v>440</v>
      </c>
      <c r="B181" s="64" t="s">
        <v>31</v>
      </c>
      <c r="C181" s="65">
        <v>46039</v>
      </c>
      <c r="D181" s="64" t="s">
        <v>21</v>
      </c>
      <c r="E181" s="64" t="s">
        <v>22</v>
      </c>
      <c r="F181" s="60" t="s">
        <v>99</v>
      </c>
      <c r="G181" s="60"/>
      <c r="H181" s="60" t="str">
        <f>IFERROR(INDEX('Docketed Comments'!C:C,MATCH(A181,'Docketed Comments'!H:H,0))&amp;", "&amp;INDEX('Docketed Comments'!B:B,MATCH(A181,'Docketed Comments'!H:H,0)),"")</f>
        <v>Joseph, Terranova</v>
      </c>
      <c r="I181" s="60" t="str">
        <f>IFERROR(INDEX('Docketed Comments'!D:D,MATCH(A181,'Docketed Comments'!H:H,0)),"")</f>
        <v>Yuma</v>
      </c>
      <c r="J181" s="60" t="str">
        <f>IFERROR(INDEX('Docketed Comments'!I:I,MATCH(A181,'Docketed Comments'!H:H,0)),"")</f>
        <v>RCPw/RTOUE47</v>
      </c>
      <c r="K181" s="60" t="str">
        <f t="shared" si="5"/>
        <v>❌ Not on Best Plan</v>
      </c>
      <c r="L181" s="60" t="str">
        <f>IFERROR(INDEX('Docketed Comments'!F:F,MATCH(A181,'Docketed Comments'!H:H,0)),"")</f>
        <v>belt-tightening needed here</v>
      </c>
      <c r="M181" s="120" t="str">
        <f>IFERROR(INDEX('Docketed Comments'!G:G,MATCH(A181,'Docketed Comments'!H:H,0)),"")</f>
        <v>https://docket.images.azcc.gov/E000047091.pdf</v>
      </c>
      <c r="N181" s="118" t="str">
        <f>IFERROR(INDEX('Docketed Comments'!N:N,MATCH(A181,'Docketed Comments'!H:H,0)),"")</f>
        <v>No</v>
      </c>
      <c r="O181" s="118" t="str">
        <f>IFERROR(INDEX('Docketed Comments'!L:L,MATCH(A181,'Docketed Comments'!H:H,0)),"")</f>
        <v>No MEP R3-47 ($42.77)</v>
      </c>
      <c r="P181" s="119">
        <f t="shared" si="4"/>
        <v>42.77</v>
      </c>
      <c r="Q181" s="60" t="s">
        <v>23</v>
      </c>
      <c r="R181" s="64" t="s">
        <v>24</v>
      </c>
      <c r="S181" s="64" t="s">
        <v>441</v>
      </c>
    </row>
    <row r="182" spans="1:19" ht="21.95" hidden="1" customHeight="1">
      <c r="A182" s="66" t="s">
        <v>442</v>
      </c>
      <c r="B182" s="64" t="s">
        <v>31</v>
      </c>
      <c r="C182" s="65">
        <v>45997</v>
      </c>
      <c r="D182" s="64" t="s">
        <v>21</v>
      </c>
      <c r="E182" s="64" t="s">
        <v>22</v>
      </c>
      <c r="F182" s="60" t="s">
        <v>443</v>
      </c>
      <c r="G182" s="60"/>
      <c r="H182" s="60" t="str">
        <f>IFERROR(INDEX('Docketed Comments'!C:C,MATCH(A182,'Docketed Comments'!H:H,0))&amp;", "&amp;INDEX('Docketed Comments'!B:B,MATCH(A182,'Docketed Comments'!H:H,0)),"")</f>
        <v>Magi, VanCleave</v>
      </c>
      <c r="I182" s="60" t="str">
        <f>IFERROR(INDEX('Docketed Comments'!D:D,MATCH(A182,'Docketed Comments'!H:H,0)),"")</f>
        <v>Flagstaff</v>
      </c>
      <c r="J182" s="60" t="str">
        <f>IFERROR(INDEX('Docketed Comments'!I:I,MATCH(A182,'Docketed Comments'!H:H,0)),"")</f>
        <v>R-BASIC</v>
      </c>
      <c r="K182" s="60" t="str">
        <f t="shared" si="5"/>
        <v>❌ Not on Best Plan</v>
      </c>
      <c r="L182" s="60" t="str">
        <f>IFERROR(INDEX('Docketed Comments'!F:F,MATCH(A182,'Docketed Comments'!H:H,0)),"")</f>
        <v>Pad corporate profits at the expense of AZ consumers</v>
      </c>
      <c r="M182" s="120" t="str">
        <f>IFERROR(INDEX('Docketed Comments'!G:G,MATCH(A182,'Docketed Comments'!H:H,0)),"")</f>
        <v>https://docket.images.azcc.gov/E000047091.pdf</v>
      </c>
      <c r="N182" s="118" t="str">
        <f>IFERROR(INDEX('Docketed Comments'!N:N,MATCH(A182,'Docketed Comments'!H:H,0)),"")</f>
        <v>No</v>
      </c>
      <c r="O182" s="118" t="str">
        <f>IFERROR(INDEX('Docketed Comments'!L:L,MATCH(A182,'Docketed Comments'!H:H,0)),"")</f>
        <v>No MEP TOUE ($29.42)</v>
      </c>
      <c r="P182" s="119">
        <f t="shared" si="4"/>
        <v>29.42</v>
      </c>
      <c r="Q182" s="60" t="s">
        <v>23</v>
      </c>
      <c r="R182" s="64" t="s">
        <v>24</v>
      </c>
      <c r="S182" s="64" t="s">
        <v>444</v>
      </c>
    </row>
    <row r="183" spans="1:19" ht="21.95" customHeight="1">
      <c r="A183" s="66" t="s">
        <v>445</v>
      </c>
      <c r="B183" s="64"/>
      <c r="C183" s="65"/>
      <c r="D183" s="64"/>
      <c r="E183" s="64"/>
      <c r="F183" s="60"/>
      <c r="G183" s="60" t="s">
        <v>88</v>
      </c>
      <c r="H183" s="60" t="str">
        <f>IFERROR(INDEX('Docketed Comments'!C:C,MATCH(A183,'Docketed Comments'!H:H,0))&amp;", "&amp;INDEX('Docketed Comments'!B:B,MATCH(A183,'Docketed Comments'!H:H,0)),"")</f>
        <v>Bruce, Margolis</v>
      </c>
      <c r="I183" s="60" t="str">
        <f>IFERROR(INDEX('Docketed Comments'!D:D,MATCH(A183,'Docketed Comments'!H:H,0)),"")</f>
        <v>Parker</v>
      </c>
      <c r="J183" s="60" t="str">
        <f>IFERROR(INDEX('Docketed Comments'!I:I,MATCH(A183,'Docketed Comments'!H:H,0)),"")</f>
        <v>R-BASIC</v>
      </c>
      <c r="K183" s="60" t="str">
        <f t="shared" si="5"/>
        <v>⚠ 0</v>
      </c>
      <c r="L183" s="60" t="str">
        <f>IFERROR(INDEX('Docketed Comments'!F:F,MATCH(A183,'Docketed Comments'!H:H,0)),"")</f>
        <v>Express my frustration and disappointment regarding the recent rate increases</v>
      </c>
      <c r="M183" s="120" t="str">
        <f>IFERROR(INDEX('Docketed Comments'!G:G,MATCH(A183,'Docketed Comments'!H:H,0)),"")</f>
        <v>https://docket.images.azcc.gov/E000047089.pdf</v>
      </c>
      <c r="N183" s="118" t="str">
        <f>IFERROR(INDEX('Docketed Comments'!N:N,MATCH(A183,'Docketed Comments'!H:H,0)),"")</f>
        <v>No</v>
      </c>
      <c r="O183" s="118">
        <f>IFERROR(INDEX('Docketed Comments'!L:L,MATCH(A183,'Docketed Comments'!H:H,0)),"")</f>
        <v>0</v>
      </c>
      <c r="P183" s="119">
        <f t="shared" si="4"/>
        <v>0</v>
      </c>
      <c r="Q183" s="60"/>
      <c r="R183" s="64" t="s">
        <v>75</v>
      </c>
      <c r="S183" s="64" t="s">
        <v>446</v>
      </c>
    </row>
    <row r="184" spans="1:19" ht="21.95" hidden="1" customHeight="1">
      <c r="A184" s="66" t="s">
        <v>447</v>
      </c>
      <c r="B184" s="64" t="s">
        <v>31</v>
      </c>
      <c r="C184" s="65">
        <v>46039</v>
      </c>
      <c r="D184" s="64" t="s">
        <v>21</v>
      </c>
      <c r="E184" s="64" t="s">
        <v>22</v>
      </c>
      <c r="F184" s="60" t="s">
        <v>443</v>
      </c>
      <c r="G184" s="60"/>
      <c r="H184" s="60" t="str">
        <f>IFERROR(INDEX('Docketed Comments'!C:C,MATCH(A184,'Docketed Comments'!H:H,0))&amp;", "&amp;INDEX('Docketed Comments'!B:B,MATCH(A184,'Docketed Comments'!H:H,0)),"")</f>
        <v>Preston, Davenport</v>
      </c>
      <c r="I184" s="60" t="str">
        <f>IFERROR(INDEX('Docketed Comments'!D:D,MATCH(A184,'Docketed Comments'!H:H,0)),"")</f>
        <v>Phoenix</v>
      </c>
      <c r="J184" s="60" t="str">
        <f>IFERROR(INDEX('Docketed Comments'!I:I,MATCH(A184,'Docketed Comments'!H:H,0)),"")</f>
        <v>R-XS</v>
      </c>
      <c r="K184" s="60" t="str">
        <f t="shared" si="5"/>
        <v>❌ Not on Best Plan</v>
      </c>
      <c r="L184" s="60" t="str">
        <f>IFERROR(INDEX('Docketed Comments'!F:F,MATCH(A184,'Docketed Comments'!H:H,0)),"")</f>
        <v>Rate hike would make it harder for working residents - concerned that this appears to subsidize data centers</v>
      </c>
      <c r="M184" s="120" t="str">
        <f>IFERROR(INDEX('Docketed Comments'!G:G,MATCH(A184,'Docketed Comments'!H:H,0)),"")</f>
        <v>https://docket.images.azcc.gov/E000047136.pdf</v>
      </c>
      <c r="N184" s="118" t="str">
        <f>IFERROR(INDEX('Docketed Comments'!N:N,MATCH(A184,'Docketed Comments'!H:H,0)),"")</f>
        <v>No</v>
      </c>
      <c r="O184" s="118" t="str">
        <f>IFERROR(INDEX('Docketed Comments'!L:L,MATCH(A184,'Docketed Comments'!H:H,0)),"")</f>
        <v>No MEP R3-47 ($84.40)</v>
      </c>
      <c r="P184" s="119">
        <f t="shared" si="4"/>
        <v>84.4</v>
      </c>
      <c r="Q184" s="60" t="s">
        <v>23</v>
      </c>
      <c r="R184" s="64" t="s">
        <v>24</v>
      </c>
      <c r="S184" s="64" t="s">
        <v>448</v>
      </c>
    </row>
    <row r="185" spans="1:19" ht="21.95" hidden="1" customHeight="1">
      <c r="A185" s="66" t="s">
        <v>449</v>
      </c>
      <c r="B185" s="64" t="s">
        <v>31</v>
      </c>
      <c r="C185" s="65">
        <v>46032</v>
      </c>
      <c r="D185" s="64" t="s">
        <v>21</v>
      </c>
      <c r="E185" s="64" t="s">
        <v>22</v>
      </c>
      <c r="F185" s="60" t="s">
        <v>344</v>
      </c>
      <c r="G185" s="60"/>
      <c r="H185" s="60" t="str">
        <f>IFERROR(INDEX('Docketed Comments'!C:C,MATCH(A185,'Docketed Comments'!H:H,0))&amp;", "&amp;INDEX('Docketed Comments'!B:B,MATCH(A185,'Docketed Comments'!H:H,0)),"")</f>
        <v>Xiomara, Cantore</v>
      </c>
      <c r="I185" s="60" t="str">
        <f>IFERROR(INDEX('Docketed Comments'!D:D,MATCH(A185,'Docketed Comments'!H:H,0)),"")</f>
        <v>Surprise</v>
      </c>
      <c r="J185" s="60" t="str">
        <f>IFERROR(INDEX('Docketed Comments'!I:I,MATCH(A185,'Docketed Comments'!H:H,0)),"")</f>
        <v>RTOUE47</v>
      </c>
      <c r="K185" s="60" t="str">
        <f t="shared" si="5"/>
        <v>❌ Not on Best Plan</v>
      </c>
      <c r="L185" s="60" t="str">
        <f>IFERROR(INDEX('Docketed Comments'!F:F,MATCH(A185,'Docketed Comments'!H:H,0)),"")</f>
        <v>Form Letter: Enough is enough! You must reject the latest 14% rate hikes by APS and TEP</v>
      </c>
      <c r="M185" s="120" t="str">
        <f>IFERROR(INDEX('Docketed Comments'!G:G,MATCH(A185,'Docketed Comments'!H:H,0)),"")</f>
        <v>https://docket.images.azcc.gov/E000047270.pdf</v>
      </c>
      <c r="N185" s="118" t="str">
        <f>IFERROR(INDEX('Docketed Comments'!N:N,MATCH(A185,'Docketed Comments'!H:H,0)),"")</f>
        <v>No</v>
      </c>
      <c r="O185" s="118" t="str">
        <f>IFERROR(INDEX('Docketed Comments'!L:L,MATCH(A185,'Docketed Comments'!H:H,0)),"")</f>
        <v>No MEP RBASIC ($65.01)</v>
      </c>
      <c r="P185" s="119">
        <f t="shared" si="4"/>
        <v>65.010000000000005</v>
      </c>
      <c r="Q185" s="60" t="s">
        <v>23</v>
      </c>
      <c r="R185" s="64" t="s">
        <v>24</v>
      </c>
      <c r="S185" s="64" t="s">
        <v>450</v>
      </c>
    </row>
    <row r="186" spans="1:19" ht="21.95" hidden="1" customHeight="1">
      <c r="A186" s="66" t="s">
        <v>451</v>
      </c>
      <c r="B186" s="64" t="s">
        <v>31</v>
      </c>
      <c r="C186" s="65">
        <v>46053</v>
      </c>
      <c r="D186" s="64" t="s">
        <v>27</v>
      </c>
      <c r="E186" s="64" t="s">
        <v>35</v>
      </c>
      <c r="F186" s="60" t="s">
        <v>452</v>
      </c>
      <c r="G186" s="60"/>
      <c r="H186" s="60" t="str">
        <f>IFERROR(INDEX('Docketed Comments'!C:C,MATCH(A186,'Docketed Comments'!H:H,0))&amp;", "&amp;INDEX('Docketed Comments'!B:B,MATCH(A186,'Docketed Comments'!H:H,0)),"")</f>
        <v>Joi, Ponce</v>
      </c>
      <c r="I186" s="60" t="str">
        <f>IFERROR(INDEX('Docketed Comments'!D:D,MATCH(A186,'Docketed Comments'!H:H,0)),"")</f>
        <v>Phoenix</v>
      </c>
      <c r="J186" s="60" t="str">
        <f>IFERROR(INDEX('Docketed Comments'!I:I,MATCH(A186,'Docketed Comments'!H:H,0)),"")</f>
        <v>R-BASIC</v>
      </c>
      <c r="K186" s="60" t="str">
        <f t="shared" si="5"/>
        <v>❌ Not on Best Plan</v>
      </c>
      <c r="L186" s="60" t="str">
        <f>IFERROR(INDEX('Docketed Comments'!F:F,MATCH(A186,'Docketed Comments'!H:H,0)),"")</f>
        <v>Form Letter: For families like mine this is simply too much</v>
      </c>
      <c r="M186" s="120" t="str">
        <f>IFERROR(INDEX('Docketed Comments'!G:G,MATCH(A186,'Docketed Comments'!H:H,0)),"")</f>
        <v>https://docket.images.azcc.gov/E000047324.pdf</v>
      </c>
      <c r="N186" s="118" t="str">
        <f>IFERROR(INDEX('Docketed Comments'!N:N,MATCH(A186,'Docketed Comments'!H:H,0)),"")</f>
        <v>No</v>
      </c>
      <c r="O186" s="118" t="str">
        <f>IFERROR(INDEX('Docketed Comments'!L:L,MATCH(A186,'Docketed Comments'!H:H,0)),"")</f>
        <v>Not eligible yet (needs 3 months)</v>
      </c>
      <c r="P186" s="119">
        <f t="shared" si="4"/>
        <v>0</v>
      </c>
      <c r="Q186" s="60" t="s">
        <v>23</v>
      </c>
      <c r="R186" s="64" t="s">
        <v>24</v>
      </c>
      <c r="S186" s="64" t="s">
        <v>453</v>
      </c>
    </row>
    <row r="187" spans="1:19" ht="21.95" hidden="1" customHeight="1">
      <c r="A187" s="66" t="s">
        <v>454</v>
      </c>
      <c r="B187" s="64" t="s">
        <v>31</v>
      </c>
      <c r="C187" s="65">
        <v>46032</v>
      </c>
      <c r="D187" s="64" t="s">
        <v>21</v>
      </c>
      <c r="E187" s="64" t="s">
        <v>22</v>
      </c>
      <c r="F187" s="60" t="s">
        <v>455</v>
      </c>
      <c r="G187" s="60"/>
      <c r="H187" s="60" t="str">
        <f>IFERROR(INDEX('Docketed Comments'!C:C,MATCH(A187,'Docketed Comments'!H:H,0))&amp;", "&amp;INDEX('Docketed Comments'!B:B,MATCH(A187,'Docketed Comments'!H:H,0)),"")</f>
        <v>Jennifer, Sellers</v>
      </c>
      <c r="I187" s="60" t="str">
        <f>IFERROR(INDEX('Docketed Comments'!D:D,MATCH(A187,'Docketed Comments'!H:H,0)),"")</f>
        <v>Flagstaff</v>
      </c>
      <c r="J187" s="60" t="str">
        <f>IFERROR(INDEX('Docketed Comments'!I:I,MATCH(A187,'Docketed Comments'!H:H,0)),"")</f>
        <v>Multiple SAs</v>
      </c>
      <c r="K187" s="60" t="str">
        <f t="shared" si="5"/>
        <v>❌ Not on Best Plan</v>
      </c>
      <c r="L187" s="60" t="str">
        <f>IFERROR(INDEX('Docketed Comments'!F:F,MATCH(A187,'Docketed Comments'!H:H,0)),"")</f>
        <v>Form Letter: For families like mine this is simply too much</v>
      </c>
      <c r="M187" s="120" t="str">
        <f>IFERROR(INDEX('Docketed Comments'!G:G,MATCH(A187,'Docketed Comments'!H:H,0)),"")</f>
        <v>https://docket.images.azcc.gov/E000047398.pdf</v>
      </c>
      <c r="N187" s="118" t="str">
        <f>IFERROR(INDEX('Docketed Comments'!N:N,MATCH(A187,'Docketed Comments'!H:H,0)),"")</f>
        <v>No</v>
      </c>
      <c r="O187" s="118" t="str">
        <f>IFERROR(INDEX('Docketed Comments'!L:L,MATCH(A187,'Docketed Comments'!H:H,0)),"")</f>
        <v>No MEP R3-47 ($176.69)</v>
      </c>
      <c r="P187" s="119">
        <f t="shared" si="4"/>
        <v>176.69</v>
      </c>
      <c r="Q187" s="60" t="s">
        <v>23</v>
      </c>
      <c r="R187" s="64" t="s">
        <v>24</v>
      </c>
      <c r="S187" s="64" t="s">
        <v>456</v>
      </c>
    </row>
    <row r="188" spans="1:19" ht="21.95" hidden="1" customHeight="1">
      <c r="A188" s="66" t="s">
        <v>457</v>
      </c>
      <c r="B188" s="64" t="s">
        <v>31</v>
      </c>
      <c r="C188" s="65">
        <v>46032</v>
      </c>
      <c r="D188" s="64" t="s">
        <v>21</v>
      </c>
      <c r="E188" s="64" t="s">
        <v>22</v>
      </c>
      <c r="F188" s="60" t="s">
        <v>65</v>
      </c>
      <c r="G188" s="60"/>
      <c r="H188" s="60" t="str">
        <f>IFERROR(INDEX('Docketed Comments'!C:C,MATCH(A188,'Docketed Comments'!H:H,0))&amp;", "&amp;INDEX('Docketed Comments'!B:B,MATCH(A188,'Docketed Comments'!H:H,0)),"")</f>
        <v>Mark, Dershowitz</v>
      </c>
      <c r="I188" s="60" t="str">
        <f>IFERROR(INDEX('Docketed Comments'!D:D,MATCH(A188,'Docketed Comments'!H:H,0)),"")</f>
        <v>Scottsdale</v>
      </c>
      <c r="J188" s="60" t="str">
        <f>IFERROR(INDEX('Docketed Comments'!I:I,MATCH(A188,'Docketed Comments'!H:H,0)),"")</f>
        <v>RTOUE47</v>
      </c>
      <c r="K188" s="60" t="str">
        <f t="shared" si="5"/>
        <v>❌ Not on Best Plan</v>
      </c>
      <c r="L188" s="60" t="str">
        <f>IFERROR(INDEX('Docketed Comments'!F:F,MATCH(A188,'Docketed Comments'!H:H,0)),"")</f>
        <v>SS going up 2.8%, suggest rate increase be limited to the same</v>
      </c>
      <c r="M188" s="120" t="str">
        <f>IFERROR(INDEX('Docketed Comments'!G:G,MATCH(A188,'Docketed Comments'!H:H,0)),"")</f>
        <v>https://docket.images.azcc.gov/E000047371.pdf</v>
      </c>
      <c r="N188" s="118" t="str">
        <f>IFERROR(INDEX('Docketed Comments'!N:N,MATCH(A188,'Docketed Comments'!H:H,0)),"")</f>
        <v>No</v>
      </c>
      <c r="O188" s="118" t="str">
        <f>IFERROR(INDEX('Docketed Comments'!L:L,MATCH(A188,'Docketed Comments'!H:H,0)),"")</f>
        <v>No MEP R3-47 ($255.76)</v>
      </c>
      <c r="P188" s="119">
        <f t="shared" si="4"/>
        <v>255.76</v>
      </c>
      <c r="Q188" s="60" t="s">
        <v>23</v>
      </c>
      <c r="R188" s="64" t="s">
        <v>24</v>
      </c>
      <c r="S188" s="64" t="s">
        <v>458</v>
      </c>
    </row>
    <row r="189" spans="1:19" ht="21.95" hidden="1" customHeight="1">
      <c r="A189" s="66" t="s">
        <v>459</v>
      </c>
      <c r="B189" s="64" t="s">
        <v>31</v>
      </c>
      <c r="C189" s="65">
        <v>46039</v>
      </c>
      <c r="D189" s="64" t="s">
        <v>21</v>
      </c>
      <c r="E189" s="64" t="s">
        <v>22</v>
      </c>
      <c r="F189" s="60"/>
      <c r="G189" s="60"/>
      <c r="H189" s="60" t="str">
        <f>IFERROR(INDEX('Docketed Comments'!C:C,MATCH(A189,'Docketed Comments'!H:H,0))&amp;", "&amp;INDEX('Docketed Comments'!B:B,MATCH(A189,'Docketed Comments'!H:H,0)),"")</f>
        <v>Anupama, Anand</v>
      </c>
      <c r="I189" s="60" t="str">
        <f>IFERROR(INDEX('Docketed Comments'!D:D,MATCH(A189,'Docketed Comments'!H:H,0)),"")</f>
        <v>Scottsdale</v>
      </c>
      <c r="J189" s="60" t="str">
        <f>IFERROR(INDEX('Docketed Comments'!I:I,MATCH(A189,'Docketed Comments'!H:H,0)),"")</f>
        <v>R3-47</v>
      </c>
      <c r="K189" s="60" t="str">
        <f t="shared" si="5"/>
        <v>❌ Not on Best Plan</v>
      </c>
      <c r="L189" s="60" t="str">
        <f>IFERROR(INDEX('Docketed Comments'!F:F,MATCH(A189,'Docketed Comments'!H:H,0)),"")</f>
        <v>Do not approve the proposed rate increase</v>
      </c>
      <c r="M189" s="120" t="str">
        <f>IFERROR(INDEX('Docketed Comments'!G:G,MATCH(A189,'Docketed Comments'!H:H,0)),"")</f>
        <v>https://docket.images.azcc.gov/E000047665.pdf</v>
      </c>
      <c r="N189" s="118" t="str">
        <f>IFERROR(INDEX('Docketed Comments'!N:N,MATCH(A189,'Docketed Comments'!H:H,0)),"")</f>
        <v>No</v>
      </c>
      <c r="O189" s="118" t="str">
        <f>IFERROR(INDEX('Docketed Comments'!L:L,MATCH(A189,'Docketed Comments'!H:H,0)),"")</f>
        <v>No MEP RTOU47 ($53.39)</v>
      </c>
      <c r="P189" s="119">
        <f t="shared" si="4"/>
        <v>53.39</v>
      </c>
      <c r="Q189" s="60" t="s">
        <v>23</v>
      </c>
      <c r="R189" s="64" t="s">
        <v>24</v>
      </c>
      <c r="S189" s="64" t="s">
        <v>460</v>
      </c>
    </row>
    <row r="190" spans="1:19" ht="21.95" hidden="1" customHeight="1">
      <c r="A190" s="66" t="s">
        <v>461</v>
      </c>
      <c r="B190" s="64" t="s">
        <v>31</v>
      </c>
      <c r="C190" s="65">
        <v>46053</v>
      </c>
      <c r="D190" s="64" t="s">
        <v>21</v>
      </c>
      <c r="E190" s="64" t="s">
        <v>22</v>
      </c>
      <c r="F190" s="60" t="s">
        <v>165</v>
      </c>
      <c r="G190" s="60"/>
      <c r="H190" s="60" t="str">
        <f>IFERROR(INDEX('Docketed Comments'!C:C,MATCH(A190,'Docketed Comments'!H:H,0))&amp;", "&amp;INDEX('Docketed Comments'!B:B,MATCH(A190,'Docketed Comments'!H:H,0)),"")</f>
        <v>Cheri , Thomas</v>
      </c>
      <c r="I190" s="60" t="str">
        <f>IFERROR(INDEX('Docketed Comments'!D:D,MATCH(A190,'Docketed Comments'!H:H,0)),"")</f>
        <v>El Mirage</v>
      </c>
      <c r="J190" s="60" t="str">
        <f>IFERROR(INDEX('Docketed Comments'!I:I,MATCH(A190,'Docketed Comments'!H:H,0)),"")</f>
        <v>R-BASIC</v>
      </c>
      <c r="K190" s="60" t="str">
        <f t="shared" si="5"/>
        <v>❌ Not on Best Plan</v>
      </c>
      <c r="L190" s="60" t="str">
        <f>IFERROR(INDEX('Docketed Comments'!F:F,MATCH(A190,'Docketed Comments'!H:H,0)),"")</f>
        <v>Opposed: Senior on a fixed income in a mobile home</v>
      </c>
      <c r="M190" s="120" t="str">
        <f>IFERROR(INDEX('Docketed Comments'!G:G,MATCH(A190,'Docketed Comments'!H:H,0)),"")</f>
        <v>https://docket.images.azcc.gov/E000047757.pdf</v>
      </c>
      <c r="N190" s="118" t="str">
        <f>IFERROR(INDEX('Docketed Comments'!N:N,MATCH(A190,'Docketed Comments'!H:H,0)),"")</f>
        <v>No</v>
      </c>
      <c r="O190" s="118" t="str">
        <f>IFERROR(INDEX('Docketed Comments'!L:L,MATCH(A190,'Docketed Comments'!H:H,0)),"")</f>
        <v>No MEP R-XS</v>
      </c>
      <c r="P190" s="119">
        <f t="shared" si="4"/>
        <v>0</v>
      </c>
      <c r="Q190" s="60" t="s">
        <v>23</v>
      </c>
      <c r="R190" s="64" t="s">
        <v>24</v>
      </c>
      <c r="S190" s="64" t="s">
        <v>462</v>
      </c>
    </row>
    <row r="191" spans="1:19" ht="21.95" hidden="1" customHeight="1">
      <c r="A191" s="66" t="s">
        <v>463</v>
      </c>
      <c r="B191" s="64" t="s">
        <v>31</v>
      </c>
      <c r="C191" s="65">
        <v>45997</v>
      </c>
      <c r="D191" s="64" t="s">
        <v>27</v>
      </c>
      <c r="E191" s="64" t="s">
        <v>35</v>
      </c>
      <c r="F191" s="60" t="s">
        <v>464</v>
      </c>
      <c r="G191" s="60"/>
      <c r="H191" s="60" t="str">
        <f>IFERROR(INDEX('Docketed Comments'!C:C,MATCH(A191,'Docketed Comments'!H:H,0))&amp;", "&amp;INDEX('Docketed Comments'!B:B,MATCH(A191,'Docketed Comments'!H:H,0)),"")</f>
        <v>Carol and Alan, Buttler</v>
      </c>
      <c r="I191" s="60" t="str">
        <f>IFERROR(INDEX('Docketed Comments'!D:D,MATCH(A191,'Docketed Comments'!H:H,0)),"")</f>
        <v>Wickenburg</v>
      </c>
      <c r="J191" s="60" t="str">
        <f>IFERROR(INDEX('Docketed Comments'!I:I,MATCH(A191,'Docketed Comments'!H:H,0)),"")</f>
        <v>RTOUE47</v>
      </c>
      <c r="K191" s="60" t="str">
        <f t="shared" si="5"/>
        <v>❌ Not on Best Plan</v>
      </c>
      <c r="L191" s="60" t="str">
        <f>IFERROR(INDEX('Docketed Comments'!F:F,MATCH(A191,'Docketed Comments'!H:H,0)),"")</f>
        <v>ACC has obligation to protect APS customers from consistently high rate increases</v>
      </c>
      <c r="M191" s="120" t="str">
        <f>IFERROR(INDEX('Docketed Comments'!G:G,MATCH(A191,'Docketed Comments'!H:H,0)),"")</f>
        <v>https://docket.images.azcc.gov/E000047808.pdf</v>
      </c>
      <c r="N191" s="118" t="str">
        <f>IFERROR(INDEX('Docketed Comments'!N:N,MATCH(A191,'Docketed Comments'!H:H,0)),"")</f>
        <v>No</v>
      </c>
      <c r="O191" s="118" t="str">
        <f>IFERROR(INDEX('Docketed Comments'!L:L,MATCH(A191,'Docketed Comments'!H:H,0)),"")</f>
        <v>No MEP R-BASIC ($41.34)</v>
      </c>
      <c r="P191" s="119">
        <f t="shared" si="4"/>
        <v>41.34</v>
      </c>
      <c r="Q191" s="60" t="s">
        <v>23</v>
      </c>
      <c r="R191" s="64" t="s">
        <v>24</v>
      </c>
      <c r="S191" s="64" t="s">
        <v>465</v>
      </c>
    </row>
    <row r="192" spans="1:19" ht="21.95" hidden="1" customHeight="1">
      <c r="A192" s="66" t="s">
        <v>466</v>
      </c>
      <c r="B192" s="64" t="s">
        <v>31</v>
      </c>
      <c r="C192" s="65">
        <v>45997</v>
      </c>
      <c r="D192" s="64" t="s">
        <v>27</v>
      </c>
      <c r="E192" s="64" t="s">
        <v>68</v>
      </c>
      <c r="F192" s="60" t="s">
        <v>467</v>
      </c>
      <c r="G192" s="60"/>
      <c r="H192" s="60" t="str">
        <f>IFERROR(INDEX('Docketed Comments'!C:C,MATCH(A192,'Docketed Comments'!H:H,0))&amp;", "&amp;INDEX('Docketed Comments'!B:B,MATCH(A192,'Docketed Comments'!H:H,0)),"")</f>
        <v>Stephanie, Palomera</v>
      </c>
      <c r="I192" s="60" t="str">
        <f>IFERROR(INDEX('Docketed Comments'!D:D,MATCH(A192,'Docketed Comments'!H:H,0)),"")</f>
        <v>Surprise</v>
      </c>
      <c r="J192" s="60" t="str">
        <f>IFERROR(INDEX('Docketed Comments'!I:I,MATCH(A192,'Docketed Comments'!H:H,0)),"")</f>
        <v>R-BASICL</v>
      </c>
      <c r="K192" s="60" t="str">
        <f t="shared" si="5"/>
        <v>❌ Not on Best Plan</v>
      </c>
      <c r="L192" s="60" t="str">
        <f>IFERROR(INDEX('Docketed Comments'!F:F,MATCH(A192,'Docketed Comments'!H:H,0)),"")</f>
        <v>Form Letter: For families like mine this is simply too much</v>
      </c>
      <c r="M192" s="120" t="str">
        <f>IFERROR(INDEX('Docketed Comments'!G:G,MATCH(A192,'Docketed Comments'!H:H,0)),"")</f>
        <v>https://docket.images.azcc.gov/E000047935.pdf</v>
      </c>
      <c r="N192" s="118" t="str">
        <f>IFERROR(INDEX('Docketed Comments'!N:N,MATCH(A192,'Docketed Comments'!H:H,0)),"")</f>
        <v>No</v>
      </c>
      <c r="O192" s="118" t="str">
        <f>IFERROR(INDEX('Docketed Comments'!L:L,MATCH(A192,'Docketed Comments'!H:H,0)),"")</f>
        <v>No MEP R-BASIC ($167.08)</v>
      </c>
      <c r="P192" s="119">
        <f t="shared" si="4"/>
        <v>167.08</v>
      </c>
      <c r="Q192" s="60" t="s">
        <v>23</v>
      </c>
      <c r="R192" s="64" t="s">
        <v>24</v>
      </c>
      <c r="S192" s="64" t="s">
        <v>468</v>
      </c>
    </row>
    <row r="193" spans="1:19" ht="21.95" hidden="1" customHeight="1">
      <c r="A193" s="66" t="s">
        <v>469</v>
      </c>
      <c r="B193" s="64" t="s">
        <v>31</v>
      </c>
      <c r="C193" s="65">
        <v>46018</v>
      </c>
      <c r="D193" s="64" t="s">
        <v>27</v>
      </c>
      <c r="E193" s="64" t="s">
        <v>22</v>
      </c>
      <c r="F193" s="60" t="s">
        <v>470</v>
      </c>
      <c r="G193" s="60"/>
      <c r="H193" s="60" t="str">
        <f>IFERROR(INDEX('Docketed Comments'!C:C,MATCH(A193,'Docketed Comments'!H:H,0))&amp;", "&amp;INDEX('Docketed Comments'!B:B,MATCH(A193,'Docketed Comments'!H:H,0)),"")</f>
        <v>Charlene, Jones</v>
      </c>
      <c r="I193" s="60" t="str">
        <f>IFERROR(INDEX('Docketed Comments'!D:D,MATCH(A193,'Docketed Comments'!H:H,0)),"")</f>
        <v>El Mirage</v>
      </c>
      <c r="J193" s="60" t="str">
        <f>IFERROR(INDEX('Docketed Comments'!I:I,MATCH(A193,'Docketed Comments'!H:H,0)),"")</f>
        <v>RTOUE47</v>
      </c>
      <c r="K193" s="60" t="str">
        <f t="shared" si="5"/>
        <v>❌ Not on Best Plan</v>
      </c>
      <c r="L193" s="60" t="str">
        <f>IFERROR(INDEX('Docketed Comments'!F:F,MATCH(A193,'Docketed Comments'!H:H,0)),"")</f>
        <v>No more rate increases. We are struggling to pay already!</v>
      </c>
      <c r="M193" s="120" t="str">
        <f>IFERROR(INDEX('Docketed Comments'!G:G,MATCH(A193,'Docketed Comments'!H:H,0)),"")</f>
        <v>https://docket.images.azcc.gov/E000047935.pdf</v>
      </c>
      <c r="N193" s="118" t="str">
        <f>IFERROR(INDEX('Docketed Comments'!N:N,MATCH(A193,'Docketed Comments'!H:H,0)),"")</f>
        <v>No</v>
      </c>
      <c r="O193" s="118" t="str">
        <f>IFERROR(INDEX('Docketed Comments'!L:L,MATCH(A193,'Docketed Comments'!H:H,0)),"")</f>
        <v>No MEP R3-47 ($295.17)</v>
      </c>
      <c r="P193" s="119">
        <f t="shared" si="4"/>
        <v>295.17</v>
      </c>
      <c r="Q193" s="60" t="s">
        <v>23</v>
      </c>
      <c r="R193" s="64" t="s">
        <v>24</v>
      </c>
      <c r="S193" s="64" t="s">
        <v>471</v>
      </c>
    </row>
    <row r="194" spans="1:19" ht="21.95" hidden="1" customHeight="1">
      <c r="A194" s="66" t="s">
        <v>472</v>
      </c>
      <c r="B194" s="64" t="s">
        <v>31</v>
      </c>
      <c r="C194" s="65">
        <v>46053</v>
      </c>
      <c r="D194" s="64" t="s">
        <v>27</v>
      </c>
      <c r="E194" s="64" t="s">
        <v>35</v>
      </c>
      <c r="F194" s="60" t="s">
        <v>473</v>
      </c>
      <c r="G194" s="60"/>
      <c r="H194" s="60" t="str">
        <f>IFERROR(INDEX('Docketed Comments'!C:C,MATCH(A194,'Docketed Comments'!H:H,0))&amp;", "&amp;INDEX('Docketed Comments'!B:B,MATCH(A194,'Docketed Comments'!H:H,0)),"")</f>
        <v>Beatriz, Barbosa</v>
      </c>
      <c r="I194" s="60" t="str">
        <f>IFERROR(INDEX('Docketed Comments'!D:D,MATCH(A194,'Docketed Comments'!H:H,0)),"")</f>
        <v>Whittmann</v>
      </c>
      <c r="J194" s="60" t="str">
        <f>IFERROR(INDEX('Docketed Comments'!I:I,MATCH(A194,'Docketed Comments'!H:H,0)),"")</f>
        <v>R3-47</v>
      </c>
      <c r="K194" s="60" t="str">
        <f t="shared" si="5"/>
        <v>❌ Not on Best Plan</v>
      </c>
      <c r="L194" s="60" t="str">
        <f>IFERROR(INDEX('Docketed Comments'!F:F,MATCH(A194,'Docketed Comments'!H:H,0)),"")</f>
        <v>Form Letter: For families like mine this is simply too much</v>
      </c>
      <c r="M194" s="120" t="str">
        <f>IFERROR(INDEX('Docketed Comments'!G:G,MATCH(A194,'Docketed Comments'!H:H,0)),"")</f>
        <v>https://docket.images.azcc.gov/E000047935.pdf</v>
      </c>
      <c r="N194" s="118" t="str">
        <f>IFERROR(INDEX('Docketed Comments'!N:N,MATCH(A194,'Docketed Comments'!H:H,0)),"")</f>
        <v>No</v>
      </c>
      <c r="O194" s="118" t="str">
        <f>IFERROR(INDEX('Docketed Comments'!L:L,MATCH(A194,'Docketed Comments'!H:H,0)),"")</f>
        <v>Not eligible yet (needs 3 months)</v>
      </c>
      <c r="P194" s="119">
        <f t="shared" ref="P194:P257" si="6">IFERROR(IF(ISNUMBER(SEARCH("$",O194)),VALUE(SUBSTITUTE(SUBSTITUTE(MID(O194,FIND("$",O194)+1,FIND(")",O194)-FIND("$",O194)-1),",","")," ","")),VALUE(SUBSTITUTE(SUBSTITUTE(MID(O194,FIND("(",O194)+1,FIND(")",O194)-FIND("(",O194)-1),",","")," ",""))),0)</f>
        <v>0</v>
      </c>
      <c r="Q194" s="60" t="s">
        <v>23</v>
      </c>
      <c r="R194" s="64" t="s">
        <v>24</v>
      </c>
      <c r="S194" s="64" t="s">
        <v>474</v>
      </c>
    </row>
    <row r="195" spans="1:19" ht="21.95" hidden="1" customHeight="1">
      <c r="A195" s="66" t="s">
        <v>475</v>
      </c>
      <c r="B195" s="64" t="s">
        <v>31</v>
      </c>
      <c r="C195" s="65">
        <v>46018</v>
      </c>
      <c r="D195" s="64" t="s">
        <v>27</v>
      </c>
      <c r="E195" s="64" t="s">
        <v>68</v>
      </c>
      <c r="F195" s="60" t="s">
        <v>476</v>
      </c>
      <c r="G195" s="60"/>
      <c r="H195" s="60" t="str">
        <f>IFERROR(INDEX('Docketed Comments'!C:C,MATCH(A195,'Docketed Comments'!H:H,0))&amp;", "&amp;INDEX('Docketed Comments'!B:B,MATCH(A195,'Docketed Comments'!H:H,0)),"")</f>
        <v>Maria , Eriksen</v>
      </c>
      <c r="I195" s="60" t="str">
        <f>IFERROR(INDEX('Docketed Comments'!D:D,MATCH(A195,'Docketed Comments'!H:H,0)),"")</f>
        <v>Phoenix</v>
      </c>
      <c r="J195" s="60" t="str">
        <f>IFERROR(INDEX('Docketed Comments'!I:I,MATCH(A195,'Docketed Comments'!H:H,0)),"")</f>
        <v>R-BASIC</v>
      </c>
      <c r="K195" s="60" t="str">
        <f t="shared" ref="K195:K258" si="7">IFERROR(IF(OR(LEFT(O195,2)="No",LEFT(O195,3)="Not"),"❌ Not on Best Plan",IF(OR(O195="Yes",O195="Y",O195="Yes "),"✅ On Best Plan","⚠ "&amp;O195)),"")</f>
        <v>❌ Not on Best Plan</v>
      </c>
      <c r="L195" s="60" t="str">
        <f>IFERROR(INDEX('Docketed Comments'!F:F,MATCH(A195,'Docketed Comments'!H:H,0)),"")</f>
        <v>I would tell APS to stop increasing rates because this will affect our low-income population</v>
      </c>
      <c r="M195" s="120" t="str">
        <f>IFERROR(INDEX('Docketed Comments'!G:G,MATCH(A195,'Docketed Comments'!H:H,0)),"")</f>
        <v>https://docket.images.azcc.gov/0000215712.pdf</v>
      </c>
      <c r="N195" s="118" t="str">
        <f>IFERROR(INDEX('Docketed Comments'!N:N,MATCH(A195,'Docketed Comments'!H:H,0)),"")</f>
        <v>No</v>
      </c>
      <c r="O195" s="118" t="str">
        <f>IFERROR(INDEX('Docketed Comments'!L:L,MATCH(A195,'Docketed Comments'!H:H,0)),"")</f>
        <v>No MEP R-XS ($51.48)</v>
      </c>
      <c r="P195" s="119">
        <f t="shared" si="6"/>
        <v>51.48</v>
      </c>
      <c r="Q195" s="60" t="s">
        <v>23</v>
      </c>
      <c r="R195" s="64" t="s">
        <v>24</v>
      </c>
      <c r="S195" s="64" t="s">
        <v>477</v>
      </c>
    </row>
    <row r="196" spans="1:19" ht="21.95" hidden="1" customHeight="1">
      <c r="A196" s="66" t="s">
        <v>478</v>
      </c>
      <c r="B196" s="64" t="s">
        <v>31</v>
      </c>
      <c r="C196" s="65">
        <v>46039</v>
      </c>
      <c r="D196" s="64" t="s">
        <v>21</v>
      </c>
      <c r="E196" s="64" t="s">
        <v>22</v>
      </c>
      <c r="F196" s="60" t="s">
        <v>432</v>
      </c>
      <c r="G196" s="60"/>
      <c r="H196" s="60" t="str">
        <f>IFERROR(INDEX('Docketed Comments'!C:C,MATCH(A196,'Docketed Comments'!H:H,0))&amp;", "&amp;INDEX('Docketed Comments'!B:B,MATCH(A196,'Docketed Comments'!H:H,0)),"")</f>
        <v>Marisela, Gomez</v>
      </c>
      <c r="I196" s="60" t="str">
        <f>IFERROR(INDEX('Docketed Comments'!D:D,MATCH(A196,'Docketed Comments'!H:H,0)),"")</f>
        <v>Phoenix</v>
      </c>
      <c r="J196" s="60" t="str">
        <f>IFERROR(INDEX('Docketed Comments'!I:I,MATCH(A196,'Docketed Comments'!H:H,0)),"")</f>
        <v>RTOU47</v>
      </c>
      <c r="K196" s="60" t="str">
        <f t="shared" si="7"/>
        <v>❌ Not on Best Plan</v>
      </c>
      <c r="L196" s="60" t="str">
        <f>IFERROR(INDEX('Docketed Comments'!F:F,MATCH(A196,'Docketed Comments'!H:H,0)),"")</f>
        <v>Make decisions between buying groceries and cooling down my house</v>
      </c>
      <c r="M196" s="120" t="str">
        <f>IFERROR(INDEX('Docketed Comments'!G:G,MATCH(A196,'Docketed Comments'!H:H,0)),"")</f>
        <v>https://docket.images.azcc.gov/0000215712.pdf</v>
      </c>
      <c r="N196" s="118" t="str">
        <f>IFERROR(INDEX('Docketed Comments'!N:N,MATCH(A196,'Docketed Comments'!H:H,0)),"")</f>
        <v>No</v>
      </c>
      <c r="O196" s="118" t="str">
        <f>IFERROR(INDEX('Docketed Comments'!L:L,MATCH(A196,'Docketed Comments'!H:H,0)),"")</f>
        <v>No MEP R3-47 ($116.16)</v>
      </c>
      <c r="P196" s="119">
        <f t="shared" si="6"/>
        <v>116.16</v>
      </c>
      <c r="Q196" s="60" t="s">
        <v>23</v>
      </c>
      <c r="R196" s="64" t="s">
        <v>24</v>
      </c>
      <c r="S196" s="64" t="s">
        <v>479</v>
      </c>
    </row>
    <row r="197" spans="1:19" ht="21.95" hidden="1" customHeight="1">
      <c r="A197" s="66" t="s">
        <v>480</v>
      </c>
      <c r="B197" s="64" t="s">
        <v>31</v>
      </c>
      <c r="C197" s="65">
        <v>46018</v>
      </c>
      <c r="D197" s="64" t="s">
        <v>27</v>
      </c>
      <c r="E197" s="64" t="s">
        <v>35</v>
      </c>
      <c r="F197" s="60" t="s">
        <v>481</v>
      </c>
      <c r="G197" s="60"/>
      <c r="H197" s="60" t="str">
        <f>IFERROR(INDEX('Docketed Comments'!C:C,MATCH(A197,'Docketed Comments'!H:H,0))&amp;", "&amp;INDEX('Docketed Comments'!B:B,MATCH(A197,'Docketed Comments'!H:H,0)),"")</f>
        <v>Maxwell, Ulin</v>
      </c>
      <c r="I197" s="60" t="str">
        <f>IFERROR(INDEX('Docketed Comments'!D:D,MATCH(A197,'Docketed Comments'!H:H,0)),"")</f>
        <v>Phoenix</v>
      </c>
      <c r="J197" s="60" t="str">
        <f>IFERROR(INDEX('Docketed Comments'!I:I,MATCH(A197,'Docketed Comments'!H:H,0)),"")</f>
        <v>R-XS</v>
      </c>
      <c r="K197" s="60" t="str">
        <f t="shared" si="7"/>
        <v>❌ Not on Best Plan</v>
      </c>
      <c r="L197" s="60" t="str">
        <f>IFERROR(INDEX('Docketed Comments'!F:F,MATCH(A197,'Docketed Comments'!H:H,0)),"")</f>
        <v>Unacceptable to me that the ACC would approve such an enormous rate hike</v>
      </c>
      <c r="M197" s="120" t="str">
        <f>IFERROR(INDEX('Docketed Comments'!G:G,MATCH(A197,'Docketed Comments'!H:H,0)),"")</f>
        <v>https://docket.images.azcc.gov/0000215712.pdf</v>
      </c>
      <c r="N197" s="118" t="str">
        <f>IFERROR(INDEX('Docketed Comments'!N:N,MATCH(A197,'Docketed Comments'!H:H,0)),"")</f>
        <v>No</v>
      </c>
      <c r="O197" s="118" t="str">
        <f>IFERROR(INDEX('Docketed Comments'!L:L,MATCH(A197,'Docketed Comments'!H:H,0)),"")</f>
        <v>No MEP R3-47 ($8.47)</v>
      </c>
      <c r="P197" s="119">
        <f t="shared" si="6"/>
        <v>8.4700000000000006</v>
      </c>
      <c r="Q197" s="60" t="s">
        <v>23</v>
      </c>
      <c r="R197" s="64" t="s">
        <v>24</v>
      </c>
      <c r="S197" s="64" t="s">
        <v>482</v>
      </c>
    </row>
    <row r="198" spans="1:19" ht="21.95" hidden="1" customHeight="1">
      <c r="A198" s="66" t="s">
        <v>483</v>
      </c>
      <c r="B198" s="64" t="s">
        <v>31</v>
      </c>
      <c r="C198" s="65">
        <v>46018</v>
      </c>
      <c r="D198" s="64" t="s">
        <v>21</v>
      </c>
      <c r="E198" s="64" t="s">
        <v>35</v>
      </c>
      <c r="F198" s="60" t="s">
        <v>484</v>
      </c>
      <c r="G198" s="60"/>
      <c r="H198" s="60" t="str">
        <f>IFERROR(INDEX('Docketed Comments'!C:C,MATCH(A198,'Docketed Comments'!H:H,0))&amp;", "&amp;INDEX('Docketed Comments'!B:B,MATCH(A198,'Docketed Comments'!H:H,0)),"")</f>
        <v>Anthony, Marrapodi</v>
      </c>
      <c r="I198" s="60" t="str">
        <f>IFERROR(INDEX('Docketed Comments'!D:D,MATCH(A198,'Docketed Comments'!H:H,0)),"")</f>
        <v>Phoenix</v>
      </c>
      <c r="J198" s="60" t="str">
        <f>IFERROR(INDEX('Docketed Comments'!I:I,MATCH(A198,'Docketed Comments'!H:H,0)),"")</f>
        <v>R-BASICL</v>
      </c>
      <c r="K198" s="60" t="str">
        <f t="shared" si="7"/>
        <v>❌ Not on Best Plan</v>
      </c>
      <c r="L198" s="60" t="str">
        <f>IFERROR(INDEX('Docketed Comments'!F:F,MATCH(A198,'Docketed Comments'!H:H,0)),"")</f>
        <v>I believe this request is unjustified and harmful to ordinary ratepayers</v>
      </c>
      <c r="M198" s="120" t="str">
        <f>IFERROR(INDEX('Docketed Comments'!G:G,MATCH(A198,'Docketed Comments'!H:H,0)),"")</f>
        <v>https://docket.images.azcc.gov/E000048069.pdf</v>
      </c>
      <c r="N198" s="118" t="str">
        <f>IFERROR(INDEX('Docketed Comments'!N:N,MATCH(A198,'Docketed Comments'!H:H,0)),"")</f>
        <v>No</v>
      </c>
      <c r="O198" s="118" t="str">
        <f>IFERROR(INDEX('Docketed Comments'!L:L,MATCH(A198,'Docketed Comments'!H:H,0)),"")</f>
        <v>No MEP R3-47 ($139.25)</v>
      </c>
      <c r="P198" s="119">
        <f t="shared" si="6"/>
        <v>139.25</v>
      </c>
      <c r="Q198" s="60" t="s">
        <v>23</v>
      </c>
      <c r="R198" s="64" t="s">
        <v>24</v>
      </c>
      <c r="S198" s="64" t="s">
        <v>485</v>
      </c>
    </row>
    <row r="199" spans="1:19" ht="21.95" hidden="1" customHeight="1">
      <c r="A199" s="66" t="s">
        <v>486</v>
      </c>
      <c r="B199" s="64" t="s">
        <v>31</v>
      </c>
      <c r="C199" s="65">
        <v>46018</v>
      </c>
      <c r="D199" s="64" t="s">
        <v>27</v>
      </c>
      <c r="E199" s="64" t="s">
        <v>35</v>
      </c>
      <c r="F199" s="60" t="s">
        <v>487</v>
      </c>
      <c r="G199" s="60"/>
      <c r="H199" s="60" t="str">
        <f>IFERROR(INDEX('Docketed Comments'!C:C,MATCH(A199,'Docketed Comments'!H:H,0))&amp;", "&amp;INDEX('Docketed Comments'!B:B,MATCH(A199,'Docketed Comments'!H:H,0)),"")</f>
        <v>Sharon , Hotham</v>
      </c>
      <c r="I199" s="60" t="str">
        <f>IFERROR(INDEX('Docketed Comments'!D:D,MATCH(A199,'Docketed Comments'!H:H,0)),"")</f>
        <v>Phoenix</v>
      </c>
      <c r="J199" s="60" t="str">
        <f>IFERROR(INDEX('Docketed Comments'!I:I,MATCH(A199,'Docketed Comments'!H:H,0)),"")</f>
        <v>RTOUE47</v>
      </c>
      <c r="K199" s="60" t="str">
        <f t="shared" si="7"/>
        <v>❌ Not on Best Plan</v>
      </c>
      <c r="L199" s="60" t="str">
        <f>IFERROR(INDEX('Docketed Comments'!F:F,MATCH(A199,'Docketed Comments'!H:H,0)),"")</f>
        <v>Form Letter: Enough is enough! You must reject the latest 14% rate hikes by APS e TEP</v>
      </c>
      <c r="M199" s="120" t="str">
        <f>IFERROR(INDEX('Docketed Comments'!G:G,MATCH(A199,'Docketed Comments'!H:H,0)),"")</f>
        <v>https://docket.images.azcc.gov/E000048302.pdf</v>
      </c>
      <c r="N199" s="118" t="str">
        <f>IFERROR(INDEX('Docketed Comments'!N:N,MATCH(A199,'Docketed Comments'!H:H,0)),"")</f>
        <v>No</v>
      </c>
      <c r="O199" s="118" t="str">
        <f>IFERROR(INDEX('Docketed Comments'!L:L,MATCH(A199,'Docketed Comments'!H:H,0)),"")</f>
        <v>No MEP R3-47 ($232.55)</v>
      </c>
      <c r="P199" s="119">
        <f t="shared" si="6"/>
        <v>232.55</v>
      </c>
      <c r="Q199" s="60" t="s">
        <v>23</v>
      </c>
      <c r="R199" s="64" t="s">
        <v>24</v>
      </c>
      <c r="S199" s="64" t="s">
        <v>488</v>
      </c>
    </row>
    <row r="200" spans="1:19" ht="21.95" hidden="1" customHeight="1">
      <c r="A200" s="66" t="s">
        <v>489</v>
      </c>
      <c r="B200" s="64" t="s">
        <v>31</v>
      </c>
      <c r="C200" s="65">
        <v>46018</v>
      </c>
      <c r="D200" s="64" t="s">
        <v>21</v>
      </c>
      <c r="E200" s="64" t="s">
        <v>22</v>
      </c>
      <c r="F200" s="60" t="s">
        <v>60</v>
      </c>
      <c r="G200" s="60"/>
      <c r="H200" s="60" t="str">
        <f>IFERROR(INDEX('Docketed Comments'!C:C,MATCH(A200,'Docketed Comments'!H:H,0))&amp;", "&amp;INDEX('Docketed Comments'!B:B,MATCH(A200,'Docketed Comments'!H:H,0)),"")</f>
        <v>Marissa, Sanders</v>
      </c>
      <c r="I200" s="60" t="str">
        <f>IFERROR(INDEX('Docketed Comments'!D:D,MATCH(A200,'Docketed Comments'!H:H,0)),"")</f>
        <v>Buckeye</v>
      </c>
      <c r="J200" s="60" t="str">
        <f>IFERROR(INDEX('Docketed Comments'!I:I,MATCH(A200,'Docketed Comments'!H:H,0)),"")</f>
        <v>RTOUE47</v>
      </c>
      <c r="K200" s="60" t="str">
        <f t="shared" si="7"/>
        <v>❌ Not on Best Plan</v>
      </c>
      <c r="L200" s="60" t="str">
        <f>IFERROR(INDEX('Docketed Comments'!F:F,MATCH(A200,'Docketed Comments'!H:H,0)),"")</f>
        <v>Form Letter: Enough is enough! You must reject the latest 14% rate hikes by APS e TEP</v>
      </c>
      <c r="M200" s="120" t="str">
        <f>IFERROR(INDEX('Docketed Comments'!G:G,MATCH(A200,'Docketed Comments'!H:H,0)),"")</f>
        <v>https://docket.images.azcc.gov/E000048311.pdf</v>
      </c>
      <c r="N200" s="118" t="str">
        <f>IFERROR(INDEX('Docketed Comments'!N:N,MATCH(A200,'Docketed Comments'!H:H,0)),"")</f>
        <v>No</v>
      </c>
      <c r="O200" s="118" t="str">
        <f>IFERROR(INDEX('Docketed Comments'!L:L,MATCH(A200,'Docketed Comments'!H:H,0)),"")</f>
        <v>No MEP R3-47 ($306.58)</v>
      </c>
      <c r="P200" s="119">
        <f t="shared" si="6"/>
        <v>306.58</v>
      </c>
      <c r="Q200" s="60" t="s">
        <v>23</v>
      </c>
      <c r="R200" s="64" t="s">
        <v>24</v>
      </c>
      <c r="S200" s="64" t="s">
        <v>490</v>
      </c>
    </row>
    <row r="201" spans="1:19" ht="21.95" customHeight="1">
      <c r="A201" s="66" t="s">
        <v>491</v>
      </c>
      <c r="B201" s="64"/>
      <c r="C201" s="65"/>
      <c r="D201" s="64"/>
      <c r="E201" s="64"/>
      <c r="F201" s="60"/>
      <c r="G201" s="60" t="s">
        <v>492</v>
      </c>
      <c r="H201" s="60" t="str">
        <f>IFERROR(INDEX('Docketed Comments'!C:C,MATCH(A201,'Docketed Comments'!H:H,0))&amp;", "&amp;INDEX('Docketed Comments'!B:B,MATCH(A201,'Docketed Comments'!H:H,0)),"")</f>
        <v>Lisa, Tucker</v>
      </c>
      <c r="I201" s="60" t="str">
        <f>IFERROR(INDEX('Docketed Comments'!D:D,MATCH(A201,'Docketed Comments'!H:H,0)),"")</f>
        <v>Winslow</v>
      </c>
      <c r="J201" s="60" t="str">
        <f>IFERROR(INDEX('Docketed Comments'!I:I,MATCH(A201,'Docketed Comments'!H:H,0)),"")</f>
        <v>R-BASIC</v>
      </c>
      <c r="K201" s="60" t="str">
        <f t="shared" si="7"/>
        <v>❌ Not on Best Plan</v>
      </c>
      <c r="L201" s="60" t="str">
        <f>IFERROR(INDEX('Docketed Comments'!F:F,MATCH(A201,'Docketed Comments'!H:H,0)),"")</f>
        <v>Form Letter: Enough is enough! You must reject the latest 14% rate hikes by APS e TEP</v>
      </c>
      <c r="M201" s="120" t="str">
        <f>IFERROR(INDEX('Docketed Comments'!G:G,MATCH(A201,'Docketed Comments'!H:H,0)),"")</f>
        <v>https://docket.images.azcc.gov/E000048497.pdf</v>
      </c>
      <c r="N201" s="118" t="str">
        <f>IFERROR(INDEX('Docketed Comments'!N:N,MATCH(A201,'Docketed Comments'!H:H,0)),"")</f>
        <v>No</v>
      </c>
      <c r="O201" s="118" t="str">
        <f>IFERROR(INDEX('Docketed Comments'!L:L,MATCH(A201,'Docketed Comments'!H:H,0)),"")</f>
        <v>No MEP R3-47 ($274.25)</v>
      </c>
      <c r="P201" s="119">
        <f t="shared" si="6"/>
        <v>274.25</v>
      </c>
      <c r="Q201" s="60"/>
      <c r="R201" s="64" t="s">
        <v>75</v>
      </c>
      <c r="S201" s="64" t="s">
        <v>493</v>
      </c>
    </row>
    <row r="202" spans="1:19" ht="21.95" customHeight="1">
      <c r="A202" s="66" t="s">
        <v>494</v>
      </c>
      <c r="B202" s="64"/>
      <c r="C202" s="65"/>
      <c r="D202" s="64"/>
      <c r="E202" s="64"/>
      <c r="F202" s="60"/>
      <c r="G202" s="60" t="s">
        <v>358</v>
      </c>
      <c r="H202" s="60" t="str">
        <f>IFERROR(INDEX('Docketed Comments'!C:C,MATCH(A202,'Docketed Comments'!H:H,0))&amp;", "&amp;INDEX('Docketed Comments'!B:B,MATCH(A202,'Docketed Comments'!H:H,0)),"")</f>
        <v>William, Shaffer</v>
      </c>
      <c r="I202" s="60" t="str">
        <f>IFERROR(INDEX('Docketed Comments'!D:D,MATCH(A202,'Docketed Comments'!H:H,0)),"")</f>
        <v>Phoenix</v>
      </c>
      <c r="J202" s="60" t="str">
        <f>IFERROR(INDEX('Docketed Comments'!I:I,MATCH(A202,'Docketed Comments'!H:H,0)),"")</f>
        <v>R-BASICL</v>
      </c>
      <c r="K202" s="60" t="str">
        <f t="shared" si="7"/>
        <v>❌ Not on Best Plan</v>
      </c>
      <c r="L202" s="60" t="str">
        <f>IFERROR(INDEX('Docketed Comments'!F:F,MATCH(A202,'Docketed Comments'!H:H,0)),"")</f>
        <v>Form Letter: Enough is enough! You must reject the latest 14% rate hikes by APS e TEP</v>
      </c>
      <c r="M202" s="120" t="str">
        <f>IFERROR(INDEX('Docketed Comments'!G:G,MATCH(A202,'Docketed Comments'!H:H,0)),"")</f>
        <v>https://docket.images.azcc.gov/E000048497.pdf</v>
      </c>
      <c r="N202" s="118" t="str">
        <f>IFERROR(INDEX('Docketed Comments'!N:N,MATCH(A202,'Docketed Comments'!H:H,0)),"")</f>
        <v>No</v>
      </c>
      <c r="O202" s="118" t="str">
        <f>IFERROR(INDEX('Docketed Comments'!L:L,MATCH(A202,'Docketed Comments'!H:H,0)),"")</f>
        <v>No MEP TOUE-47 ($171.32)</v>
      </c>
      <c r="P202" s="119">
        <f t="shared" si="6"/>
        <v>171.32</v>
      </c>
      <c r="Q202" s="60"/>
      <c r="R202" s="64" t="s">
        <v>75</v>
      </c>
      <c r="S202" s="64" t="s">
        <v>495</v>
      </c>
    </row>
    <row r="203" spans="1:19" ht="21.95" customHeight="1">
      <c r="A203" s="66" t="s">
        <v>496</v>
      </c>
      <c r="B203" s="64"/>
      <c r="C203" s="65"/>
      <c r="D203" s="64"/>
      <c r="E203" s="64"/>
      <c r="F203" s="60"/>
      <c r="G203" s="60" t="s">
        <v>492</v>
      </c>
      <c r="H203" s="60" t="str">
        <f>IFERROR(INDEX('Docketed Comments'!C:C,MATCH(A203,'Docketed Comments'!H:H,0))&amp;", "&amp;INDEX('Docketed Comments'!B:B,MATCH(A203,'Docketed Comments'!H:H,0)),"")</f>
        <v>Rachael, Foushee</v>
      </c>
      <c r="I203" s="60" t="str">
        <f>IFERROR(INDEX('Docketed Comments'!D:D,MATCH(A203,'Docketed Comments'!H:H,0)),"")</f>
        <v>Phoenix</v>
      </c>
      <c r="J203" s="60" t="str">
        <f>IFERROR(INDEX('Docketed Comments'!I:I,MATCH(A203,'Docketed Comments'!H:H,0)),"")</f>
        <v>RTOU47</v>
      </c>
      <c r="K203" s="60" t="str">
        <f t="shared" si="7"/>
        <v>❌ Not on Best Plan</v>
      </c>
      <c r="L203" s="60" t="str">
        <f>IFERROR(INDEX('Docketed Comments'!F:F,MATCH(A203,'Docketed Comments'!H:H,0)),"")</f>
        <v>Form Letter: Enough is enough! You must reject the latest 14% rate hikes by APS e TEP</v>
      </c>
      <c r="M203" s="120" t="str">
        <f>IFERROR(INDEX('Docketed Comments'!G:G,MATCH(A203,'Docketed Comments'!H:H,0)),"")</f>
        <v>https://docket.images.azcc.gov/E000048522.pdf</v>
      </c>
      <c r="N203" s="118" t="str">
        <f>IFERROR(INDEX('Docketed Comments'!N:N,MATCH(A203,'Docketed Comments'!H:H,0)),"")</f>
        <v>No</v>
      </c>
      <c r="O203" s="118" t="str">
        <f>IFERROR(INDEX('Docketed Comments'!L:L,MATCH(A203,'Docketed Comments'!H:H,0)),"")</f>
        <v>No MEP R3-47 ($446.36)</v>
      </c>
      <c r="P203" s="119">
        <f t="shared" si="6"/>
        <v>446.36</v>
      </c>
      <c r="Q203" s="60"/>
      <c r="R203" s="64" t="s">
        <v>75</v>
      </c>
      <c r="S203" s="64" t="s">
        <v>497</v>
      </c>
    </row>
    <row r="204" spans="1:19" ht="21.95" customHeight="1">
      <c r="A204" s="66" t="s">
        <v>498</v>
      </c>
      <c r="B204" s="64"/>
      <c r="C204" s="65"/>
      <c r="D204" s="64"/>
      <c r="E204" s="64"/>
      <c r="F204" s="60"/>
      <c r="G204" s="60" t="s">
        <v>358</v>
      </c>
      <c r="H204" s="60" t="str">
        <f>IFERROR(INDEX('Docketed Comments'!C:C,MATCH(A204,'Docketed Comments'!H:H,0))&amp;", "&amp;INDEX('Docketed Comments'!B:B,MATCH(A204,'Docketed Comments'!H:H,0)),"")</f>
        <v>Monica, Young</v>
      </c>
      <c r="I204" s="60" t="str">
        <f>IFERROR(INDEX('Docketed Comments'!D:D,MATCH(A204,'Docketed Comments'!H:H,0)),"")</f>
        <v>Surprise</v>
      </c>
      <c r="J204" s="60" t="str">
        <f>IFERROR(INDEX('Docketed Comments'!I:I,MATCH(A204,'Docketed Comments'!H:H,0)),"")</f>
        <v>R-BASIC</v>
      </c>
      <c r="K204" s="60" t="str">
        <f t="shared" si="7"/>
        <v>❌ Not on Best Plan</v>
      </c>
      <c r="L204" s="60" t="str">
        <f>IFERROR(INDEX('Docketed Comments'!F:F,MATCH(A204,'Docketed Comments'!H:H,0)),"")</f>
        <v>Residents should not have to shoulder repeated increases while APS reports strong profits.</v>
      </c>
      <c r="M204" s="120" t="str">
        <f>IFERROR(INDEX('Docketed Comments'!G:G,MATCH(A204,'Docketed Comments'!H:H,0)),"")</f>
        <v>https://docket.images.azcc.gov/E000048716.pdf</v>
      </c>
      <c r="N204" s="118" t="str">
        <f>IFERROR(INDEX('Docketed Comments'!N:N,MATCH(A204,'Docketed Comments'!H:H,0)),"")</f>
        <v>No</v>
      </c>
      <c r="O204" s="118" t="str">
        <f>IFERROR(INDEX('Docketed Comments'!L:L,MATCH(A204,'Docketed Comments'!H:H,0)),"")</f>
        <v>No MEP R3-47 ($64.33)</v>
      </c>
      <c r="P204" s="119">
        <f t="shared" si="6"/>
        <v>64.33</v>
      </c>
      <c r="Q204" s="60"/>
      <c r="R204" s="64" t="s">
        <v>75</v>
      </c>
      <c r="S204" s="64" t="s">
        <v>499</v>
      </c>
    </row>
    <row r="205" spans="1:19" ht="21.95" customHeight="1">
      <c r="A205" s="66" t="s">
        <v>500</v>
      </c>
      <c r="B205" s="64"/>
      <c r="C205" s="65"/>
      <c r="D205" s="64"/>
      <c r="E205" s="64"/>
      <c r="F205" s="60"/>
      <c r="G205" s="60" t="s">
        <v>492</v>
      </c>
      <c r="H205" s="60" t="str">
        <f>IFERROR(INDEX('Docketed Comments'!C:C,MATCH(A205,'Docketed Comments'!H:H,0))&amp;", "&amp;INDEX('Docketed Comments'!B:B,MATCH(A205,'Docketed Comments'!H:H,0)),"")</f>
        <v>Debbie, Harmonson</v>
      </c>
      <c r="I205" s="60" t="str">
        <f>IFERROR(INDEX('Docketed Comments'!D:D,MATCH(A205,'Docketed Comments'!H:H,0)),"")</f>
        <v>Surprise</v>
      </c>
      <c r="J205" s="60" t="str">
        <f>IFERROR(INDEX('Docketed Comments'!I:I,MATCH(A205,'Docketed Comments'!H:H,0)),"")</f>
        <v>RTOUE47</v>
      </c>
      <c r="K205" s="60" t="str">
        <f t="shared" si="7"/>
        <v>❌ Not on Best Plan</v>
      </c>
      <c r="L205" s="60" t="str">
        <f>IFERROR(INDEX('Docketed Comments'!F:F,MATCH(A205,'Docketed Comments'!H:H,0)),"")</f>
        <v>It should not be allowed to profit off of the working class for things that are a necessity to survive.</v>
      </c>
      <c r="M205" s="120" t="str">
        <f>IFERROR(INDEX('Docketed Comments'!G:G,MATCH(A205,'Docketed Comments'!H:H,0)),"")</f>
        <v>https://docket.images.azcc.gov/E000048738.pdf</v>
      </c>
      <c r="N205" s="118" t="str">
        <f>IFERROR(INDEX('Docketed Comments'!N:N,MATCH(A205,'Docketed Comments'!H:H,0)),"")</f>
        <v>No</v>
      </c>
      <c r="O205" s="118" t="str">
        <f>IFERROR(INDEX('Docketed Comments'!L:L,MATCH(A205,'Docketed Comments'!H:H,0)),"")</f>
        <v>No MEP R3-47 ($359.67)</v>
      </c>
      <c r="P205" s="119">
        <f t="shared" si="6"/>
        <v>359.67</v>
      </c>
      <c r="Q205" s="60"/>
      <c r="R205" s="64" t="s">
        <v>75</v>
      </c>
      <c r="S205" s="64" t="s">
        <v>501</v>
      </c>
    </row>
    <row r="206" spans="1:19" ht="21.95" customHeight="1">
      <c r="A206" s="66" t="s">
        <v>502</v>
      </c>
      <c r="B206" s="64"/>
      <c r="C206" s="65"/>
      <c r="D206" s="64"/>
      <c r="E206" s="64"/>
      <c r="F206" s="60"/>
      <c r="G206" s="60" t="s">
        <v>358</v>
      </c>
      <c r="H206" s="60" t="str">
        <f>IFERROR(INDEX('Docketed Comments'!C:C,MATCH(A206,'Docketed Comments'!H:H,0))&amp;", "&amp;INDEX('Docketed Comments'!B:B,MATCH(A206,'Docketed Comments'!H:H,0)),"")</f>
        <v>Bethany, Diaz</v>
      </c>
      <c r="I206" s="60" t="str">
        <f>IFERROR(INDEX('Docketed Comments'!D:D,MATCH(A206,'Docketed Comments'!H:H,0)),"")</f>
        <v>Phoenix</v>
      </c>
      <c r="J206" s="60" t="str">
        <f>IFERROR(INDEX('Docketed Comments'!I:I,MATCH(A206,'Docketed Comments'!H:H,0)),"")</f>
        <v>RTOUE47</v>
      </c>
      <c r="K206" s="60" t="str">
        <f t="shared" si="7"/>
        <v>❌ Not on Best Plan</v>
      </c>
      <c r="L206" s="60" t="str">
        <f>IFERROR(INDEX('Docketed Comments'!F:F,MATCH(A206,'Docketed Comments'!H:H,0)),"")</f>
        <v xml:space="preserve">Owned home for 15 years and made all the EE improvements and bills are still going up. </v>
      </c>
      <c r="M206" s="120" t="str">
        <f>IFERROR(INDEX('Docketed Comments'!G:G,MATCH(A206,'Docketed Comments'!H:H,0)),"")</f>
        <v>https://docket.images.azcc.gov/E000048738.pdf</v>
      </c>
      <c r="N206" s="118" t="str">
        <f>IFERROR(INDEX('Docketed Comments'!N:N,MATCH(A206,'Docketed Comments'!H:H,0)),"")</f>
        <v>No</v>
      </c>
      <c r="O206" s="118" t="str">
        <f>IFERROR(INDEX('Docketed Comments'!L:L,MATCH(A206,'Docketed Comments'!H:H,0)),"")</f>
        <v>No MEP R3-47 ($128.88</v>
      </c>
      <c r="P206" s="119">
        <f t="shared" si="6"/>
        <v>0</v>
      </c>
      <c r="Q206" s="60"/>
      <c r="R206" s="64" t="s">
        <v>75</v>
      </c>
      <c r="S206" s="64" t="s">
        <v>503</v>
      </c>
    </row>
    <row r="207" spans="1:19" ht="21.95" customHeight="1">
      <c r="A207" s="66" t="s">
        <v>504</v>
      </c>
      <c r="B207" s="64"/>
      <c r="C207" s="65"/>
      <c r="D207" s="64"/>
      <c r="E207" s="64"/>
      <c r="F207" s="60"/>
      <c r="G207" s="60" t="s">
        <v>492</v>
      </c>
      <c r="H207" s="60" t="str">
        <f>IFERROR(INDEX('Docketed Comments'!C:C,MATCH(A207,'Docketed Comments'!H:H,0))&amp;", "&amp;INDEX('Docketed Comments'!B:B,MATCH(A207,'Docketed Comments'!H:H,0)),"")</f>
        <v>Jared, Mancuso</v>
      </c>
      <c r="I207" s="60" t="str">
        <f>IFERROR(INDEX('Docketed Comments'!D:D,MATCH(A207,'Docketed Comments'!H:H,0)),"")</f>
        <v>Phoenix</v>
      </c>
      <c r="J207" s="60" t="str">
        <f>IFERROR(INDEX('Docketed Comments'!I:I,MATCH(A207,'Docketed Comments'!H:H,0)),"")</f>
        <v>R-BASICL</v>
      </c>
      <c r="K207" s="60" t="str">
        <f t="shared" si="7"/>
        <v>❌ Not on Best Plan</v>
      </c>
      <c r="L207" s="60" t="str">
        <f>IFERROR(INDEX('Docketed Comments'!F:F,MATCH(A207,'Docketed Comments'!H:H,0)),"")</f>
        <v>already too high, wages are stagnant, and the profit margins of this company are absurd.</v>
      </c>
      <c r="M207" s="120" t="str">
        <f>IFERROR(INDEX('Docketed Comments'!G:G,MATCH(A207,'Docketed Comments'!H:H,0)),"")</f>
        <v>https://images.edocket.azcc.gov/docketpdf/E000048753.pdf</v>
      </c>
      <c r="N207" s="118" t="str">
        <f>IFERROR(INDEX('Docketed Comments'!N:N,MATCH(A207,'Docketed Comments'!H:H,0)),"")</f>
        <v>No</v>
      </c>
      <c r="O207" s="118" t="str">
        <f>IFERROR(INDEX('Docketed Comments'!L:L,MATCH(A207,'Docketed Comments'!H:H,0)),"")</f>
        <v>No MEP R3-47 ($336.56)</v>
      </c>
      <c r="P207" s="119">
        <f t="shared" si="6"/>
        <v>336.56</v>
      </c>
      <c r="Q207" s="60"/>
      <c r="R207" s="64" t="s">
        <v>75</v>
      </c>
      <c r="S207" s="64" t="s">
        <v>505</v>
      </c>
    </row>
    <row r="208" spans="1:19" ht="21.95" customHeight="1">
      <c r="A208" s="66" t="s">
        <v>506</v>
      </c>
      <c r="B208" s="64"/>
      <c r="C208" s="65"/>
      <c r="D208" s="64"/>
      <c r="E208" s="64"/>
      <c r="F208" s="60"/>
      <c r="G208" s="60" t="s">
        <v>492</v>
      </c>
      <c r="H208" s="60" t="str">
        <f>IFERROR(INDEX('Docketed Comments'!C:C,MATCH(A208,'Docketed Comments'!H:H,0))&amp;", "&amp;INDEX('Docketed Comments'!B:B,MATCH(A208,'Docketed Comments'!H:H,0)),"")</f>
        <v>Nathan, Peterson</v>
      </c>
      <c r="I208" s="60" t="str">
        <f>IFERROR(INDEX('Docketed Comments'!D:D,MATCH(A208,'Docketed Comments'!H:H,0)),"")</f>
        <v>Goodyear</v>
      </c>
      <c r="J208" s="60" t="str">
        <f>IFERROR(INDEX('Docketed Comments'!I:I,MATCH(A208,'Docketed Comments'!H:H,0)),"")</f>
        <v>RTOUE47</v>
      </c>
      <c r="K208" s="60" t="str">
        <f t="shared" si="7"/>
        <v>❌ Not on Best Plan</v>
      </c>
      <c r="L208" s="60" t="str">
        <f>IFERROR(INDEX('Docketed Comments'!F:F,MATCH(A208,'Docketed Comments'!H:H,0)),"")</f>
        <v xml:space="preserve">Familes are trying to survive high interest rates, inflation, and provide for themselves and children. The name Arizona Public Service should be a reminder that electricity is a publis service, not a slush fund. </v>
      </c>
      <c r="M208" s="120" t="str">
        <f>IFERROR(INDEX('Docketed Comments'!G:G,MATCH(A208,'Docketed Comments'!H:H,0)),"")</f>
        <v>https://docket.images.azcc.gov/E000048791.pdf</v>
      </c>
      <c r="N208" s="118" t="str">
        <f>IFERROR(INDEX('Docketed Comments'!N:N,MATCH(A208,'Docketed Comments'!H:H,0)),"")</f>
        <v>No</v>
      </c>
      <c r="O208" s="118" t="str">
        <f>IFERROR(INDEX('Docketed Comments'!L:L,MATCH(A208,'Docketed Comments'!H:H,0)),"")</f>
        <v>No MEP R3-47 ($402.12)</v>
      </c>
      <c r="P208" s="119">
        <f t="shared" si="6"/>
        <v>402.12</v>
      </c>
      <c r="Q208" s="60"/>
      <c r="R208" s="64" t="s">
        <v>75</v>
      </c>
      <c r="S208" s="64" t="s">
        <v>507</v>
      </c>
    </row>
    <row r="209" spans="1:19" ht="21.95" customHeight="1">
      <c r="A209" s="66" t="s">
        <v>508</v>
      </c>
      <c r="B209" s="64"/>
      <c r="C209" s="65"/>
      <c r="D209" s="64"/>
      <c r="E209" s="64"/>
      <c r="F209" s="60"/>
      <c r="G209" s="60" t="s">
        <v>358</v>
      </c>
      <c r="H209" s="60" t="str">
        <f>IFERROR(INDEX('Docketed Comments'!C:C,MATCH(A209,'Docketed Comments'!H:H,0))&amp;", "&amp;INDEX('Docketed Comments'!B:B,MATCH(A209,'Docketed Comments'!H:H,0)),"")</f>
        <v>Vanessa, Green</v>
      </c>
      <c r="I209" s="60" t="str">
        <f>IFERROR(INDEX('Docketed Comments'!D:D,MATCH(A209,'Docketed Comments'!H:H,0)),"")</f>
        <v>Phoenix</v>
      </c>
      <c r="J209" s="60" t="str">
        <f>IFERROR(INDEX('Docketed Comments'!I:I,MATCH(A209,'Docketed Comments'!H:H,0)),"")</f>
        <v>R-BASICL</v>
      </c>
      <c r="K209" s="60" t="str">
        <f t="shared" si="7"/>
        <v>❌ Not on Best Plan</v>
      </c>
      <c r="L209" s="60" t="str">
        <f>IFERROR(INDEX('Docketed Comments'!F:F,MATCH(A209,'Docketed Comments'!H:H,0)),"")</f>
        <v xml:space="preserve">we are already struggling to balance the rising costs of childcare with our monthly utility bills. </v>
      </c>
      <c r="M209" s="120" t="str">
        <f>IFERROR(INDEX('Docketed Comments'!G:G,MATCH(A209,'Docketed Comments'!H:H,0)),"")</f>
        <v>https://docket.images.azcc.gov/E000048791.pdf</v>
      </c>
      <c r="N209" s="118" t="str">
        <f>IFERROR(INDEX('Docketed Comments'!N:N,MATCH(A209,'Docketed Comments'!H:H,0)),"")</f>
        <v>No</v>
      </c>
      <c r="O209" s="118" t="str">
        <f>IFERROR(INDEX('Docketed Comments'!L:L,MATCH(A209,'Docketed Comments'!H:H,0)),"")</f>
        <v>No MEP TOUE-47 ($139.27)</v>
      </c>
      <c r="P209" s="119">
        <f t="shared" si="6"/>
        <v>139.27000000000001</v>
      </c>
      <c r="Q209" s="60"/>
      <c r="R209" s="64" t="s">
        <v>75</v>
      </c>
      <c r="S209" s="124" t="s">
        <v>509</v>
      </c>
    </row>
    <row r="210" spans="1:19" ht="21.95" customHeight="1">
      <c r="A210" s="66" t="s">
        <v>510</v>
      </c>
      <c r="B210" s="64"/>
      <c r="C210" s="65"/>
      <c r="D210" s="64"/>
      <c r="E210" s="64"/>
      <c r="F210" s="60"/>
      <c r="G210" s="60" t="s">
        <v>358</v>
      </c>
      <c r="H210" s="60" t="str">
        <f>IFERROR(INDEX('Docketed Comments'!C:C,MATCH(A210,'Docketed Comments'!H:H,0))&amp;", "&amp;INDEX('Docketed Comments'!B:B,MATCH(A210,'Docketed Comments'!H:H,0)),"")</f>
        <v>Paul, Courtney</v>
      </c>
      <c r="I210" s="60" t="str">
        <f>IFERROR(INDEX('Docketed Comments'!D:D,MATCH(A210,'Docketed Comments'!H:H,0)),"")</f>
        <v>Phoenix</v>
      </c>
      <c r="J210" s="60" t="str">
        <f>IFERROR(INDEX('Docketed Comments'!I:I,MATCH(A210,'Docketed Comments'!H:H,0)),"")</f>
        <v>R-BASIC</v>
      </c>
      <c r="K210" s="60" t="str">
        <f t="shared" si="7"/>
        <v>❌ Not on Best Plan</v>
      </c>
      <c r="L210" s="60" t="str">
        <f>IFERROR(INDEX('Docketed Comments'!F:F,MATCH(A210,'Docketed Comments'!H:H,0)),"")</f>
        <v>At what time do we expect APS to reinvest their own profits to upgrade infrastructure?</v>
      </c>
      <c r="M210" s="120" t="str">
        <f>IFERROR(INDEX('Docketed Comments'!G:G,MATCH(A210,'Docketed Comments'!H:H,0)),"")</f>
        <v>https://docket.images.azcc.gov/E000048819.pdf</v>
      </c>
      <c r="N210" s="118" t="str">
        <f>IFERROR(INDEX('Docketed Comments'!N:N,MATCH(A210,'Docketed Comments'!H:H,0)),"")</f>
        <v>No</v>
      </c>
      <c r="O210" s="118" t="str">
        <f>IFERROR(INDEX('Docketed Comments'!L:L,MATCH(A210,'Docketed Comments'!H:H,0)),"")</f>
        <v>No MEP R3-47 ($55.05)</v>
      </c>
      <c r="P210" s="119">
        <f t="shared" si="6"/>
        <v>55.05</v>
      </c>
      <c r="Q210" s="60"/>
      <c r="R210" s="64" t="s">
        <v>75</v>
      </c>
      <c r="S210" s="64" t="s">
        <v>511</v>
      </c>
    </row>
    <row r="211" spans="1:19" ht="21.95" customHeight="1">
      <c r="A211" s="66" t="s">
        <v>512</v>
      </c>
      <c r="B211" s="64"/>
      <c r="C211" s="65"/>
      <c r="D211" s="64"/>
      <c r="E211" s="64"/>
      <c r="F211" s="60"/>
      <c r="G211" s="60" t="s">
        <v>358</v>
      </c>
      <c r="H211" s="60" t="str">
        <f>IFERROR(INDEX('Docketed Comments'!C:C,MATCH(A211,'Docketed Comments'!H:H,0))&amp;", "&amp;INDEX('Docketed Comments'!B:B,MATCH(A211,'Docketed Comments'!H:H,0)),"")</f>
        <v>Vanessa, Marquez</v>
      </c>
      <c r="I211" s="60" t="str">
        <f>IFERROR(INDEX('Docketed Comments'!D:D,MATCH(A211,'Docketed Comments'!H:H,0)),"")</f>
        <v>Tempe</v>
      </c>
      <c r="J211" s="60" t="str">
        <f>IFERROR(INDEX('Docketed Comments'!I:I,MATCH(A211,'Docketed Comments'!H:H,0)),"")</f>
        <v>R-BASICL</v>
      </c>
      <c r="K211" s="60" t="str">
        <f t="shared" si="7"/>
        <v>❌ Not on Best Plan</v>
      </c>
      <c r="L211" s="60" t="str">
        <f>IFERROR(INDEX('Docketed Comments'!F:F,MATCH(A211,'Docketed Comments'!H:H,0)),"")</f>
        <v>people cannot afford another APS price hike. We live in the desert, and to this company all you see is dollar signs. YOU GUYS SUCK IF YOU INCREASE MORE RATES</v>
      </c>
      <c r="M211" s="120" t="str">
        <f>IFERROR(INDEX('Docketed Comments'!G:G,MATCH(A211,'Docketed Comments'!H:H,0)),"")</f>
        <v>https://docket.images.azcc.gov/E000048819.pdf</v>
      </c>
      <c r="N211" s="118" t="str">
        <f>IFERROR(INDEX('Docketed Comments'!N:N,MATCH(A211,'Docketed Comments'!H:H,0)),"")</f>
        <v>No</v>
      </c>
      <c r="O211" s="118" t="str">
        <f>IFERROR(INDEX('Docketed Comments'!L:L,MATCH(A211,'Docketed Comments'!H:H,0)),"")</f>
        <v>No MEP RTOUE47 ($27.85)</v>
      </c>
      <c r="P211" s="119">
        <f t="shared" si="6"/>
        <v>27.85</v>
      </c>
      <c r="Q211" s="60"/>
      <c r="R211" s="64" t="s">
        <v>75</v>
      </c>
      <c r="S211" s="64" t="s">
        <v>513</v>
      </c>
    </row>
    <row r="212" spans="1:19" ht="21.95" customHeight="1">
      <c r="A212" s="66" t="s">
        <v>514</v>
      </c>
      <c r="B212" s="64"/>
      <c r="C212" s="65"/>
      <c r="D212" s="64"/>
      <c r="E212" s="64"/>
      <c r="F212" s="60"/>
      <c r="G212" s="60" t="s">
        <v>492</v>
      </c>
      <c r="H212" s="60" t="str">
        <f>IFERROR(INDEX('Docketed Comments'!C:C,MATCH(A212,'Docketed Comments'!H:H,0))&amp;", "&amp;INDEX('Docketed Comments'!B:B,MATCH(A212,'Docketed Comments'!H:H,0)),"")</f>
        <v>Madison, Berger</v>
      </c>
      <c r="I212" s="60" t="str">
        <f>IFERROR(INDEX('Docketed Comments'!D:D,MATCH(A212,'Docketed Comments'!H:H,0)),"")</f>
        <v xml:space="preserve">Phoenix </v>
      </c>
      <c r="J212" s="60" t="str">
        <f>IFERROR(INDEX('Docketed Comments'!I:I,MATCH(A212,'Docketed Comments'!H:H,0)),"")</f>
        <v>RTOUE47</v>
      </c>
      <c r="K212" s="60" t="str">
        <f t="shared" si="7"/>
        <v>❌ Not on Best Plan</v>
      </c>
      <c r="L212" s="60" t="str">
        <f>IFERROR(INDEX('Docketed Comments'!F:F,MATCH(A212,'Docketed Comments'!H:H,0)),"")</f>
        <v>Oppose -rate was just increased less than 2 years ago</v>
      </c>
      <c r="M212" s="120" t="str">
        <f>IFERROR(INDEX('Docketed Comments'!G:G,MATCH(A212,'Docketed Comments'!H:H,0)),"")</f>
        <v>https://docket.images.azcc.gov/E000048819.pdf</v>
      </c>
      <c r="N212" s="118" t="str">
        <f>IFERROR(INDEX('Docketed Comments'!N:N,MATCH(A212,'Docketed Comments'!H:H,0)),"")</f>
        <v>No</v>
      </c>
      <c r="O212" s="118" t="str">
        <f>IFERROR(INDEX('Docketed Comments'!L:L,MATCH(A212,'Docketed Comments'!H:H,0)),"")</f>
        <v>No MEP R3-47 ($311.33)</v>
      </c>
      <c r="P212" s="119">
        <f t="shared" si="6"/>
        <v>311.33</v>
      </c>
      <c r="Q212" s="60"/>
      <c r="R212" s="64" t="s">
        <v>75</v>
      </c>
      <c r="S212" s="64" t="s">
        <v>515</v>
      </c>
    </row>
    <row r="213" spans="1:19" ht="21.95" customHeight="1">
      <c r="A213" s="66" t="s">
        <v>516</v>
      </c>
      <c r="B213" s="64"/>
      <c r="C213" s="65"/>
      <c r="D213" s="64"/>
      <c r="E213" s="64"/>
      <c r="F213" s="60"/>
      <c r="G213" s="60" t="s">
        <v>358</v>
      </c>
      <c r="H213" s="60" t="str">
        <f>IFERROR(INDEX('Docketed Comments'!C:C,MATCH(A213,'Docketed Comments'!H:H,0))&amp;", "&amp;INDEX('Docketed Comments'!B:B,MATCH(A213,'Docketed Comments'!H:H,0)),"")</f>
        <v>Eileen, Kocho</v>
      </c>
      <c r="I213" s="60" t="str">
        <f>IFERROR(INDEX('Docketed Comments'!D:D,MATCH(A213,'Docketed Comments'!H:H,0)),"")</f>
        <v>Surprise</v>
      </c>
      <c r="J213" s="60" t="str">
        <f>IFERROR(INDEX('Docketed Comments'!I:I,MATCH(A213,'Docketed Comments'!H:H,0)),"")</f>
        <v>RTOUE47</v>
      </c>
      <c r="K213" s="60" t="str">
        <f t="shared" si="7"/>
        <v>❌ Not on Best Plan</v>
      </c>
      <c r="L213" s="60" t="str">
        <f>IFERROR(INDEX('Docketed Comments'!F:F,MATCH(A213,'Docketed Comments'!H:H,0)),"")</f>
        <v>rising costs places an undue financial burden on households-especially those on fixed incomes,</v>
      </c>
      <c r="M213" s="120" t="str">
        <f>IFERROR(INDEX('Docketed Comments'!G:G,MATCH(A213,'Docketed Comments'!H:H,0)),"")</f>
        <v>https://docket.images.azcc.gov/E000048819.pdf</v>
      </c>
      <c r="N213" s="118" t="str">
        <f>IFERROR(INDEX('Docketed Comments'!N:N,MATCH(A213,'Docketed Comments'!H:H,0)),"")</f>
        <v>No</v>
      </c>
      <c r="O213" s="118" t="str">
        <f>IFERROR(INDEX('Docketed Comments'!L:L,MATCH(A213,'Docketed Comments'!H:H,0)),"")</f>
        <v>No MEP R-XS ($11.32)</v>
      </c>
      <c r="P213" s="119">
        <f t="shared" si="6"/>
        <v>11.32</v>
      </c>
      <c r="Q213" s="60"/>
      <c r="R213" s="64" t="s">
        <v>75</v>
      </c>
      <c r="S213" s="64" t="s">
        <v>517</v>
      </c>
    </row>
    <row r="214" spans="1:19" ht="21.95" customHeight="1">
      <c r="A214" s="66" t="s">
        <v>518</v>
      </c>
      <c r="B214" s="64"/>
      <c r="C214" s="65"/>
      <c r="D214" s="64"/>
      <c r="E214" s="64"/>
      <c r="F214" s="60"/>
      <c r="G214" s="60" t="s">
        <v>358</v>
      </c>
      <c r="H214" s="60" t="str">
        <f>IFERROR(INDEX('Docketed Comments'!C:C,MATCH(A214,'Docketed Comments'!H:H,0))&amp;", "&amp;INDEX('Docketed Comments'!B:B,MATCH(A214,'Docketed Comments'!H:H,0)),"")</f>
        <v>Youshia, Gewargis</v>
      </c>
      <c r="I214" s="60" t="str">
        <f>IFERROR(INDEX('Docketed Comments'!D:D,MATCH(A214,'Docketed Comments'!H:H,0)),"")</f>
        <v>Sun City</v>
      </c>
      <c r="J214" s="60" t="str">
        <f>IFERROR(INDEX('Docketed Comments'!I:I,MATCH(A214,'Docketed Comments'!H:H,0)),"")</f>
        <v>RTOUE47</v>
      </c>
      <c r="K214" s="60" t="str">
        <f t="shared" si="7"/>
        <v>❌ Not on Best Plan</v>
      </c>
      <c r="L214" s="60" t="str">
        <f>IFERROR(INDEX('Docketed Comments'!F:F,MATCH(A214,'Docketed Comments'!H:H,0)),"")</f>
        <v>This increase places a significant financial burden on households and small businesses</v>
      </c>
      <c r="M214" s="120" t="str">
        <f>IFERROR(INDEX('Docketed Comments'!G:G,MATCH(A214,'Docketed Comments'!H:H,0)),"")</f>
        <v>https://docket.images.azcc.gov/E000048819.pdf</v>
      </c>
      <c r="N214" s="118" t="str">
        <f>IFERROR(INDEX('Docketed Comments'!N:N,MATCH(A214,'Docketed Comments'!H:H,0)),"")</f>
        <v>No</v>
      </c>
      <c r="O214" s="118" t="str">
        <f>IFERROR(INDEX('Docketed Comments'!L:L,MATCH(A214,'Docketed Comments'!H:H,0)),"")</f>
        <v>No MEP R3-47 ($108.10)</v>
      </c>
      <c r="P214" s="119">
        <f t="shared" si="6"/>
        <v>108.1</v>
      </c>
      <c r="Q214" s="60"/>
      <c r="R214" s="64" t="s">
        <v>75</v>
      </c>
      <c r="S214" s="64" t="s">
        <v>519</v>
      </c>
    </row>
    <row r="215" spans="1:19" ht="21.95" customHeight="1">
      <c r="A215" s="66" t="s">
        <v>520</v>
      </c>
      <c r="B215" s="64"/>
      <c r="C215" s="65"/>
      <c r="D215" s="64"/>
      <c r="E215" s="64"/>
      <c r="F215" s="60"/>
      <c r="G215" s="60" t="s">
        <v>358</v>
      </c>
      <c r="H215" s="60" t="str">
        <f>IFERROR(INDEX('Docketed Comments'!C:C,MATCH(A215,'Docketed Comments'!H:H,0))&amp;", "&amp;INDEX('Docketed Comments'!B:B,MATCH(A215,'Docketed Comments'!H:H,0)),"")</f>
        <v>Rebecca, Lewis</v>
      </c>
      <c r="I215" s="60" t="str">
        <f>IFERROR(INDEX('Docketed Comments'!D:D,MATCH(A215,'Docketed Comments'!H:H,0)),"")</f>
        <v>Glendale</v>
      </c>
      <c r="J215" s="60" t="str">
        <f>IFERROR(INDEX('Docketed Comments'!I:I,MATCH(A215,'Docketed Comments'!H:H,0)),"")</f>
        <v>R-BASIC</v>
      </c>
      <c r="K215" s="60" t="str">
        <f t="shared" si="7"/>
        <v>❌ Not on Best Plan</v>
      </c>
      <c r="L215" s="60" t="str">
        <f>IFERROR(INDEX('Docketed Comments'!F:F,MATCH(A215,'Docketed Comments'!H:H,0)),"")</f>
        <v xml:space="preserve">Costs of electricity are rising much faster than our incomes. People with fixed/limited income can't afford these drastic increases year over year. </v>
      </c>
      <c r="M215" s="120" t="str">
        <f>IFERROR(INDEX('Docketed Comments'!G:G,MATCH(A215,'Docketed Comments'!H:H,0)),"")</f>
        <v>https://docket.images.azcc.gov/E000048819.pdf</v>
      </c>
      <c r="N215" s="118" t="str">
        <f>IFERROR(INDEX('Docketed Comments'!N:N,MATCH(A215,'Docketed Comments'!H:H,0)),"")</f>
        <v>No</v>
      </c>
      <c r="O215" s="118" t="str">
        <f>IFERROR(INDEX('Docketed Comments'!L:L,MATCH(A215,'Docketed Comments'!H:H,0)),"")</f>
        <v>Not eligible yet</v>
      </c>
      <c r="P215" s="119">
        <f t="shared" si="6"/>
        <v>0</v>
      </c>
      <c r="Q215" s="60"/>
      <c r="R215" s="64" t="s">
        <v>75</v>
      </c>
      <c r="S215" s="64" t="s">
        <v>521</v>
      </c>
    </row>
    <row r="216" spans="1:19" ht="21.95" customHeight="1">
      <c r="A216" s="66" t="s">
        <v>522</v>
      </c>
      <c r="B216" s="64"/>
      <c r="C216" s="65"/>
      <c r="D216" s="64"/>
      <c r="E216" s="64"/>
      <c r="F216" s="60"/>
      <c r="G216" s="60" t="s">
        <v>492</v>
      </c>
      <c r="H216" s="60" t="str">
        <f>IFERROR(INDEX('Docketed Comments'!C:C,MATCH(A216,'Docketed Comments'!H:H,0))&amp;", "&amp;INDEX('Docketed Comments'!B:B,MATCH(A216,'Docketed Comments'!H:H,0)),"")</f>
        <v>Lyn, Seifert</v>
      </c>
      <c r="I216" s="60" t="str">
        <f>IFERROR(INDEX('Docketed Comments'!D:D,MATCH(A216,'Docketed Comments'!H:H,0)),"")</f>
        <v>Scottsdale</v>
      </c>
      <c r="J216" s="60" t="str">
        <f>IFERROR(INDEX('Docketed Comments'!I:I,MATCH(A216,'Docketed Comments'!H:H,0)),"")</f>
        <v>RTOUE47</v>
      </c>
      <c r="K216" s="60" t="str">
        <f t="shared" si="7"/>
        <v>❌ Not on Best Plan</v>
      </c>
      <c r="L216" s="60" t="str">
        <f>IFERROR(INDEX('Docketed Comments'!F:F,MATCH(A216,'Docketed Comments'!H:H,0)),"")</f>
        <v>APS needs to be pressured to figure out how to keep costs down and find other ways to create cost-effective energy, such as portable nuclear power and natural gas.</v>
      </c>
      <c r="M216" s="120" t="str">
        <f>IFERROR(INDEX('Docketed Comments'!G:G,MATCH(A216,'Docketed Comments'!H:H,0)),"")</f>
        <v>https://docket.images.azcc.gov/E000048819.pdf</v>
      </c>
      <c r="N216" s="118" t="str">
        <f>IFERROR(INDEX('Docketed Comments'!N:N,MATCH(A216,'Docketed Comments'!H:H,0)),"")</f>
        <v>No</v>
      </c>
      <c r="O216" s="118" t="str">
        <f>IFERROR(INDEX('Docketed Comments'!L:L,MATCH(A216,'Docketed Comments'!H:H,0)),"")</f>
        <v>No MEP R3-47 ($339.29)</v>
      </c>
      <c r="P216" s="119">
        <f t="shared" si="6"/>
        <v>339.29</v>
      </c>
      <c r="Q216" s="60"/>
      <c r="R216" s="64" t="s">
        <v>75</v>
      </c>
      <c r="S216" s="64" t="s">
        <v>523</v>
      </c>
    </row>
    <row r="217" spans="1:19" ht="21.95" customHeight="1">
      <c r="A217" s="66" t="s">
        <v>524</v>
      </c>
      <c r="B217" s="64"/>
      <c r="C217" s="65"/>
      <c r="D217" s="64"/>
      <c r="E217" s="64"/>
      <c r="F217" s="60"/>
      <c r="G217" s="60" t="s">
        <v>358</v>
      </c>
      <c r="H217" s="60" t="str">
        <f>IFERROR(INDEX('Docketed Comments'!C:C,MATCH(A217,'Docketed Comments'!H:H,0))&amp;", "&amp;INDEX('Docketed Comments'!B:B,MATCH(A217,'Docketed Comments'!H:H,0)),"")</f>
        <v>Cristiana, Rueda</v>
      </c>
      <c r="I217" s="60" t="str">
        <f>IFERROR(INDEX('Docketed Comments'!D:D,MATCH(A217,'Docketed Comments'!H:H,0)),"")</f>
        <v>Phoenix</v>
      </c>
      <c r="J217" s="60" t="str">
        <f>IFERROR(INDEX('Docketed Comments'!I:I,MATCH(A217,'Docketed Comments'!H:H,0)),"")</f>
        <v>RTOUE47</v>
      </c>
      <c r="K217" s="60" t="str">
        <f t="shared" si="7"/>
        <v>❌ Not on Best Plan</v>
      </c>
      <c r="L217" s="60" t="str">
        <f>IFERROR(INDEX('Docketed Comments'!F:F,MATCH(A217,'Docketed Comments'!H:H,0)),"")</f>
        <v>consider how this affects our total cost of living - many of us struggle to pay rising rent prices without utilities</v>
      </c>
      <c r="M217" s="120" t="str">
        <f>IFERROR(INDEX('Docketed Comments'!G:G,MATCH(A217,'Docketed Comments'!H:H,0)),"")</f>
        <v>https://docket.images.azcc.gov/E000048819.pdf</v>
      </c>
      <c r="N217" s="118" t="str">
        <f>IFERROR(INDEX('Docketed Comments'!N:N,MATCH(A217,'Docketed Comments'!H:H,0)),"")</f>
        <v>No</v>
      </c>
      <c r="O217" s="118" t="str">
        <f>IFERROR(INDEX('Docketed Comments'!L:L,MATCH(A217,'Docketed Comments'!H:H,0)),"")</f>
        <v>No MEP R-XS ($103.62)</v>
      </c>
      <c r="P217" s="119">
        <f t="shared" si="6"/>
        <v>103.62</v>
      </c>
      <c r="Q217" s="60"/>
      <c r="R217" s="64" t="s">
        <v>75</v>
      </c>
      <c r="S217" s="64" t="s">
        <v>525</v>
      </c>
    </row>
    <row r="218" spans="1:19" ht="21.95" customHeight="1">
      <c r="A218" s="66" t="s">
        <v>526</v>
      </c>
      <c r="B218" s="64"/>
      <c r="C218" s="65"/>
      <c r="D218" s="64"/>
      <c r="E218" s="64"/>
      <c r="F218" s="60"/>
      <c r="G218" s="60" t="s">
        <v>492</v>
      </c>
      <c r="H218" s="60" t="str">
        <f>IFERROR(INDEX('Docketed Comments'!C:C,MATCH(A218,'Docketed Comments'!H:H,0))&amp;", "&amp;INDEX('Docketed Comments'!B:B,MATCH(A218,'Docketed Comments'!H:H,0)),"")</f>
        <v>Jennifer, Lundin</v>
      </c>
      <c r="I218" s="60" t="str">
        <f>IFERROR(INDEX('Docketed Comments'!D:D,MATCH(A218,'Docketed Comments'!H:H,0)),"")</f>
        <v>Scottsdale</v>
      </c>
      <c r="J218" s="60" t="str">
        <f>IFERROR(INDEX('Docketed Comments'!I:I,MATCH(A218,'Docketed Comments'!H:H,0)),"")</f>
        <v>R3-47</v>
      </c>
      <c r="K218" s="60" t="str">
        <f t="shared" si="7"/>
        <v>❌ Not on Best Plan</v>
      </c>
      <c r="L218" s="60" t="str">
        <f>IFERROR(INDEX('Docketed Comments'!F:F,MATCH(A218,'Docketed Comments'!H:H,0)),"")</f>
        <v>This is pure GREED and negatively impacts all constituents. Do not pass this!</v>
      </c>
      <c r="M218" s="120" t="str">
        <f>IFERROR(INDEX('Docketed Comments'!G:G,MATCH(A218,'Docketed Comments'!H:H,0)),"")</f>
        <v>https://docket.images.azcc.gov/E000048819.pdf</v>
      </c>
      <c r="N218" s="118" t="str">
        <f>IFERROR(INDEX('Docketed Comments'!N:N,MATCH(A218,'Docketed Comments'!H:H,0)),"")</f>
        <v>No</v>
      </c>
      <c r="O218" s="118" t="str">
        <f>IFERROR(INDEX('Docketed Comments'!L:L,MATCH(A218,'Docketed Comments'!H:H,0)),"")</f>
        <v>No MEP R-XS ($845.52)</v>
      </c>
      <c r="P218" s="119">
        <f t="shared" si="6"/>
        <v>845.52</v>
      </c>
      <c r="Q218" s="60"/>
      <c r="R218" s="64" t="s">
        <v>75</v>
      </c>
      <c r="S218" s="64" t="s">
        <v>527</v>
      </c>
    </row>
    <row r="219" spans="1:19" ht="21.95" customHeight="1">
      <c r="A219" s="66" t="s">
        <v>528</v>
      </c>
      <c r="B219" s="64"/>
      <c r="C219" s="65"/>
      <c r="D219" s="64"/>
      <c r="E219" s="64"/>
      <c r="F219" s="60"/>
      <c r="G219" s="60" t="s">
        <v>358</v>
      </c>
      <c r="H219" s="60" t="str">
        <f>IFERROR(INDEX('Docketed Comments'!C:C,MATCH(A219,'Docketed Comments'!H:H,0))&amp;", "&amp;INDEX('Docketed Comments'!B:B,MATCH(A219,'Docketed Comments'!H:H,0)),"")</f>
        <v>Mara, Zegarac</v>
      </c>
      <c r="I219" s="60" t="str">
        <f>IFERROR(INDEX('Docketed Comments'!D:D,MATCH(A219,'Docketed Comments'!H:H,0)),"")</f>
        <v>Phoenix</v>
      </c>
      <c r="J219" s="60" t="str">
        <f>IFERROR(INDEX('Docketed Comments'!I:I,MATCH(A219,'Docketed Comments'!H:H,0)),"")</f>
        <v>R3-47</v>
      </c>
      <c r="K219" s="60" t="str">
        <f t="shared" si="7"/>
        <v>❌ Not on Best Plan</v>
      </c>
      <c r="L219" s="60" t="str">
        <f>IFERROR(INDEX('Docketed Comments'!F:F,MATCH(A219,'Docketed Comments'!H:H,0)),"")</f>
        <v>No increase in rates is needed or warranted. Put people over profits,</v>
      </c>
      <c r="M219" s="120" t="str">
        <f>IFERROR(INDEX('Docketed Comments'!G:G,MATCH(A219,'Docketed Comments'!H:H,0)),"")</f>
        <v>https://docket.images.azcc.gov/E000048819.pdf</v>
      </c>
      <c r="N219" s="118" t="str">
        <f>IFERROR(INDEX('Docketed Comments'!N:N,MATCH(A219,'Docketed Comments'!H:H,0)),"")</f>
        <v>No</v>
      </c>
      <c r="O219" s="118" t="str">
        <f>IFERROR(INDEX('Docketed Comments'!L:L,MATCH(A219,'Docketed Comments'!H:H,0)),"")</f>
        <v>No MEP R-BASIC ($40.52)</v>
      </c>
      <c r="P219" s="119">
        <f t="shared" si="6"/>
        <v>40.520000000000003</v>
      </c>
      <c r="Q219" s="60"/>
      <c r="R219" s="64" t="s">
        <v>75</v>
      </c>
      <c r="S219" s="64" t="s">
        <v>529</v>
      </c>
    </row>
    <row r="220" spans="1:19" ht="21.95" customHeight="1">
      <c r="A220" s="66" t="s">
        <v>530</v>
      </c>
      <c r="B220" s="64"/>
      <c r="C220" s="65"/>
      <c r="D220" s="64"/>
      <c r="E220" s="64"/>
      <c r="F220" s="60"/>
      <c r="G220" s="60" t="s">
        <v>492</v>
      </c>
      <c r="H220" s="60" t="str">
        <f>IFERROR(INDEX('Docketed Comments'!C:C,MATCH(A220,'Docketed Comments'!H:H,0))&amp;", "&amp;INDEX('Docketed Comments'!B:B,MATCH(A220,'Docketed Comments'!H:H,0)),"")</f>
        <v>Linda, Neal</v>
      </c>
      <c r="I220" s="60" t="str">
        <f>IFERROR(INDEX('Docketed Comments'!D:D,MATCH(A220,'Docketed Comments'!H:H,0)),"")</f>
        <v>Sun City</v>
      </c>
      <c r="J220" s="60" t="str">
        <f>IFERROR(INDEX('Docketed Comments'!I:I,MATCH(A220,'Docketed Comments'!H:H,0)),"")</f>
        <v>RTOUE47</v>
      </c>
      <c r="K220" s="60" t="str">
        <f t="shared" si="7"/>
        <v>❌ Not on Best Plan</v>
      </c>
      <c r="L220" s="60" t="str">
        <f>IFERROR(INDEX('Docketed Comments'!F:F,MATCH(A220,'Docketed Comments'!H:H,0)),"")</f>
        <v xml:space="preserve">14% APS rate hike is excessive for consumers. I am a senior citizen, struggling already. </v>
      </c>
      <c r="M220" s="120" t="str">
        <f>IFERROR(INDEX('Docketed Comments'!G:G,MATCH(A220,'Docketed Comments'!H:H,0)),"")</f>
        <v>https://docket.images.azcc.gov/E000048819.pdf</v>
      </c>
      <c r="N220" s="118" t="str">
        <f>IFERROR(INDEX('Docketed Comments'!N:N,MATCH(A220,'Docketed Comments'!H:H,0)),"")</f>
        <v>No</v>
      </c>
      <c r="O220" s="118" t="str">
        <f>IFERROR(INDEX('Docketed Comments'!L:L,MATCH(A220,'Docketed Comments'!H:H,0)),"")</f>
        <v>No MEP R3-47 ($235.41)</v>
      </c>
      <c r="P220" s="119">
        <f t="shared" si="6"/>
        <v>235.41</v>
      </c>
      <c r="Q220" s="60"/>
      <c r="R220" s="64" t="s">
        <v>75</v>
      </c>
      <c r="S220" s="64" t="s">
        <v>531</v>
      </c>
    </row>
    <row r="221" spans="1:19" ht="21.95" customHeight="1">
      <c r="A221" s="66" t="s">
        <v>532</v>
      </c>
      <c r="B221" s="64"/>
      <c r="C221" s="65"/>
      <c r="D221" s="64"/>
      <c r="E221" s="64"/>
      <c r="F221" s="60"/>
      <c r="G221" s="60" t="s">
        <v>88</v>
      </c>
      <c r="H221" s="60" t="str">
        <f>IFERROR(INDEX('Docketed Comments'!C:C,MATCH(A221,'Docketed Comments'!H:H,0))&amp;", "&amp;INDEX('Docketed Comments'!B:B,MATCH(A221,'Docketed Comments'!H:H,0)),"")</f>
        <v>Scott, Duffy</v>
      </c>
      <c r="I221" s="60" t="str">
        <f>IFERROR(INDEX('Docketed Comments'!D:D,MATCH(A221,'Docketed Comments'!H:H,0)),"")</f>
        <v>Dewey</v>
      </c>
      <c r="J221" s="60" t="str">
        <f>IFERROR(INDEX('Docketed Comments'!I:I,MATCH(A221,'Docketed Comments'!H:H,0)),"")</f>
        <v>R-BASIC</v>
      </c>
      <c r="K221" s="60" t="str">
        <f t="shared" si="7"/>
        <v>✅ On Best Plan</v>
      </c>
      <c r="L221" s="60" t="str">
        <f>IFERROR(INDEX('Docketed Comments'!F:F,MATCH(A221,'Docketed Comments'!H:H,0)),"")</f>
        <v>Opposed</v>
      </c>
      <c r="M221" s="120" t="str">
        <f>IFERROR(INDEX('Docketed Comments'!G:G,MATCH(A221,'Docketed Comments'!H:H,0)),"")</f>
        <v>https://images.edocket.azcc.gov/docketpdf/E000046230.pdf</v>
      </c>
      <c r="N221" s="118" t="str">
        <f>IFERROR(INDEX('Docketed Comments'!N:N,MATCH(A221,'Docketed Comments'!H:H,0)),"")</f>
        <v>No</v>
      </c>
      <c r="O221" s="118" t="str">
        <f>IFERROR(INDEX('Docketed Comments'!L:L,MATCH(A221,'Docketed Comments'!H:H,0)),"")</f>
        <v>Yes</v>
      </c>
      <c r="P221" s="119">
        <f t="shared" si="6"/>
        <v>0</v>
      </c>
      <c r="Q221" s="60"/>
      <c r="R221" s="64" t="s">
        <v>75</v>
      </c>
      <c r="S221" s="64" t="s">
        <v>533</v>
      </c>
    </row>
    <row r="222" spans="1:19" ht="21.95" customHeight="1">
      <c r="A222" s="66" t="s">
        <v>534</v>
      </c>
      <c r="B222" s="64"/>
      <c r="C222" s="65"/>
      <c r="D222" s="64"/>
      <c r="E222" s="64"/>
      <c r="F222" s="60"/>
      <c r="G222" s="60" t="s">
        <v>358</v>
      </c>
      <c r="H222" s="60" t="str">
        <f>IFERROR(INDEX('Docketed Comments'!C:C,MATCH(A222,'Docketed Comments'!H:H,0))&amp;", "&amp;INDEX('Docketed Comments'!B:B,MATCH(A222,'Docketed Comments'!H:H,0)),"")</f>
        <v>Andrew, Barraza</v>
      </c>
      <c r="I222" s="60" t="str">
        <f>IFERROR(INDEX('Docketed Comments'!D:D,MATCH(A222,'Docketed Comments'!H:H,0)),"")</f>
        <v>Phoenix</v>
      </c>
      <c r="J222" s="60" t="str">
        <f>IFERROR(INDEX('Docketed Comments'!I:I,MATCH(A222,'Docketed Comments'!H:H,0)),"")</f>
        <v>RTOUE47</v>
      </c>
      <c r="K222" s="60" t="str">
        <f t="shared" si="7"/>
        <v>❌ Not on Best Plan</v>
      </c>
      <c r="L222" s="60" t="str">
        <f>IFERROR(INDEX('Docketed Comments'!F:F,MATCH(A222,'Docketed Comments'!H:H,0)),"")</f>
        <v xml:space="preserve">Parent of  three children, like many Arizona families, we are already struggling with the rising cost of living. </v>
      </c>
      <c r="M222" s="120" t="str">
        <f>IFERROR(INDEX('Docketed Comments'!G:G,MATCH(A222,'Docketed Comments'!H:H,0)),"")</f>
        <v>https://docket.images.azcc.gov/E000048819.pdf</v>
      </c>
      <c r="N222" s="118" t="str">
        <f>IFERROR(INDEX('Docketed Comments'!N:N,MATCH(A222,'Docketed Comments'!H:H,0)),"")</f>
        <v>No</v>
      </c>
      <c r="O222" s="118" t="str">
        <f>IFERROR(INDEX('Docketed Comments'!L:L,MATCH(A222,'Docketed Comments'!H:H,0)),"")</f>
        <v>No MEP R-BASIC ($1.22)</v>
      </c>
      <c r="P222" s="119">
        <f t="shared" si="6"/>
        <v>1.22</v>
      </c>
      <c r="Q222" s="60"/>
      <c r="R222" s="64" t="s">
        <v>75</v>
      </c>
      <c r="S222" s="64" t="s">
        <v>535</v>
      </c>
    </row>
    <row r="223" spans="1:19" ht="21.95" customHeight="1">
      <c r="A223" s="66" t="s">
        <v>536</v>
      </c>
      <c r="B223" s="64"/>
      <c r="C223" s="65"/>
      <c r="D223" s="64"/>
      <c r="E223" s="64"/>
      <c r="F223" s="60"/>
      <c r="G223" s="60" t="s">
        <v>88</v>
      </c>
      <c r="H223" s="60" t="str">
        <f>IFERROR(INDEX('Docketed Comments'!C:C,MATCH(A223,'Docketed Comments'!H:H,0))&amp;", "&amp;INDEX('Docketed Comments'!B:B,MATCH(A223,'Docketed Comments'!H:H,0)),"")</f>
        <v>Nancy, Crawley</v>
      </c>
      <c r="I223" s="60" t="str">
        <f>IFERROR(INDEX('Docketed Comments'!D:D,MATCH(A223,'Docketed Comments'!H:H,0)),"")</f>
        <v>Cottonwood</v>
      </c>
      <c r="J223" s="60" t="str">
        <f>IFERROR(INDEX('Docketed Comments'!I:I,MATCH(A223,'Docketed Comments'!H:H,0)),"")</f>
        <v>R-BASIC</v>
      </c>
      <c r="K223" s="60" t="str">
        <f t="shared" si="7"/>
        <v>⚠ ??</v>
      </c>
      <c r="L223" s="60" t="str">
        <f>IFERROR(INDEX('Docketed Comments'!F:F,MATCH(A223,'Docketed Comments'!H:H,0)),"")</f>
        <v xml:space="preserve">I'm opposed to a rate increase from APS. It is difficult to pay our current bill, let alone an additional increase. We (retired folks) only received a $34 increase on our SS. </v>
      </c>
      <c r="M223" s="120" t="str">
        <f>IFERROR(INDEX('Docketed Comments'!G:G,MATCH(A223,'Docketed Comments'!H:H,0)),"")</f>
        <v>https://docket.images.azcc.gov/E000048888.pdf</v>
      </c>
      <c r="N223" s="118" t="str">
        <f>IFERROR(INDEX('Docketed Comments'!N:N,MATCH(A223,'Docketed Comments'!H:H,0)),"")</f>
        <v>No</v>
      </c>
      <c r="O223" s="118" t="str">
        <f>IFERROR(INDEX('Docketed Comments'!L:L,MATCH(A223,'Docketed Comments'!H:H,0)),"")</f>
        <v>??</v>
      </c>
      <c r="P223" s="119">
        <f t="shared" si="6"/>
        <v>0</v>
      </c>
      <c r="Q223" s="60"/>
      <c r="R223" s="64" t="s">
        <v>75</v>
      </c>
      <c r="S223" s="64" t="s">
        <v>537</v>
      </c>
    </row>
    <row r="224" spans="1:19" ht="21.95" customHeight="1">
      <c r="A224" s="66" t="s">
        <v>538</v>
      </c>
      <c r="B224" s="64"/>
      <c r="C224" s="65"/>
      <c r="D224" s="64"/>
      <c r="E224" s="64"/>
      <c r="F224" s="60"/>
      <c r="G224" s="60" t="s">
        <v>358</v>
      </c>
      <c r="H224" s="60" t="str">
        <f>IFERROR(INDEX('Docketed Comments'!C:C,MATCH(A224,'Docketed Comments'!H:H,0))&amp;", "&amp;INDEX('Docketed Comments'!B:B,MATCH(A224,'Docketed Comments'!H:H,0)),"")</f>
        <v>Christopher, Ewing</v>
      </c>
      <c r="I224" s="60" t="str">
        <f>IFERROR(INDEX('Docketed Comments'!D:D,MATCH(A224,'Docketed Comments'!H:H,0)),"")</f>
        <v>Phoenix</v>
      </c>
      <c r="J224" s="60" t="str">
        <f>IFERROR(INDEX('Docketed Comments'!I:I,MATCH(A224,'Docketed Comments'!H:H,0)),"")</f>
        <v>RTOUE47</v>
      </c>
      <c r="K224" s="60" t="str">
        <f t="shared" si="7"/>
        <v>❌ Not on Best Plan</v>
      </c>
      <c r="L224" s="60" t="str">
        <f>IFERROR(INDEX('Docketed Comments'!F:F,MATCH(A224,'Docketed Comments'!H:H,0)),"")</f>
        <v>We are already paying historic rate heights while the data centers receive their power at a discounted rate. Enough is enough!</v>
      </c>
      <c r="M224" s="120" t="str">
        <f>IFERROR(INDEX('Docketed Comments'!G:G,MATCH(A224,'Docketed Comments'!H:H,0)),"")</f>
        <v>https://docket.images.azcc.gov/E000048893.pdf</v>
      </c>
      <c r="N224" s="118" t="str">
        <f>IFERROR(INDEX('Docketed Comments'!N:N,MATCH(A224,'Docketed Comments'!H:H,0)),"")</f>
        <v>No</v>
      </c>
      <c r="O224" s="118" t="str">
        <f>IFERROR(INDEX('Docketed Comments'!L:L,MATCH(A224,'Docketed Comments'!H:H,0)),"")</f>
        <v>Not eligible yet</v>
      </c>
      <c r="P224" s="119">
        <f t="shared" si="6"/>
        <v>0</v>
      </c>
      <c r="Q224" s="60"/>
      <c r="R224" s="64" t="s">
        <v>75</v>
      </c>
      <c r="S224" s="64" t="s">
        <v>539</v>
      </c>
    </row>
    <row r="225" spans="1:19" ht="21.95" customHeight="1">
      <c r="A225" s="66" t="s">
        <v>540</v>
      </c>
      <c r="B225" s="64"/>
      <c r="C225" s="65"/>
      <c r="D225" s="64"/>
      <c r="E225" s="64"/>
      <c r="F225" s="60"/>
      <c r="G225" s="60" t="s">
        <v>358</v>
      </c>
      <c r="H225" s="60" t="str">
        <f>IFERROR(INDEX('Docketed Comments'!C:C,MATCH(A225,'Docketed Comments'!H:H,0))&amp;", "&amp;INDEX('Docketed Comments'!B:B,MATCH(A225,'Docketed Comments'!H:H,0)),"")</f>
        <v>Jesse, Daniels</v>
      </c>
      <c r="I225" s="60" t="str">
        <f>IFERROR(INDEX('Docketed Comments'!D:D,MATCH(A225,'Docketed Comments'!H:H,0)),"")</f>
        <v>Prescott Valley</v>
      </c>
      <c r="J225" s="60" t="str">
        <f>IFERROR(INDEX('Docketed Comments'!I:I,MATCH(A225,'Docketed Comments'!H:H,0)),"")</f>
        <v>R-BASICL</v>
      </c>
      <c r="K225" s="60" t="str">
        <f t="shared" si="7"/>
        <v>❌ Not on Best Plan</v>
      </c>
      <c r="L225" s="60" t="str">
        <f>IFERROR(INDEX('Docketed Comments'!F:F,MATCH(A225,'Docketed Comments'!H:H,0)),"")</f>
        <v xml:space="preserve">ACC should require APS to demonstrate stronger cost controls, clearer justification for projected expensses and meaningful efforts to protect low-income customers. </v>
      </c>
      <c r="M225" s="120" t="str">
        <f>IFERROR(INDEX('Docketed Comments'!G:G,MATCH(A225,'Docketed Comments'!H:H,0)),"")</f>
        <v>https://docket.images.azcc.gov/E000048893.pdf</v>
      </c>
      <c r="N225" s="118" t="str">
        <f>IFERROR(INDEX('Docketed Comments'!N:N,MATCH(A225,'Docketed Comments'!H:H,0)),"")</f>
        <v>No</v>
      </c>
      <c r="O225" s="118" t="str">
        <f>IFERROR(INDEX('Docketed Comments'!L:L,MATCH(A225,'Docketed Comments'!H:H,0)),"")</f>
        <v>Not eligible yet</v>
      </c>
      <c r="P225" s="119">
        <f t="shared" si="6"/>
        <v>0</v>
      </c>
      <c r="Q225" s="60"/>
      <c r="R225" s="64" t="s">
        <v>75</v>
      </c>
      <c r="S225" s="64" t="s">
        <v>541</v>
      </c>
    </row>
    <row r="226" spans="1:19" ht="21.95" customHeight="1">
      <c r="A226" s="66" t="s">
        <v>542</v>
      </c>
      <c r="B226" s="64"/>
      <c r="C226" s="65"/>
      <c r="D226" s="64"/>
      <c r="E226" s="64"/>
      <c r="F226" s="60"/>
      <c r="G226" s="60" t="s">
        <v>492</v>
      </c>
      <c r="H226" s="60" t="str">
        <f>IFERROR(INDEX('Docketed Comments'!C:C,MATCH(A226,'Docketed Comments'!H:H,0))&amp;", "&amp;INDEX('Docketed Comments'!B:B,MATCH(A226,'Docketed Comments'!H:H,0)),"")</f>
        <v>Roberta, Smith</v>
      </c>
      <c r="I226" s="60" t="str">
        <f>IFERROR(INDEX('Docketed Comments'!D:D,MATCH(A226,'Docketed Comments'!H:H,0)),"")</f>
        <v>Peoria</v>
      </c>
      <c r="J226" s="60" t="str">
        <f>IFERROR(INDEX('Docketed Comments'!I:I,MATCH(A226,'Docketed Comments'!H:H,0)),"")</f>
        <v>RTOUE47</v>
      </c>
      <c r="K226" s="60" t="str">
        <f t="shared" si="7"/>
        <v>❌ Not on Best Plan</v>
      </c>
      <c r="L226" s="60" t="str">
        <f>IFERROR(INDEX('Docketed Comments'!F:F,MATCH(A226,'Docketed Comments'!H:H,0)),"")</f>
        <v>I would like to ask why you weren't at the meeting as you are an elected official and you are one of the members in charge of making this important decision. I have lived in my current home that uses APS for 11 years. I have seen my rates inrease 3 times.</v>
      </c>
      <c r="M226" s="120" t="str">
        <f>IFERROR(INDEX('Docketed Comments'!G:G,MATCH(A226,'Docketed Comments'!H:H,0)),"")</f>
        <v>https://docket.images.azcc.gov/E000048953.pdf</v>
      </c>
      <c r="N226" s="118" t="str">
        <f>IFERROR(INDEX('Docketed Comments'!N:N,MATCH(A226,'Docketed Comments'!H:H,0)),"")</f>
        <v>No</v>
      </c>
      <c r="O226" s="118" t="str">
        <f>IFERROR(INDEX('Docketed Comments'!L:L,MATCH(A226,'Docketed Comments'!H:H,0)),"")</f>
        <v>No MEP R3-47 ($393.92)</v>
      </c>
      <c r="P226" s="119">
        <f t="shared" si="6"/>
        <v>393.92</v>
      </c>
      <c r="Q226" s="60"/>
      <c r="R226" s="64" t="s">
        <v>75</v>
      </c>
      <c r="S226" s="64" t="s">
        <v>543</v>
      </c>
    </row>
    <row r="227" spans="1:19" ht="21.95" customHeight="1">
      <c r="A227" s="66" t="s">
        <v>544</v>
      </c>
      <c r="B227" s="64"/>
      <c r="C227" s="65"/>
      <c r="D227" s="64"/>
      <c r="E227" s="64"/>
      <c r="F227" s="60"/>
      <c r="G227" s="60" t="s">
        <v>88</v>
      </c>
      <c r="H227" s="60" t="str">
        <f>IFERROR(INDEX('Docketed Comments'!C:C,MATCH(A227,'Docketed Comments'!H:H,0))&amp;", "&amp;INDEX('Docketed Comments'!B:B,MATCH(A227,'Docketed Comments'!H:H,0)),"")</f>
        <v>Cheryl, Keithly</v>
      </c>
      <c r="I227" s="60" t="str">
        <f>IFERROR(INDEX('Docketed Comments'!D:D,MATCH(A227,'Docketed Comments'!H:H,0)),"")</f>
        <v>Yuma</v>
      </c>
      <c r="J227" s="60" t="str">
        <f>IFERROR(INDEX('Docketed Comments'!I:I,MATCH(A227,'Docketed Comments'!H:H,0)),"")</f>
        <v>RTOUE47</v>
      </c>
      <c r="K227" s="60" t="str">
        <f t="shared" si="7"/>
        <v>⚠ ???</v>
      </c>
      <c r="L227" s="60" t="str">
        <f>IFERROR(INDEX('Docketed Comments'!F:F,MATCH(A227,'Docketed Comments'!H:H,0)),"")</f>
        <v>Form Letter: Enough is enough! You must reject the latest 14% rate hikes by APS e TEP</v>
      </c>
      <c r="M227" s="120" t="str">
        <f>IFERROR(INDEX('Docketed Comments'!G:G,MATCH(A227,'Docketed Comments'!H:H,0)),"")</f>
        <v>https://docket.images.azcc.gov/E000048950.pdf</v>
      </c>
      <c r="N227" s="118" t="str">
        <f>IFERROR(INDEX('Docketed Comments'!N:N,MATCH(A227,'Docketed Comments'!H:H,0)),"")</f>
        <v>No</v>
      </c>
      <c r="O227" s="118" t="str">
        <f>IFERROR(INDEX('Docketed Comments'!L:L,MATCH(A227,'Docketed Comments'!H:H,0)),"")</f>
        <v>???</v>
      </c>
      <c r="P227" s="119">
        <f t="shared" si="6"/>
        <v>0</v>
      </c>
      <c r="Q227" s="60"/>
      <c r="R227" s="64" t="s">
        <v>75</v>
      </c>
      <c r="S227" s="64" t="s">
        <v>545</v>
      </c>
    </row>
    <row r="228" spans="1:19" ht="21.95" customHeight="1">
      <c r="A228" s="66" t="s">
        <v>546</v>
      </c>
      <c r="B228" s="64"/>
      <c r="C228" s="65"/>
      <c r="D228" s="64"/>
      <c r="E228" s="64"/>
      <c r="F228" s="60"/>
      <c r="G228" s="60" t="s">
        <v>88</v>
      </c>
      <c r="H228" s="60" t="str">
        <f>IFERROR(INDEX('Docketed Comments'!C:C,MATCH(A228,'Docketed Comments'!H:H,0))&amp;", "&amp;INDEX('Docketed Comments'!B:B,MATCH(A228,'Docketed Comments'!H:H,0)),"")</f>
        <v>James, Spear</v>
      </c>
      <c r="I228" s="60" t="str">
        <f>IFERROR(INDEX('Docketed Comments'!D:D,MATCH(A228,'Docketed Comments'!H:H,0)),"")</f>
        <v>Wickenburg</v>
      </c>
      <c r="J228" s="60" t="str">
        <f>IFERROR(INDEX('Docketed Comments'!I:I,MATCH(A228,'Docketed Comments'!H:H,0)),"")</f>
        <v>RTOUE47</v>
      </c>
      <c r="K228" s="60" t="str">
        <f t="shared" si="7"/>
        <v>⚠ ???</v>
      </c>
      <c r="L228" s="60" t="str">
        <f>IFERROR(INDEX('Docketed Comments'!F:F,MATCH(A228,'Docketed Comments'!H:H,0)),"")</f>
        <v>I don't think it is right for the existing residential homes to foot the bill in the form of rate increases for new residential and new commercial development.</v>
      </c>
      <c r="M228" s="120" t="str">
        <f>IFERROR(INDEX('Docketed Comments'!G:G,MATCH(A228,'Docketed Comments'!H:H,0)),"")</f>
        <v>https://docket.images.azcc.gov/E000048958.pdf</v>
      </c>
      <c r="N228" s="118" t="str">
        <f>IFERROR(INDEX('Docketed Comments'!N:N,MATCH(A228,'Docketed Comments'!H:H,0)),"")</f>
        <v>No</v>
      </c>
      <c r="O228" s="118" t="str">
        <f>IFERROR(INDEX('Docketed Comments'!L:L,MATCH(A228,'Docketed Comments'!H:H,0)),"")</f>
        <v>???</v>
      </c>
      <c r="P228" s="119">
        <f t="shared" si="6"/>
        <v>0</v>
      </c>
      <c r="Q228" s="60"/>
      <c r="R228" s="64" t="s">
        <v>75</v>
      </c>
      <c r="S228" s="64" t="s">
        <v>547</v>
      </c>
    </row>
    <row r="229" spans="1:19" ht="21.95" customHeight="1">
      <c r="A229" s="66" t="s">
        <v>548</v>
      </c>
      <c r="B229" s="64"/>
      <c r="C229" s="65"/>
      <c r="D229" s="64"/>
      <c r="E229" s="64"/>
      <c r="F229" s="60"/>
      <c r="G229" s="60" t="s">
        <v>492</v>
      </c>
      <c r="H229" s="60" t="str">
        <f>IFERROR(INDEX('Docketed Comments'!C:C,MATCH(A229,'Docketed Comments'!H:H,0))&amp;", "&amp;INDEX('Docketed Comments'!B:B,MATCH(A229,'Docketed Comments'!H:H,0)),"")</f>
        <v>Michael, Bollinger</v>
      </c>
      <c r="I229" s="60" t="str">
        <f>IFERROR(INDEX('Docketed Comments'!D:D,MATCH(A229,'Docketed Comments'!H:H,0)),"")</f>
        <v>Prescott Valley</v>
      </c>
      <c r="J229" s="60" t="str">
        <f>IFERROR(INDEX('Docketed Comments'!I:I,MATCH(A229,'Docketed Comments'!H:H,0)),"")</f>
        <v>RCPw/R3-47</v>
      </c>
      <c r="K229" s="60" t="str">
        <f t="shared" si="7"/>
        <v>❌ Not on Best Plan</v>
      </c>
      <c r="L229" s="60" t="str">
        <f>IFERROR(INDEX('Docketed Comments'!F:F,MATCH(A229,'Docketed Comments'!H:H,0)),"")</f>
        <v>You want to raise but what are you going to tell disabled people like me that are basically trying to stay afloat</v>
      </c>
      <c r="M229" s="120" t="str">
        <f>IFERROR(INDEX('Docketed Comments'!G:G,MATCH(A229,'Docketed Comments'!H:H,0)),"")</f>
        <v>https://docket.images.azcc.gov/E000048958.pdf</v>
      </c>
      <c r="N229" s="118" t="str">
        <f>IFERROR(INDEX('Docketed Comments'!N:N,MATCH(A229,'Docketed Comments'!H:H,0)),"")</f>
        <v>No</v>
      </c>
      <c r="O229" s="118" t="str">
        <f>IFERROR(INDEX('Docketed Comments'!L:L,MATCH(A229,'Docketed Comments'!H:H,0)),"")</f>
        <v>No MEP TOUE-47 ($384.68)</v>
      </c>
      <c r="P229" s="119">
        <f t="shared" si="6"/>
        <v>384.68</v>
      </c>
      <c r="Q229" s="60"/>
      <c r="R229" s="64" t="s">
        <v>75</v>
      </c>
      <c r="S229" s="64" t="s">
        <v>549</v>
      </c>
    </row>
    <row r="230" spans="1:19" ht="21.95" customHeight="1">
      <c r="A230" s="66" t="s">
        <v>550</v>
      </c>
      <c r="B230" s="64"/>
      <c r="C230" s="65"/>
      <c r="D230" s="64"/>
      <c r="E230" s="64"/>
      <c r="F230" s="60"/>
      <c r="G230" s="60" t="s">
        <v>492</v>
      </c>
      <c r="H230" s="60" t="str">
        <f>IFERROR(INDEX('Docketed Comments'!C:C,MATCH(A230,'Docketed Comments'!H:H,0))&amp;", "&amp;INDEX('Docketed Comments'!B:B,MATCH(A230,'Docketed Comments'!H:H,0)),"")</f>
        <v>Mara, Hudson</v>
      </c>
      <c r="I230" s="60" t="str">
        <f>IFERROR(INDEX('Docketed Comments'!D:D,MATCH(A230,'Docketed Comments'!H:H,0)),"")</f>
        <v>Phoenix</v>
      </c>
      <c r="J230" s="60" t="str">
        <f>IFERROR(INDEX('Docketed Comments'!I:I,MATCH(A230,'Docketed Comments'!H:H,0)),"")</f>
        <v>RTOUE</v>
      </c>
      <c r="K230" s="60" t="str">
        <f t="shared" si="7"/>
        <v>❌ Not on Best Plan</v>
      </c>
      <c r="L230" s="60" t="str">
        <f>IFERROR(INDEX('Docketed Comments'!F:F,MATCH(A230,'Docketed Comments'!H:H,0)),"")</f>
        <v xml:space="preserve"> it's impossible for the average Arizona. To afford electricity , if they continue to do this every single year.</v>
      </c>
      <c r="M230" s="120" t="str">
        <f>IFERROR(INDEX('Docketed Comments'!G:G,MATCH(A230,'Docketed Comments'!H:H,0)),"")</f>
        <v>https://docket.images.azcc.gov/E000048958.pdf</v>
      </c>
      <c r="N230" s="118" t="str">
        <f>IFERROR(INDEX('Docketed Comments'!N:N,MATCH(A230,'Docketed Comments'!H:H,0)),"")</f>
        <v>No</v>
      </c>
      <c r="O230" s="118" t="str">
        <f>IFERROR(INDEX('Docketed Comments'!L:L,MATCH(A230,'Docketed Comments'!H:H,0)),"")</f>
        <v>No MEP R3-47 ($641.78)</v>
      </c>
      <c r="P230" s="119">
        <f t="shared" si="6"/>
        <v>641.78</v>
      </c>
      <c r="Q230" s="60"/>
      <c r="R230" s="64" t="s">
        <v>75</v>
      </c>
      <c r="S230" s="64" t="s">
        <v>551</v>
      </c>
    </row>
    <row r="231" spans="1:19" ht="21.95" customHeight="1">
      <c r="A231" s="66" t="s">
        <v>552</v>
      </c>
      <c r="B231" s="64"/>
      <c r="C231" s="65"/>
      <c r="D231" s="64"/>
      <c r="E231" s="64"/>
      <c r="F231" s="60"/>
      <c r="G231" s="60" t="s">
        <v>88</v>
      </c>
      <c r="H231" s="60" t="str">
        <f>IFERROR(INDEX('Docketed Comments'!C:C,MATCH(A231,'Docketed Comments'!H:H,0))&amp;", "&amp;INDEX('Docketed Comments'!B:B,MATCH(A231,'Docketed Comments'!H:H,0)),"")</f>
        <v>Jamie, Murad</v>
      </c>
      <c r="I231" s="60" t="str">
        <f>IFERROR(INDEX('Docketed Comments'!D:D,MATCH(A231,'Docketed Comments'!H:H,0)),"")</f>
        <v>Phoenix</v>
      </c>
      <c r="J231" s="60" t="str">
        <f>IFERROR(INDEX('Docketed Comments'!I:I,MATCH(A231,'Docketed Comments'!H:H,0)),"")</f>
        <v>R-BASIC</v>
      </c>
      <c r="K231" s="60" t="str">
        <f t="shared" si="7"/>
        <v>⚠ ???</v>
      </c>
      <c r="L231" s="60" t="str">
        <f>IFERROR(INDEX('Docketed Comments'!F:F,MATCH(A231,'Docketed Comments'!H:H,0)),"")</f>
        <v xml:space="preserve">I live in a 2-bedroom, 2-bathroom unit, yet last summer my bill was as high as someone living in a 2,000 sq. ft. house. The tier system they use is also a mess. </v>
      </c>
      <c r="M231" s="120" t="str">
        <f>IFERROR(INDEX('Docketed Comments'!G:G,MATCH(A231,'Docketed Comments'!H:H,0)),"")</f>
        <v>https://docket.images.azcc.gov/E000048963.pdf</v>
      </c>
      <c r="N231" s="118" t="str">
        <f>IFERROR(INDEX('Docketed Comments'!N:N,MATCH(A231,'Docketed Comments'!H:H,0)),"")</f>
        <v>No</v>
      </c>
      <c r="O231" s="118" t="str">
        <f>IFERROR(INDEX('Docketed Comments'!L:L,MATCH(A231,'Docketed Comments'!H:H,0)),"")</f>
        <v>???</v>
      </c>
      <c r="P231" s="119">
        <f t="shared" si="6"/>
        <v>0</v>
      </c>
      <c r="Q231" s="60"/>
      <c r="R231" s="64" t="s">
        <v>75</v>
      </c>
      <c r="S231" s="124" t="s">
        <v>553</v>
      </c>
    </row>
    <row r="232" spans="1:19" ht="21.95" customHeight="1">
      <c r="A232" s="66" t="s">
        <v>554</v>
      </c>
      <c r="B232" s="64"/>
      <c r="C232" s="65"/>
      <c r="D232" s="64"/>
      <c r="E232" s="64"/>
      <c r="F232" s="60"/>
      <c r="G232" s="60" t="s">
        <v>358</v>
      </c>
      <c r="H232" s="60" t="str">
        <f>IFERROR(INDEX('Docketed Comments'!C:C,MATCH(A232,'Docketed Comments'!H:H,0))&amp;", "&amp;INDEX('Docketed Comments'!B:B,MATCH(A232,'Docketed Comments'!H:H,0)),"")</f>
        <v>Joyce, Wahlert</v>
      </c>
      <c r="I232" s="60" t="str">
        <f>IFERROR(INDEX('Docketed Comments'!D:D,MATCH(A232,'Docketed Comments'!H:H,0)),"")</f>
        <v>Sun City West</v>
      </c>
      <c r="J232" s="60" t="str">
        <f>IFERROR(INDEX('Docketed Comments'!I:I,MATCH(A232,'Docketed Comments'!H:H,0)),"")</f>
        <v>R-BASICL</v>
      </c>
      <c r="K232" s="60" t="str">
        <f t="shared" si="7"/>
        <v>❌ Not on Best Plan</v>
      </c>
      <c r="L232" s="60" t="str">
        <f>IFERROR(INDEX('Docketed Comments'!F:F,MATCH(A232,'Docketed Comments'!H:H,0)),"")</f>
        <v xml:space="preserve">Our living expenses have skyrocketed and it I have to stay cool in summer and warm in the winter. Please don't raise the fees again. </v>
      </c>
      <c r="M232" s="120" t="str">
        <f>IFERROR(INDEX('Docketed Comments'!G:G,MATCH(A232,'Docketed Comments'!H:H,0)),"")</f>
        <v>https://docket.images.azcc.gov/E000048921.pdf</v>
      </c>
      <c r="N232" s="118" t="str">
        <f>IFERROR(INDEX('Docketed Comments'!N:N,MATCH(A232,'Docketed Comments'!H:H,0)),"")</f>
        <v>No</v>
      </c>
      <c r="O232" s="118" t="str">
        <f>IFERROR(INDEX('Docketed Comments'!L:L,MATCH(A232,'Docketed Comments'!H:H,0)),"")</f>
        <v>No MEP R3-47 ($173.12)</v>
      </c>
      <c r="P232" s="119">
        <f t="shared" si="6"/>
        <v>173.12</v>
      </c>
      <c r="Q232" s="60"/>
      <c r="R232" s="64" t="s">
        <v>75</v>
      </c>
      <c r="S232" s="64" t="s">
        <v>555</v>
      </c>
    </row>
    <row r="233" spans="1:19" ht="21.95" customHeight="1">
      <c r="A233" s="66" t="s">
        <v>556</v>
      </c>
      <c r="B233" s="64"/>
      <c r="C233" s="65"/>
      <c r="D233" s="64"/>
      <c r="E233" s="64"/>
      <c r="F233" s="60"/>
      <c r="G233" s="60" t="s">
        <v>88</v>
      </c>
      <c r="H233" s="60" t="str">
        <f>IFERROR(INDEX('Docketed Comments'!C:C,MATCH(A233,'Docketed Comments'!H:H,0))&amp;", "&amp;INDEX('Docketed Comments'!B:B,MATCH(A233,'Docketed Comments'!H:H,0)),"")</f>
        <v>James, Dunne</v>
      </c>
      <c r="I233" s="60" t="str">
        <f>IFERROR(INDEX('Docketed Comments'!D:D,MATCH(A233,'Docketed Comments'!H:H,0)),"")</f>
        <v>Sun City</v>
      </c>
      <c r="J233" s="60" t="str">
        <f>IFERROR(INDEX('Docketed Comments'!I:I,MATCH(A233,'Docketed Comments'!H:H,0)),"")</f>
        <v>R-BASIC</v>
      </c>
      <c r="K233" s="60" t="str">
        <f t="shared" si="7"/>
        <v>⚠ ???</v>
      </c>
      <c r="L233" s="60" t="str">
        <f>IFERROR(INDEX('Docketed Comments'!F:F,MATCH(A233,'Docketed Comments'!H:H,0)),"")</f>
        <v>Utility costs are already high, unaffordable energy costs will hurt our economy.</v>
      </c>
      <c r="M233" s="120" t="str">
        <f>IFERROR(INDEX('Docketed Comments'!G:G,MATCH(A233,'Docketed Comments'!H:H,0)),"")</f>
        <v>https://docket.images.azcc.gov/E000048921.pdf</v>
      </c>
      <c r="N233" s="118" t="str">
        <f>IFERROR(INDEX('Docketed Comments'!N:N,MATCH(A233,'Docketed Comments'!H:H,0)),"")</f>
        <v>No</v>
      </c>
      <c r="O233" s="118" t="str">
        <f>IFERROR(INDEX('Docketed Comments'!L:L,MATCH(A233,'Docketed Comments'!H:H,0)),"")</f>
        <v>???</v>
      </c>
      <c r="P233" s="119">
        <f t="shared" si="6"/>
        <v>0</v>
      </c>
      <c r="Q233" s="60"/>
      <c r="R233" s="64" t="s">
        <v>75</v>
      </c>
      <c r="S233" s="64" t="s">
        <v>557</v>
      </c>
    </row>
    <row r="234" spans="1:19" ht="21.95" customHeight="1">
      <c r="A234" s="66" t="s">
        <v>558</v>
      </c>
      <c r="B234" s="64"/>
      <c r="C234" s="65"/>
      <c r="D234" s="64"/>
      <c r="E234" s="64"/>
      <c r="F234" s="60"/>
      <c r="G234" s="60" t="s">
        <v>358</v>
      </c>
      <c r="H234" s="60" t="str">
        <f>IFERROR(INDEX('Docketed Comments'!C:C,MATCH(A234,'Docketed Comments'!H:H,0))&amp;", "&amp;INDEX('Docketed Comments'!B:B,MATCH(A234,'Docketed Comments'!H:H,0)),"")</f>
        <v>Harlene, Smith</v>
      </c>
      <c r="I234" s="60" t="str">
        <f>IFERROR(INDEX('Docketed Comments'!D:D,MATCH(A234,'Docketed Comments'!H:H,0)),"")</f>
        <v>Sun City</v>
      </c>
      <c r="J234" s="60" t="str">
        <f>IFERROR(INDEX('Docketed Comments'!I:I,MATCH(A234,'Docketed Comments'!H:H,0)),"")</f>
        <v>RCPw/RTOUE47</v>
      </c>
      <c r="K234" s="60" t="str">
        <f t="shared" si="7"/>
        <v>❌ Not on Best Plan</v>
      </c>
      <c r="L234" s="60" t="str">
        <f>IFERROR(INDEX('Docketed Comments'!F:F,MATCH(A234,'Docketed Comments'!H:H,0)),"")</f>
        <v xml:space="preserve">decide if I want heat or cool or or food and medicines. Using increases are going way over my head. Please help to keep them not going up. </v>
      </c>
      <c r="M234" s="120" t="str">
        <f>IFERROR(INDEX('Docketed Comments'!G:G,MATCH(A234,'Docketed Comments'!H:H,0)),"")</f>
        <v>https://docket.images.azcc.gov/E000048921.pdf</v>
      </c>
      <c r="N234" s="118" t="str">
        <f>IFERROR(INDEX('Docketed Comments'!N:N,MATCH(A234,'Docketed Comments'!H:H,0)),"")</f>
        <v>No</v>
      </c>
      <c r="O234" s="118" t="str">
        <f>IFERROR(INDEX('Docketed Comments'!L:L,MATCH(A234,'Docketed Comments'!H:H,0)),"")</f>
        <v>No MEP R3-47 ($66.61)</v>
      </c>
      <c r="P234" s="119">
        <f t="shared" si="6"/>
        <v>66.61</v>
      </c>
      <c r="Q234" s="60"/>
      <c r="R234" s="64" t="s">
        <v>75</v>
      </c>
      <c r="S234" s="64" t="s">
        <v>559</v>
      </c>
    </row>
    <row r="235" spans="1:19" ht="21.95" customHeight="1">
      <c r="A235" s="66" t="s">
        <v>560</v>
      </c>
      <c r="B235" s="64"/>
      <c r="C235" s="65"/>
      <c r="D235" s="64"/>
      <c r="E235" s="64"/>
      <c r="F235" s="60"/>
      <c r="G235" s="60" t="s">
        <v>492</v>
      </c>
      <c r="H235" s="60" t="str">
        <f>IFERROR(INDEX('Docketed Comments'!C:C,MATCH(A235,'Docketed Comments'!H:H,0))&amp;", "&amp;INDEX('Docketed Comments'!B:B,MATCH(A235,'Docketed Comments'!H:H,0)),"")</f>
        <v>Autumn, Koukal</v>
      </c>
      <c r="I235" s="60" t="str">
        <f>IFERROR(INDEX('Docketed Comments'!D:D,MATCH(A235,'Docketed Comments'!H:H,0)),"")</f>
        <v>Dewey</v>
      </c>
      <c r="J235" s="60" t="str">
        <f>IFERROR(INDEX('Docketed Comments'!I:I,MATCH(A235,'Docketed Comments'!H:H,0)),"")</f>
        <v>R3-47</v>
      </c>
      <c r="K235" s="60" t="str">
        <f t="shared" si="7"/>
        <v>❌ Not on Best Plan</v>
      </c>
      <c r="L235" s="60" t="str">
        <f>IFERROR(INDEX('Docketed Comments'!F:F,MATCH(A235,'Docketed Comments'!H:H,0)),"")</f>
        <v>ONE MILLION DOLLARS. ONE MILLION DOLLARS base pay is what Our APS CEO's salary is! That's Outrageous!</v>
      </c>
      <c r="M235" s="120" t="str">
        <f>IFERROR(INDEX('Docketed Comments'!G:G,MATCH(A235,'Docketed Comments'!H:H,0)),"")</f>
        <v>https://docket.images.azcc.gov/E000048921.pdf</v>
      </c>
      <c r="N235" s="118" t="str">
        <f>IFERROR(INDEX('Docketed Comments'!N:N,MATCH(A235,'Docketed Comments'!H:H,0)),"")</f>
        <v>No</v>
      </c>
      <c r="O235" s="118" t="str">
        <f>IFERROR(INDEX('Docketed Comments'!L:L,MATCH(A235,'Docketed Comments'!H:H,0)),"")</f>
        <v>No MEP R-BASIC ($213.65)</v>
      </c>
      <c r="P235" s="119">
        <f t="shared" si="6"/>
        <v>213.65</v>
      </c>
      <c r="Q235" s="60"/>
      <c r="R235" s="64" t="s">
        <v>75</v>
      </c>
      <c r="S235" s="64" t="s">
        <v>561</v>
      </c>
    </row>
    <row r="236" spans="1:19" ht="21.95" customHeight="1">
      <c r="A236" s="66" t="s">
        <v>562</v>
      </c>
      <c r="B236" s="64"/>
      <c r="C236" s="65"/>
      <c r="D236" s="64"/>
      <c r="E236" s="64"/>
      <c r="F236" s="60"/>
      <c r="G236" s="60" t="s">
        <v>358</v>
      </c>
      <c r="H236" s="60" t="str">
        <f>IFERROR(INDEX('Docketed Comments'!C:C,MATCH(A236,'Docketed Comments'!H:H,0))&amp;", "&amp;INDEX('Docketed Comments'!B:B,MATCH(A236,'Docketed Comments'!H:H,0)),"")</f>
        <v>Michele, Kane</v>
      </c>
      <c r="I236" s="60" t="str">
        <f>IFERROR(INDEX('Docketed Comments'!D:D,MATCH(A236,'Docketed Comments'!H:H,0)),"")</f>
        <v>Phoenix</v>
      </c>
      <c r="J236" s="60" t="str">
        <f>IFERROR(INDEX('Docketed Comments'!I:I,MATCH(A236,'Docketed Comments'!H:H,0)),"")</f>
        <v>R3-47</v>
      </c>
      <c r="K236" s="60" t="str">
        <f t="shared" si="7"/>
        <v>❌ Not on Best Plan</v>
      </c>
      <c r="L236" s="60" t="str">
        <f>IFERROR(INDEX('Docketed Comments'!F:F,MATCH(A236,'Docketed Comments'!H:H,0)),"")</f>
        <v xml:space="preserve">I believe all the data centers you've allowed in our state are the biggest reason for the proposed increase. </v>
      </c>
      <c r="M236" s="120" t="str">
        <f>IFERROR(INDEX('Docketed Comments'!G:G,MATCH(A236,'Docketed Comments'!H:H,0)),"")</f>
        <v>https://docket.images.azcc.gov/E000048921.pdf</v>
      </c>
      <c r="N236" s="118" t="str">
        <f>IFERROR(INDEX('Docketed Comments'!N:N,MATCH(A236,'Docketed Comments'!H:H,0)),"")</f>
        <v>No</v>
      </c>
      <c r="O236" s="118" t="str">
        <f>IFERROR(INDEX('Docketed Comments'!L:L,MATCH(A236,'Docketed Comments'!H:H,0)),"")</f>
        <v>No MEP RTOUE47 ($37.10)</v>
      </c>
      <c r="P236" s="119">
        <f t="shared" si="6"/>
        <v>37.1</v>
      </c>
      <c r="Q236" s="60"/>
      <c r="R236" s="64" t="s">
        <v>75</v>
      </c>
      <c r="S236" s="64" t="s">
        <v>563</v>
      </c>
    </row>
    <row r="237" spans="1:19" ht="21.95" customHeight="1">
      <c r="A237" s="66" t="s">
        <v>564</v>
      </c>
      <c r="B237" s="64"/>
      <c r="C237" s="65"/>
      <c r="D237" s="64"/>
      <c r="E237" s="64"/>
      <c r="F237" s="60"/>
      <c r="G237" s="60" t="s">
        <v>492</v>
      </c>
      <c r="H237" s="60" t="str">
        <f>IFERROR(INDEX('Docketed Comments'!C:C,MATCH(A237,'Docketed Comments'!H:H,0))&amp;", "&amp;INDEX('Docketed Comments'!B:B,MATCH(A237,'Docketed Comments'!H:H,0)),"")</f>
        <v>Danielle, Richardson</v>
      </c>
      <c r="I237" s="60" t="str">
        <f>IFERROR(INDEX('Docketed Comments'!D:D,MATCH(A237,'Docketed Comments'!H:H,0)),"")</f>
        <v>Scottsdale</v>
      </c>
      <c r="J237" s="60" t="str">
        <f>IFERROR(INDEX('Docketed Comments'!I:I,MATCH(A237,'Docketed Comments'!H:H,0)),"")</f>
        <v>RTOUE47</v>
      </c>
      <c r="K237" s="60" t="str">
        <f t="shared" si="7"/>
        <v>❌ Not on Best Plan</v>
      </c>
      <c r="L237" s="60" t="str">
        <f>IFERROR(INDEX('Docketed Comments'!F:F,MATCH(A237,'Docketed Comments'!H:H,0)),"")</f>
        <v>This hike will hurt me and make me choose food or electricity. We do everything we can to conserve energy</v>
      </c>
      <c r="M237" s="120" t="str">
        <f>IFERROR(INDEX('Docketed Comments'!G:G,MATCH(A237,'Docketed Comments'!H:H,0)),"")</f>
        <v>https://docket.images.azcc.gov/E000048921.pdf</v>
      </c>
      <c r="N237" s="118" t="str">
        <f>IFERROR(INDEX('Docketed Comments'!N:N,MATCH(A237,'Docketed Comments'!H:H,0)),"")</f>
        <v>No</v>
      </c>
      <c r="O237" s="118" t="str">
        <f>IFERROR(INDEX('Docketed Comments'!L:L,MATCH(A237,'Docketed Comments'!H:H,0)),"")</f>
        <v>No MEP R3-47 ($239.72)</v>
      </c>
      <c r="P237" s="119">
        <f t="shared" si="6"/>
        <v>239.72</v>
      </c>
      <c r="Q237" s="60"/>
      <c r="R237" s="64" t="s">
        <v>75</v>
      </c>
      <c r="S237" s="64" t="s">
        <v>565</v>
      </c>
    </row>
    <row r="238" spans="1:19" ht="21.95" customHeight="1">
      <c r="A238" s="66" t="s">
        <v>566</v>
      </c>
      <c r="B238" s="64"/>
      <c r="C238" s="65"/>
      <c r="D238" s="64"/>
      <c r="E238" s="64"/>
      <c r="F238" s="60"/>
      <c r="G238" s="60" t="s">
        <v>358</v>
      </c>
      <c r="H238" s="60" t="str">
        <f>IFERROR(INDEX('Docketed Comments'!C:C,MATCH(A238,'Docketed Comments'!H:H,0))&amp;", "&amp;INDEX('Docketed Comments'!B:B,MATCH(A238,'Docketed Comments'!H:H,0)),"")</f>
        <v>Jon, Lawhead</v>
      </c>
      <c r="I238" s="60" t="str">
        <f>IFERROR(INDEX('Docketed Comments'!D:D,MATCH(A238,'Docketed Comments'!H:H,0)),"")</f>
        <v>Rimrock</v>
      </c>
      <c r="J238" s="60" t="str">
        <f>IFERROR(INDEX('Docketed Comments'!I:I,MATCH(A238,'Docketed Comments'!H:H,0)),"")</f>
        <v>RTOUE47</v>
      </c>
      <c r="K238" s="60" t="str">
        <f t="shared" si="7"/>
        <v>❌ Not on Best Plan</v>
      </c>
      <c r="L238" s="60" t="str">
        <f>IFERROR(INDEX('Docketed Comments'!F:F,MATCH(A238,'Docketed Comments'!H:H,0)),"")</f>
        <v>l'll not pay more. l'II go off the grid</v>
      </c>
      <c r="M238" s="120" t="str">
        <f>IFERROR(INDEX('Docketed Comments'!G:G,MATCH(A238,'Docketed Comments'!H:H,0)),"")</f>
        <v>https://docket.images.azcc.gov/E000048921.pdf</v>
      </c>
      <c r="N238" s="118" t="str">
        <f>IFERROR(INDEX('Docketed Comments'!N:N,MATCH(A238,'Docketed Comments'!H:H,0)),"")</f>
        <v>No</v>
      </c>
      <c r="O238" s="118" t="str">
        <f>IFERROR(INDEX('Docketed Comments'!L:L,MATCH(A238,'Docketed Comments'!H:H,0)),"")</f>
        <v>No MEP R-BASIC ($73.44)</v>
      </c>
      <c r="P238" s="119">
        <f t="shared" si="6"/>
        <v>73.44</v>
      </c>
      <c r="Q238" s="60"/>
      <c r="R238" s="64" t="s">
        <v>75</v>
      </c>
      <c r="S238" s="64" t="s">
        <v>567</v>
      </c>
    </row>
    <row r="239" spans="1:19" ht="21.95" customHeight="1">
      <c r="A239" s="66" t="s">
        <v>568</v>
      </c>
      <c r="B239" s="64"/>
      <c r="C239" s="65"/>
      <c r="D239" s="64"/>
      <c r="E239" s="64"/>
      <c r="F239" s="60"/>
      <c r="G239" s="60" t="s">
        <v>358</v>
      </c>
      <c r="H239" s="60" t="str">
        <f>IFERROR(INDEX('Docketed Comments'!C:C,MATCH(A239,'Docketed Comments'!H:H,0))&amp;", "&amp;INDEX('Docketed Comments'!B:B,MATCH(A239,'Docketed Comments'!H:H,0)),"")</f>
        <v>George, Wade</v>
      </c>
      <c r="I239" s="60" t="str">
        <f>IFERROR(INDEX('Docketed Comments'!D:D,MATCH(A239,'Docketed Comments'!H:H,0)),"")</f>
        <v>Payson</v>
      </c>
      <c r="J239" s="60" t="str">
        <f>IFERROR(INDEX('Docketed Comments'!I:I,MATCH(A239,'Docketed Comments'!H:H,0)),"")</f>
        <v>RTOUE47</v>
      </c>
      <c r="K239" s="60" t="str">
        <f t="shared" si="7"/>
        <v>❌ Not on Best Plan</v>
      </c>
      <c r="L239" s="60" t="str">
        <f>IFERROR(INDEX('Docketed Comments'!F:F,MATCH(A239,'Docketed Comments'!H:H,0)),"")</f>
        <v>please take a minute or two and try to remember what it was like to get through the day when you don't have all the money in the world</v>
      </c>
      <c r="M239" s="120" t="str">
        <f>IFERROR(INDEX('Docketed Comments'!G:G,MATCH(A239,'Docketed Comments'!H:H,0)),"")</f>
        <v>https://docket.images.azcc.gov/E000048921.pdf</v>
      </c>
      <c r="N239" s="118" t="str">
        <f>IFERROR(INDEX('Docketed Comments'!N:N,MATCH(A239,'Docketed Comments'!H:H,0)),"")</f>
        <v>No</v>
      </c>
      <c r="O239" s="118" t="str">
        <f>IFERROR(INDEX('Docketed Comments'!L:L,MATCH(A239,'Docketed Comments'!H:H,0)),"")</f>
        <v>No MEP R-XS ($159.52)</v>
      </c>
      <c r="P239" s="119">
        <f t="shared" si="6"/>
        <v>159.52000000000001</v>
      </c>
      <c r="Q239" s="60"/>
      <c r="R239" s="64" t="s">
        <v>75</v>
      </c>
      <c r="S239" s="64" t="s">
        <v>569</v>
      </c>
    </row>
    <row r="240" spans="1:19" ht="21.95" customHeight="1">
      <c r="A240" s="66" t="s">
        <v>570</v>
      </c>
      <c r="B240" s="64"/>
      <c r="C240" s="65"/>
      <c r="D240" s="64"/>
      <c r="E240" s="64"/>
      <c r="F240" s="60"/>
      <c r="G240" s="60" t="s">
        <v>358</v>
      </c>
      <c r="H240" s="60" t="str">
        <f>IFERROR(INDEX('Docketed Comments'!C:C,MATCH(A240,'Docketed Comments'!H:H,0))&amp;", "&amp;INDEX('Docketed Comments'!B:B,MATCH(A240,'Docketed Comments'!H:H,0)),"")</f>
        <v>Esther, Bell</v>
      </c>
      <c r="I240" s="60" t="str">
        <f>IFERROR(INDEX('Docketed Comments'!D:D,MATCH(A240,'Docketed Comments'!H:H,0)),"")</f>
        <v>Winslow</v>
      </c>
      <c r="J240" s="60" t="str">
        <f>IFERROR(INDEX('Docketed Comments'!I:I,MATCH(A240,'Docketed Comments'!H:H,0)),"")</f>
        <v>R-XS</v>
      </c>
      <c r="K240" s="60" t="str">
        <f t="shared" si="7"/>
        <v>❌ Not on Best Plan</v>
      </c>
      <c r="L240" s="60" t="str">
        <f>IFERROR(INDEX('Docketed Comments'!F:F,MATCH(A240,'Docketed Comments'!H:H,0)),"")</f>
        <v>Prices are too high already being on a fixed income it will hurt</v>
      </c>
      <c r="M240" s="120" t="str">
        <f>IFERROR(INDEX('Docketed Comments'!G:G,MATCH(A240,'Docketed Comments'!H:H,0)),"")</f>
        <v>https://docket.images.azcc.gov/E000048921.pdf</v>
      </c>
      <c r="N240" s="118" t="str">
        <f>IFERROR(INDEX('Docketed Comments'!N:N,MATCH(A240,'Docketed Comments'!H:H,0)),"")</f>
        <v>No</v>
      </c>
      <c r="O240" s="118" t="str">
        <f>IFERROR(INDEX('Docketed Comments'!L:L,MATCH(A240,'Docketed Comments'!H:H,0)),"")</f>
        <v>No MEP R3-47 ($97.32)</v>
      </c>
      <c r="P240" s="119">
        <f t="shared" si="6"/>
        <v>97.32</v>
      </c>
      <c r="Q240" s="60"/>
      <c r="R240" s="64" t="s">
        <v>75</v>
      </c>
      <c r="S240" s="64" t="s">
        <v>571</v>
      </c>
    </row>
    <row r="241" spans="1:19" ht="21.95" customHeight="1">
      <c r="A241" s="66" t="s">
        <v>572</v>
      </c>
      <c r="B241" s="64"/>
      <c r="C241" s="65"/>
      <c r="D241" s="64"/>
      <c r="E241" s="64"/>
      <c r="F241" s="60"/>
      <c r="G241" s="60" t="s">
        <v>358</v>
      </c>
      <c r="H241" s="60" t="str">
        <f>IFERROR(INDEX('Docketed Comments'!C:C,MATCH(A241,'Docketed Comments'!H:H,0))&amp;", "&amp;INDEX('Docketed Comments'!B:B,MATCH(A241,'Docketed Comments'!H:H,0)),"")</f>
        <v>Brenda, Corrales</v>
      </c>
      <c r="I241" s="60" t="str">
        <f>IFERROR(INDEX('Docketed Comments'!D:D,MATCH(A241,'Docketed Comments'!H:H,0)),"")</f>
        <v>Phoenix</v>
      </c>
      <c r="J241" s="60" t="str">
        <f>IFERROR(INDEX('Docketed Comments'!I:I,MATCH(A241,'Docketed Comments'!H:H,0)),"")</f>
        <v>R-BASIC</v>
      </c>
      <c r="K241" s="60" t="str">
        <f t="shared" si="7"/>
        <v>❌ Not on Best Plan</v>
      </c>
      <c r="L241" s="60" t="str">
        <f>IFERROR(INDEX('Docketed Comments'!F:F,MATCH(A241,'Docketed Comments'!H:H,0)),"")</f>
        <v>please don't let asp rise the price on our electric bill and l don't find it fair</v>
      </c>
      <c r="M241" s="120" t="str">
        <f>IFERROR(INDEX('Docketed Comments'!G:G,MATCH(A241,'Docketed Comments'!H:H,0)),"")</f>
        <v>https://docket.images.azcc.gov/E000048921.pdf</v>
      </c>
      <c r="N241" s="118" t="str">
        <f>IFERROR(INDEX('Docketed Comments'!N:N,MATCH(A241,'Docketed Comments'!H:H,0)),"")</f>
        <v>No</v>
      </c>
      <c r="O241" s="118" t="str">
        <f>IFERROR(INDEX('Docketed Comments'!L:L,MATCH(A241,'Docketed Comments'!H:H,0)),"")</f>
        <v>No MEP R3-47 ($170.72)</v>
      </c>
      <c r="P241" s="119">
        <f t="shared" si="6"/>
        <v>170.72</v>
      </c>
      <c r="Q241" s="60"/>
      <c r="R241" s="64" t="s">
        <v>75</v>
      </c>
      <c r="S241" s="64" t="s">
        <v>573</v>
      </c>
    </row>
    <row r="242" spans="1:19" ht="21.95" customHeight="1">
      <c r="A242" s="66" t="s">
        <v>574</v>
      </c>
      <c r="B242" s="64"/>
      <c r="C242" s="65"/>
      <c r="D242" s="64"/>
      <c r="E242" s="64"/>
      <c r="F242" s="60"/>
      <c r="G242" s="60" t="s">
        <v>358</v>
      </c>
      <c r="H242" s="60" t="str">
        <f>IFERROR(INDEX('Docketed Comments'!C:C,MATCH(A242,'Docketed Comments'!H:H,0))&amp;", "&amp;INDEX('Docketed Comments'!B:B,MATCH(A242,'Docketed Comments'!H:H,0)),"")</f>
        <v>Sandye, Gier</v>
      </c>
      <c r="I242" s="60" t="str">
        <f>IFERROR(INDEX('Docketed Comments'!D:D,MATCH(A242,'Docketed Comments'!H:H,0)),"")</f>
        <v>Pine</v>
      </c>
      <c r="J242" s="60" t="str">
        <f>IFERROR(INDEX('Docketed Comments'!I:I,MATCH(A242,'Docketed Comments'!H:H,0)),"")</f>
        <v>R3-47</v>
      </c>
      <c r="K242" s="60" t="str">
        <f t="shared" si="7"/>
        <v>❌ Not on Best Plan</v>
      </c>
      <c r="L242" s="60" t="str">
        <f>IFERROR(INDEX('Docketed Comments'!F:F,MATCH(A242,'Docketed Comments'!H:H,0)),"")</f>
        <v>Make it STOP please! Enough is enough. The burden is too much. These constant rate hikes are breaking us</v>
      </c>
      <c r="M242" s="120" t="str">
        <f>IFERROR(INDEX('Docketed Comments'!G:G,MATCH(A242,'Docketed Comments'!H:H,0)),"")</f>
        <v>https://docket.images.azcc.gov/E000048921.pdf</v>
      </c>
      <c r="N242" s="118" t="str">
        <f>IFERROR(INDEX('Docketed Comments'!N:N,MATCH(A242,'Docketed Comments'!H:H,0)),"")</f>
        <v>No</v>
      </c>
      <c r="O242" s="118" t="str">
        <f>IFERROR(INDEX('Docketed Comments'!L:L,MATCH(A242,'Docketed Comments'!H:H,0)),"")</f>
        <v>Not Eligible - Non-AMI Analog</v>
      </c>
      <c r="P242" s="119">
        <f t="shared" si="6"/>
        <v>0</v>
      </c>
      <c r="Q242" s="60"/>
      <c r="R242" s="64" t="s">
        <v>75</v>
      </c>
      <c r="S242" s="64" t="s">
        <v>575</v>
      </c>
    </row>
    <row r="243" spans="1:19" ht="21.95" customHeight="1">
      <c r="A243" s="66" t="s">
        <v>576</v>
      </c>
      <c r="B243" s="64"/>
      <c r="C243" s="65"/>
      <c r="D243" s="64"/>
      <c r="E243" s="64"/>
      <c r="F243" s="60"/>
      <c r="G243" s="60" t="s">
        <v>358</v>
      </c>
      <c r="H243" s="60" t="str">
        <f>IFERROR(INDEX('Docketed Comments'!C:C,MATCH(A243,'Docketed Comments'!H:H,0))&amp;", "&amp;INDEX('Docketed Comments'!B:B,MATCH(A243,'Docketed Comments'!H:H,0)),"")</f>
        <v>Jessica, Luchini</v>
      </c>
      <c r="I243" s="60" t="str">
        <f>IFERROR(INDEX('Docketed Comments'!D:D,MATCH(A243,'Docketed Comments'!H:H,0)),"")</f>
        <v>Phoenix</v>
      </c>
      <c r="J243" s="60" t="str">
        <f>IFERROR(INDEX('Docketed Comments'!I:I,MATCH(A243,'Docketed Comments'!H:H,0)),"")</f>
        <v>R-BASICL</v>
      </c>
      <c r="K243" s="60" t="str">
        <f t="shared" si="7"/>
        <v>❌ Not on Best Plan</v>
      </c>
      <c r="L243" s="60" t="str">
        <f>IFERROR(INDEX('Docketed Comments'!F:F,MATCH(A243,'Docketed Comments'!H:H,0)),"")</f>
        <v>Lining the pockets of the people at the top, but if there's no substantial change in infrastructure, there's no reason to increase our bills</v>
      </c>
      <c r="M243" s="120" t="str">
        <f>IFERROR(INDEX('Docketed Comments'!G:G,MATCH(A243,'Docketed Comments'!H:H,0)),"")</f>
        <v>https://docket.images.azcc.gov/E000048921.pdf</v>
      </c>
      <c r="N243" s="118" t="str">
        <f>IFERROR(INDEX('Docketed Comments'!N:N,MATCH(A243,'Docketed Comments'!H:H,0)),"")</f>
        <v>No</v>
      </c>
      <c r="O243" s="118" t="str">
        <f>IFERROR(INDEX('Docketed Comments'!L:L,MATCH(A243,'Docketed Comments'!H:H,0)),"")</f>
        <v>Not eligible yet</v>
      </c>
      <c r="P243" s="119">
        <f t="shared" si="6"/>
        <v>0</v>
      </c>
      <c r="Q243" s="60"/>
      <c r="R243" s="64" t="s">
        <v>75</v>
      </c>
      <c r="S243" s="64" t="s">
        <v>577</v>
      </c>
    </row>
    <row r="244" spans="1:19" ht="21.95" customHeight="1">
      <c r="A244" s="66" t="s">
        <v>578</v>
      </c>
      <c r="B244" s="64"/>
      <c r="C244" s="65"/>
      <c r="D244" s="64"/>
      <c r="E244" s="64"/>
      <c r="F244" s="60"/>
      <c r="G244" s="60" t="s">
        <v>358</v>
      </c>
      <c r="H244" s="60" t="str">
        <f>IFERROR(INDEX('Docketed Comments'!C:C,MATCH(A244,'Docketed Comments'!H:H,0))&amp;", "&amp;INDEX('Docketed Comments'!B:B,MATCH(A244,'Docketed Comments'!H:H,0)),"")</f>
        <v>Keith, Gorski</v>
      </c>
      <c r="I244" s="60" t="str">
        <f>IFERROR(INDEX('Docketed Comments'!D:D,MATCH(A244,'Docketed Comments'!H:H,0)),"")</f>
        <v>Arizona City</v>
      </c>
      <c r="J244" s="60" t="str">
        <f>IFERROR(INDEX('Docketed Comments'!I:I,MATCH(A244,'Docketed Comments'!H:H,0)),"")</f>
        <v>R-BASICL</v>
      </c>
      <c r="K244" s="60" t="str">
        <f t="shared" si="7"/>
        <v>❌ Not on Best Plan</v>
      </c>
      <c r="L244" s="60" t="str">
        <f>IFERROR(INDEX('Docketed Comments'!F:F,MATCH(A244,'Docketed Comments'!H:H,0)),"")</f>
        <v>Rates continue rising every year without any protection for consumers. We need help lowering rates.</v>
      </c>
      <c r="M244" s="120" t="str">
        <f>IFERROR(INDEX('Docketed Comments'!G:G,MATCH(A244,'Docketed Comments'!H:H,0)),"")</f>
        <v>https://docket.images.azcc.gov/E000049142.pdf</v>
      </c>
      <c r="N244" s="118" t="str">
        <f>IFERROR(INDEX('Docketed Comments'!N:N,MATCH(A244,'Docketed Comments'!H:H,0)),"")</f>
        <v>No</v>
      </c>
      <c r="O244" s="118" t="str">
        <f>IFERROR(INDEX('Docketed Comments'!L:L,MATCH(A244,'Docketed Comments'!H:H,0)),"")</f>
        <v>No MEP R3-47 ($106.33)</v>
      </c>
      <c r="P244" s="119">
        <f t="shared" si="6"/>
        <v>106.33</v>
      </c>
      <c r="Q244" s="60"/>
      <c r="R244" s="64" t="s">
        <v>75</v>
      </c>
      <c r="S244" s="64" t="s">
        <v>579</v>
      </c>
    </row>
    <row r="245" spans="1:19" ht="21.95" customHeight="1">
      <c r="A245" s="66" t="s">
        <v>580</v>
      </c>
      <c r="B245" s="64"/>
      <c r="C245" s="65"/>
      <c r="D245" s="64"/>
      <c r="E245" s="64"/>
      <c r="F245" s="60"/>
      <c r="G245" s="60" t="s">
        <v>358</v>
      </c>
      <c r="H245" s="60" t="str">
        <f>IFERROR(INDEX('Docketed Comments'!C:C,MATCH(A245,'Docketed Comments'!H:H,0))&amp;", "&amp;INDEX('Docketed Comments'!B:B,MATCH(A245,'Docketed Comments'!H:H,0)),"")</f>
        <v>Nancy, Morrison</v>
      </c>
      <c r="I245" s="60" t="str">
        <f>IFERROR(INDEX('Docketed Comments'!D:D,MATCH(A245,'Docketed Comments'!H:H,0)),"")</f>
        <v>Goodyear</v>
      </c>
      <c r="J245" s="60" t="str">
        <f>IFERROR(INDEX('Docketed Comments'!I:I,MATCH(A245,'Docketed Comments'!H:H,0)),"")</f>
        <v>RCPw/RTOUE47</v>
      </c>
      <c r="K245" s="60" t="str">
        <f t="shared" si="7"/>
        <v>❌ Not on Best Plan</v>
      </c>
      <c r="L245" s="60" t="str">
        <f>IFERROR(INDEX('Docketed Comments'!F:F,MATCH(A245,'Docketed Comments'!H:H,0)),"")</f>
        <v>As a military family with a son, we strongly oppose this rate increase. It is not fair that regular families are being charged more while big corp get discounts</v>
      </c>
      <c r="M245" s="120" t="str">
        <f>IFERROR(INDEX('Docketed Comments'!G:G,MATCH(A245,'Docketed Comments'!H:H,0)),"")</f>
        <v>https://docket.images.azcc.gov/E000049260.pdf</v>
      </c>
      <c r="N245" s="118" t="str">
        <f>IFERROR(INDEX('Docketed Comments'!N:N,MATCH(A245,'Docketed Comments'!H:H,0)),"")</f>
        <v>No</v>
      </c>
      <c r="O245" s="118" t="str">
        <f>IFERROR(INDEX('Docketed Comments'!L:L,MATCH(A245,'Docketed Comments'!H:H,0)),"")</f>
        <v>No MEP R3-47 ($27.99)</v>
      </c>
      <c r="P245" s="119">
        <f t="shared" si="6"/>
        <v>27.99</v>
      </c>
      <c r="Q245" s="60"/>
      <c r="R245" s="64" t="s">
        <v>75</v>
      </c>
      <c r="S245" s="64" t="s">
        <v>581</v>
      </c>
    </row>
    <row r="246" spans="1:19" ht="21.95" customHeight="1">
      <c r="A246" s="66" t="s">
        <v>582</v>
      </c>
      <c r="B246" s="64"/>
      <c r="C246" s="65"/>
      <c r="D246" s="64"/>
      <c r="E246" s="64"/>
      <c r="F246" s="60"/>
      <c r="G246" s="60" t="s">
        <v>492</v>
      </c>
      <c r="H246" s="60" t="str">
        <f>IFERROR(INDEX('Docketed Comments'!C:C,MATCH(A246,'Docketed Comments'!H:H,0))&amp;", "&amp;INDEX('Docketed Comments'!B:B,MATCH(A246,'Docketed Comments'!H:H,0)),"")</f>
        <v>Diana, Valladares</v>
      </c>
      <c r="I246" s="60" t="str">
        <f>IFERROR(INDEX('Docketed Comments'!D:D,MATCH(A246,'Docketed Comments'!H:H,0)),"")</f>
        <v>Phoenix</v>
      </c>
      <c r="J246" s="60" t="str">
        <f>IFERROR(INDEX('Docketed Comments'!I:I,MATCH(A246,'Docketed Comments'!H:H,0)),"")</f>
        <v>RTOUE47</v>
      </c>
      <c r="K246" s="60" t="str">
        <f t="shared" si="7"/>
        <v>❌ Not on Best Plan</v>
      </c>
      <c r="L246" s="60" t="str">
        <f>IFERROR(INDEX('Docketed Comments'!F:F,MATCH(A246,'Docketed Comments'!H:H,0)),"")</f>
        <v>Data Centers are ready to work with the water and electricity.</v>
      </c>
      <c r="M246" s="120" t="str">
        <f>IFERROR(INDEX('Docketed Comments'!G:G,MATCH(A246,'Docketed Comments'!H:H,0)),"")</f>
        <v>https://docket.images.azcc.gov/E000049357.pdf</v>
      </c>
      <c r="N246" s="118" t="str">
        <f>IFERROR(INDEX('Docketed Comments'!N:N,MATCH(A246,'Docketed Comments'!H:H,0)),"")</f>
        <v>No</v>
      </c>
      <c r="O246" s="118" t="str">
        <f>IFERROR(INDEX('Docketed Comments'!L:L,MATCH(A246,'Docketed Comments'!H:H,0)),"")</f>
        <v>No MEP R3-47 ($248.22)</v>
      </c>
      <c r="P246" s="119">
        <f t="shared" si="6"/>
        <v>248.22</v>
      </c>
      <c r="Q246" s="60"/>
      <c r="R246" s="64" t="s">
        <v>75</v>
      </c>
      <c r="S246" s="64" t="s">
        <v>583</v>
      </c>
    </row>
    <row r="247" spans="1:19" ht="21.95" customHeight="1">
      <c r="A247" s="66" t="s">
        <v>584</v>
      </c>
      <c r="B247" s="64"/>
      <c r="C247" s="65"/>
      <c r="D247" s="64"/>
      <c r="E247" s="64"/>
      <c r="F247" s="60"/>
      <c r="G247" s="60" t="s">
        <v>358</v>
      </c>
      <c r="H247" s="60" t="str">
        <f>IFERROR(INDEX('Docketed Comments'!C:C,MATCH(A247,'Docketed Comments'!H:H,0))&amp;", "&amp;INDEX('Docketed Comments'!B:B,MATCH(A247,'Docketed Comments'!H:H,0)),"")</f>
        <v>Jennifer, Sherman</v>
      </c>
      <c r="I247" s="60" t="str">
        <f>IFERROR(INDEX('Docketed Comments'!D:D,MATCH(A247,'Docketed Comments'!H:H,0)),"")</f>
        <v>Parks</v>
      </c>
      <c r="J247" s="60" t="str">
        <f>IFERROR(INDEX('Docketed Comments'!I:I,MATCH(A247,'Docketed Comments'!H:H,0)),"")</f>
        <v>RCPw/RTOUE47</v>
      </c>
      <c r="K247" s="60" t="str">
        <f t="shared" si="7"/>
        <v>❌ Not on Best Plan</v>
      </c>
      <c r="L247" s="60" t="str">
        <f>IFERROR(INDEX('Docketed Comments'!F:F,MATCH(A247,'Docketed Comments'!H:H,0)),"")</f>
        <v>express my concern with APS's proposed rate increases, particularl the solar Grid Access Charge alongside the continued erosion of affordability for Arizona families.</v>
      </c>
      <c r="M247" s="120" t="str">
        <f>IFERROR(INDEX('Docketed Comments'!G:G,MATCH(A247,'Docketed Comments'!H:H,0)),"")</f>
        <v>https://docket.images.azcc.gov/E000049383.pdf</v>
      </c>
      <c r="N247" s="118" t="str">
        <f>IFERROR(INDEX('Docketed Comments'!N:N,MATCH(A247,'Docketed Comments'!H:H,0)),"")</f>
        <v>No</v>
      </c>
      <c r="O247" s="118" t="str">
        <f>IFERROR(INDEX('Docketed Comments'!L:L,MATCH(A247,'Docketed Comments'!H:H,0)),"")</f>
        <v>Not eligible yet</v>
      </c>
      <c r="P247" s="119">
        <f t="shared" si="6"/>
        <v>0</v>
      </c>
      <c r="Q247" s="60"/>
      <c r="R247" s="64" t="s">
        <v>75</v>
      </c>
      <c r="S247" s="64" t="s">
        <v>585</v>
      </c>
    </row>
    <row r="248" spans="1:19" ht="21.95" customHeight="1">
      <c r="A248" s="66" t="s">
        <v>586</v>
      </c>
      <c r="B248" s="64"/>
      <c r="C248" s="65"/>
      <c r="D248" s="64"/>
      <c r="E248" s="64"/>
      <c r="F248" s="60"/>
      <c r="G248" s="60" t="s">
        <v>358</v>
      </c>
      <c r="H248" s="60" t="str">
        <f>IFERROR(INDEX('Docketed Comments'!C:C,MATCH(A248,'Docketed Comments'!H:H,0))&amp;", "&amp;INDEX('Docketed Comments'!B:B,MATCH(A248,'Docketed Comments'!H:H,0)),"")</f>
        <v>Bob, Pine</v>
      </c>
      <c r="I248" s="60" t="str">
        <f>IFERROR(INDEX('Docketed Comments'!D:D,MATCH(A248,'Docketed Comments'!H:H,0)),"")</f>
        <v>Unknown</v>
      </c>
      <c r="J248" s="60" t="str">
        <f>IFERROR(INDEX('Docketed Comments'!I:I,MATCH(A248,'Docketed Comments'!H:H,0)),"")</f>
        <v>RCPw/RTOUE47</v>
      </c>
      <c r="K248" s="60" t="str">
        <f t="shared" si="7"/>
        <v>❌ Not on Best Plan</v>
      </c>
      <c r="L248" s="60" t="str">
        <f>IFERROR(INDEX('Docketed Comments'!F:F,MATCH(A248,'Docketed Comments'!H:H,0)),"")</f>
        <v>Please vote against the APS rate increase application and any other increase application APS applies for</v>
      </c>
      <c r="M248" s="120" t="str">
        <f>IFERROR(INDEX('Docketed Comments'!G:G,MATCH(A248,'Docketed Comments'!H:H,0)),"")</f>
        <v>https://docket.images.azcc.gov/E000049441.pdf</v>
      </c>
      <c r="N248" s="118" t="str">
        <f>IFERROR(INDEX('Docketed Comments'!N:N,MATCH(A248,'Docketed Comments'!H:H,0)),"")</f>
        <v>No</v>
      </c>
      <c r="O248" s="118" t="str">
        <f>IFERROR(INDEX('Docketed Comments'!L:L,MATCH(A248,'Docketed Comments'!H:H,0)),"")</f>
        <v>Not eligible yet</v>
      </c>
      <c r="P248" s="119">
        <f t="shared" si="6"/>
        <v>0</v>
      </c>
      <c r="Q248" s="60"/>
      <c r="R248" s="64" t="s">
        <v>75</v>
      </c>
      <c r="S248" s="64" t="s">
        <v>587</v>
      </c>
    </row>
    <row r="249" spans="1:19" ht="21.95" customHeight="1">
      <c r="A249" s="66" t="s">
        <v>588</v>
      </c>
      <c r="B249" s="64"/>
      <c r="C249" s="65"/>
      <c r="D249" s="64"/>
      <c r="E249" s="64"/>
      <c r="F249" s="60"/>
      <c r="G249" s="60" t="s">
        <v>358</v>
      </c>
      <c r="H249" s="60" t="str">
        <f>IFERROR(INDEX('Docketed Comments'!C:C,MATCH(A249,'Docketed Comments'!H:H,0))&amp;", "&amp;INDEX('Docketed Comments'!B:B,MATCH(A249,'Docketed Comments'!H:H,0)),"")</f>
        <v>Sue, Diaz</v>
      </c>
      <c r="I249" s="60" t="str">
        <f>IFERROR(INDEX('Docketed Comments'!D:D,MATCH(A249,'Docketed Comments'!H:H,0)),"")</f>
        <v>Phoenix</v>
      </c>
      <c r="J249" s="60" t="str">
        <f>IFERROR(INDEX('Docketed Comments'!I:I,MATCH(A249,'Docketed Comments'!H:H,0)),"")</f>
        <v>RCPw/RTOUE47</v>
      </c>
      <c r="K249" s="60" t="str">
        <f t="shared" si="7"/>
        <v>❌ Not on Best Plan</v>
      </c>
      <c r="L249" s="60" t="str">
        <f>IFERROR(INDEX('Docketed Comments'!F:F,MATCH(A249,'Docketed Comments'!H:H,0)),"")</f>
        <v>Near retirement and invested in 34 solar panels to cover our long-term energy needs. Do not yet cover our full electrical costs and proposed increase will exacerbate this issue.</v>
      </c>
      <c r="M249" s="120" t="str">
        <f>IFERROR(INDEX('Docketed Comments'!G:G,MATCH(A249,'Docketed Comments'!H:H,0)),"")</f>
        <v>https://docket.images.azcc.gov/E000049487.pdf</v>
      </c>
      <c r="N249" s="118" t="str">
        <f>IFERROR(INDEX('Docketed Comments'!N:N,MATCH(A249,'Docketed Comments'!H:H,0)),"")</f>
        <v>No</v>
      </c>
      <c r="O249" s="118" t="str">
        <f>IFERROR(INDEX('Docketed Comments'!L:L,MATCH(A249,'Docketed Comments'!H:H,0)),"")</f>
        <v>No MEP R3-47 ($14.60)</v>
      </c>
      <c r="P249" s="119">
        <f t="shared" si="6"/>
        <v>14.6</v>
      </c>
      <c r="Q249" s="60"/>
      <c r="R249" s="64" t="s">
        <v>75</v>
      </c>
      <c r="S249" s="64" t="s">
        <v>589</v>
      </c>
    </row>
    <row r="250" spans="1:19" ht="21.95" customHeight="1">
      <c r="A250" s="66" t="s">
        <v>590</v>
      </c>
      <c r="B250" s="64"/>
      <c r="C250" s="65"/>
      <c r="D250" s="64"/>
      <c r="E250" s="64"/>
      <c r="F250" s="60"/>
      <c r="G250" s="60" t="s">
        <v>358</v>
      </c>
      <c r="H250" s="60" t="str">
        <f>IFERROR(INDEX('Docketed Comments'!C:C,MATCH(A250,'Docketed Comments'!H:H,0))&amp;", "&amp;INDEX('Docketed Comments'!B:B,MATCH(A250,'Docketed Comments'!H:H,0)),"")</f>
        <v>Michael, Moreno</v>
      </c>
      <c r="I250" s="60" t="str">
        <f>IFERROR(INDEX('Docketed Comments'!D:D,MATCH(A250,'Docketed Comments'!H:H,0)),"")</f>
        <v>Phoenix</v>
      </c>
      <c r="J250" s="60" t="str">
        <f>IFERROR(INDEX('Docketed Comments'!I:I,MATCH(A250,'Docketed Comments'!H:H,0)),"")</f>
        <v>RCPw/RTOUE47</v>
      </c>
      <c r="K250" s="60" t="str">
        <f t="shared" si="7"/>
        <v>❌ Not on Best Plan</v>
      </c>
      <c r="L250" s="60" t="str">
        <f>IFERROR(INDEX('Docketed Comments'!F:F,MATCH(A250,'Docketed Comments'!H:H,0)),"")</f>
        <v>Energy should be free! Tesla showed us that already. Stop being greedy. Stop stop stop you greedy miserable pople whoever you are</v>
      </c>
      <c r="M250" s="120" t="str">
        <f>IFERROR(INDEX('Docketed Comments'!G:G,MATCH(A250,'Docketed Comments'!H:H,0)),"")</f>
        <v>https://docket.images.azcc.gov/E000049487.pdf</v>
      </c>
      <c r="N250" s="118" t="str">
        <f>IFERROR(INDEX('Docketed Comments'!N:N,MATCH(A250,'Docketed Comments'!H:H,0)),"")</f>
        <v>No</v>
      </c>
      <c r="O250" s="118" t="str">
        <f>IFERROR(INDEX('Docketed Comments'!L:L,MATCH(A250,'Docketed Comments'!H:H,0)),"")</f>
        <v>No MEP R3-47 ($73.15)</v>
      </c>
      <c r="P250" s="119">
        <f t="shared" si="6"/>
        <v>73.150000000000006</v>
      </c>
      <c r="Q250" s="60"/>
      <c r="R250" s="64" t="s">
        <v>75</v>
      </c>
      <c r="S250" s="64" t="s">
        <v>591</v>
      </c>
    </row>
    <row r="251" spans="1:19" ht="21.95" customHeight="1">
      <c r="A251" s="66" t="s">
        <v>592</v>
      </c>
      <c r="B251" s="64"/>
      <c r="C251" s="65"/>
      <c r="D251" s="64"/>
      <c r="E251" s="64"/>
      <c r="F251" s="60"/>
      <c r="G251" s="60" t="s">
        <v>358</v>
      </c>
      <c r="H251" s="60" t="str">
        <f>IFERROR(INDEX('Docketed Comments'!C:C,MATCH(A251,'Docketed Comments'!H:H,0))&amp;", "&amp;INDEX('Docketed Comments'!B:B,MATCH(A251,'Docketed Comments'!H:H,0)),"")</f>
        <v>Ruben, Ceballos</v>
      </c>
      <c r="I251" s="60" t="str">
        <f>IFERROR(INDEX('Docketed Comments'!D:D,MATCH(A251,'Docketed Comments'!H:H,0)),"")</f>
        <v>Flagstaff</v>
      </c>
      <c r="J251" s="60" t="str">
        <f>IFERROR(INDEX('Docketed Comments'!I:I,MATCH(A251,'Docketed Comments'!H:H,0)),"")</f>
        <v>R-XS</v>
      </c>
      <c r="K251" s="60" t="str">
        <f t="shared" si="7"/>
        <v>❌ Not on Best Plan</v>
      </c>
      <c r="L251" s="60" t="str">
        <f>IFERROR(INDEX('Docketed Comments'!F:F,MATCH(A251,'Docketed Comments'!H:H,0)),"")</f>
        <v>I am an elderly citizen of 86 yrs. I have had increasing APS bills over the years making it harder.</v>
      </c>
      <c r="M251" s="120" t="str">
        <f>IFERROR(INDEX('Docketed Comments'!G:G,MATCH(A251,'Docketed Comments'!H:H,0)),"")</f>
        <v>https://docket.images.azcc.gov/E000049487.pdf</v>
      </c>
      <c r="N251" s="118" t="str">
        <f>IFERROR(INDEX('Docketed Comments'!N:N,MATCH(A251,'Docketed Comments'!H:H,0)),"")</f>
        <v>No</v>
      </c>
      <c r="O251" s="118" t="str">
        <f>IFERROR(INDEX('Docketed Comments'!L:L,MATCH(A251,'Docketed Comments'!H:H,0)),"")</f>
        <v>No MEP R3-47 ($142.29)</v>
      </c>
      <c r="P251" s="119">
        <f t="shared" si="6"/>
        <v>142.29</v>
      </c>
      <c r="Q251" s="60"/>
      <c r="R251" s="64" t="s">
        <v>75</v>
      </c>
      <c r="S251" s="64" t="s">
        <v>593</v>
      </c>
    </row>
    <row r="252" spans="1:19" ht="21.95" customHeight="1">
      <c r="A252" s="66" t="s">
        <v>594</v>
      </c>
      <c r="B252" s="64"/>
      <c r="C252" s="65"/>
      <c r="D252" s="64"/>
      <c r="E252" s="64"/>
      <c r="F252" s="60"/>
      <c r="G252" s="60" t="s">
        <v>492</v>
      </c>
      <c r="H252" s="60" t="str">
        <f>IFERROR(INDEX('Docketed Comments'!C:C,MATCH(A252,'Docketed Comments'!H:H,0))&amp;", "&amp;INDEX('Docketed Comments'!B:B,MATCH(A252,'Docketed Comments'!H:H,0)),"")</f>
        <v>Fred, Morgan</v>
      </c>
      <c r="I252" s="60" t="str">
        <f>IFERROR(INDEX('Docketed Comments'!D:D,MATCH(A252,'Docketed Comments'!H:H,0)),"")</f>
        <v>Flagstaff</v>
      </c>
      <c r="J252" s="60" t="str">
        <f>IFERROR(INDEX('Docketed Comments'!I:I,MATCH(A252,'Docketed Comments'!H:H,0)),"")</f>
        <v>R-BASIC</v>
      </c>
      <c r="K252" s="60" t="str">
        <f t="shared" si="7"/>
        <v>❌ Not on Best Plan</v>
      </c>
      <c r="L252" s="60" t="str">
        <f>IFERROR(INDEX('Docketed Comments'!F:F,MATCH(A252,'Docketed Comments'!H:H,0)),"")</f>
        <v xml:space="preserve">Who let this happen? The correction in billing method should have been planned for </v>
      </c>
      <c r="M252" s="120" t="str">
        <f>IFERROR(INDEX('Docketed Comments'!G:G,MATCH(A252,'Docketed Comments'!H:H,0)),"")</f>
        <v>https://docket.images.azcc.gov/E000049487.pdf</v>
      </c>
      <c r="N252" s="118" t="str">
        <f>IFERROR(INDEX('Docketed Comments'!N:N,MATCH(A252,'Docketed Comments'!H:H,0)),"")</f>
        <v>No</v>
      </c>
      <c r="O252" s="118" t="str">
        <f>IFERROR(INDEX('Docketed Comments'!L:L,MATCH(A252,'Docketed Comments'!H:H,0)),"")</f>
        <v>No MEP R3-47 ($216.81)</v>
      </c>
      <c r="P252" s="119">
        <f t="shared" si="6"/>
        <v>216.81</v>
      </c>
      <c r="Q252" s="60"/>
      <c r="R252" s="64" t="s">
        <v>75</v>
      </c>
      <c r="S252" s="64" t="s">
        <v>595</v>
      </c>
    </row>
    <row r="253" spans="1:19" ht="21.95" customHeight="1">
      <c r="A253" s="66" t="s">
        <v>596</v>
      </c>
      <c r="B253" s="64"/>
      <c r="C253" s="65"/>
      <c r="D253" s="64"/>
      <c r="E253" s="64"/>
      <c r="F253" s="60"/>
      <c r="G253" s="60" t="s">
        <v>492</v>
      </c>
      <c r="H253" s="60" t="str">
        <f>IFERROR(INDEX('Docketed Comments'!C:C,MATCH(A253,'Docketed Comments'!H:H,0))&amp;", "&amp;INDEX('Docketed Comments'!B:B,MATCH(A253,'Docketed Comments'!H:H,0)),"")</f>
        <v>Linda, Morgan</v>
      </c>
      <c r="I253" s="60" t="str">
        <f>IFERROR(INDEX('Docketed Comments'!D:D,MATCH(A253,'Docketed Comments'!H:H,0)),"")</f>
        <v>Flagstaff</v>
      </c>
      <c r="J253" s="60" t="str">
        <f>IFERROR(INDEX('Docketed Comments'!I:I,MATCH(A253,'Docketed Comments'!H:H,0)),"")</f>
        <v>R-BASICL</v>
      </c>
      <c r="K253" s="60" t="str">
        <f t="shared" si="7"/>
        <v>❌ Not on Best Plan</v>
      </c>
      <c r="L253" s="60" t="str">
        <f>IFERROR(INDEX('Docketed Comments'!F:F,MATCH(A253,'Docketed Comments'!H:H,0)),"")</f>
        <v>I do not approve of allowing APS any new side steps to any rate hikes that by pass or skip the commission by the FRM</v>
      </c>
      <c r="M253" s="120" t="str">
        <f>IFERROR(INDEX('Docketed Comments'!G:G,MATCH(A253,'Docketed Comments'!H:H,0)),"")</f>
        <v>https://docket.images.azcc.gov/E000049487.pdf</v>
      </c>
      <c r="N253" s="118" t="str">
        <f>IFERROR(INDEX('Docketed Comments'!N:N,MATCH(A253,'Docketed Comments'!H:H,0)),"")</f>
        <v>No</v>
      </c>
      <c r="O253" s="118" t="str">
        <f>IFERROR(INDEX('Docketed Comments'!L:L,MATCH(A253,'Docketed Comments'!H:H,0)),"")</f>
        <v>No MEP R3-47 ($430.61)</v>
      </c>
      <c r="P253" s="119">
        <f t="shared" si="6"/>
        <v>430.61</v>
      </c>
      <c r="Q253" s="60"/>
      <c r="R253" s="64" t="s">
        <v>75</v>
      </c>
      <c r="S253" s="64" t="s">
        <v>597</v>
      </c>
    </row>
    <row r="254" spans="1:19" ht="21.95" customHeight="1">
      <c r="A254" s="66" t="s">
        <v>598</v>
      </c>
      <c r="B254" s="64"/>
      <c r="C254" s="65"/>
      <c r="D254" s="64"/>
      <c r="E254" s="64"/>
      <c r="F254" s="60"/>
      <c r="G254" s="60" t="s">
        <v>358</v>
      </c>
      <c r="H254" s="60" t="str">
        <f>IFERROR(INDEX('Docketed Comments'!C:C,MATCH(A254,'Docketed Comments'!H:H,0))&amp;", "&amp;INDEX('Docketed Comments'!B:B,MATCH(A254,'Docketed Comments'!H:H,0)),"")</f>
        <v>David, Fero</v>
      </c>
      <c r="I254" s="60" t="str">
        <f>IFERROR(INDEX('Docketed Comments'!D:D,MATCH(A254,'Docketed Comments'!H:H,0)),"")</f>
        <v>Prescott</v>
      </c>
      <c r="J254" s="60" t="str">
        <f>IFERROR(INDEX('Docketed Comments'!I:I,MATCH(A254,'Docketed Comments'!H:H,0)),"")</f>
        <v>RCPw/R3-47</v>
      </c>
      <c r="K254" s="60" t="str">
        <f t="shared" si="7"/>
        <v>❌ Not on Best Plan</v>
      </c>
      <c r="L254" s="60" t="str">
        <f>IFERROR(INDEX('Docketed Comments'!F:F,MATCH(A254,'Docketed Comments'!H:H,0)),"")</f>
        <v>example of the already unfair and irrational penalties placed on Solar contributors to the grid.</v>
      </c>
      <c r="M254" s="120" t="str">
        <f>IFERROR(INDEX('Docketed Comments'!G:G,MATCH(A254,'Docketed Comments'!H:H,0)),"")</f>
        <v>https://docket.images.azcc.gov/E000049493.pdf</v>
      </c>
      <c r="N254" s="118" t="str">
        <f>IFERROR(INDEX('Docketed Comments'!N:N,MATCH(A254,'Docketed Comments'!H:H,0)),"")</f>
        <v>No</v>
      </c>
      <c r="O254" s="118" t="str">
        <f>IFERROR(INDEX('Docketed Comments'!L:L,MATCH(A254,'Docketed Comments'!H:H,0)),"")</f>
        <v>No MEP R3-47 ($81.32)</v>
      </c>
      <c r="P254" s="119">
        <f t="shared" si="6"/>
        <v>81.319999999999993</v>
      </c>
      <c r="Q254" s="60"/>
      <c r="R254" s="64" t="s">
        <v>75</v>
      </c>
      <c r="S254" s="64" t="s">
        <v>599</v>
      </c>
    </row>
    <row r="255" spans="1:19" ht="21.95" customHeight="1">
      <c r="A255" s="66" t="s">
        <v>600</v>
      </c>
      <c r="B255" s="64"/>
      <c r="C255" s="65"/>
      <c r="D255" s="64"/>
      <c r="E255" s="64"/>
      <c r="F255" s="60"/>
      <c r="G255" s="60" t="s">
        <v>492</v>
      </c>
      <c r="H255" s="60" t="str">
        <f>IFERROR(INDEX('Docketed Comments'!C:C,MATCH(A255,'Docketed Comments'!H:H,0))&amp;", "&amp;INDEX('Docketed Comments'!B:B,MATCH(A255,'Docketed Comments'!H:H,0)),"")</f>
        <v>Kimberly, Chuppa</v>
      </c>
      <c r="I255" s="60" t="str">
        <f>IFERROR(INDEX('Docketed Comments'!D:D,MATCH(A255,'Docketed Comments'!H:H,0)),"")</f>
        <v>Gilbert</v>
      </c>
      <c r="J255" s="60" t="str">
        <f>IFERROR(INDEX('Docketed Comments'!I:I,MATCH(A255,'Docketed Comments'!H:H,0)),"")</f>
        <v>R-TOUE47</v>
      </c>
      <c r="K255" s="60" t="str">
        <f t="shared" si="7"/>
        <v>❌ Not on Best Plan</v>
      </c>
      <c r="L255" s="60" t="str">
        <f>IFERROR(INDEX('Docketed Comments'!F:F,MATCH(A255,'Docketed Comments'!H:H,0)),"")</f>
        <v xml:space="preserve">SRP is a not-for-profit entity... and works just fine. In cotnrast, APS is focused on making huge profits for inevestors and executieves. </v>
      </c>
      <c r="M255" s="120" t="str">
        <f>IFERROR(INDEX('Docketed Comments'!G:G,MATCH(A255,'Docketed Comments'!H:H,0)),"")</f>
        <v>https://docket.images.azcc.gov/E000049524.pdf</v>
      </c>
      <c r="N255" s="118" t="str">
        <f>IFERROR(INDEX('Docketed Comments'!N:N,MATCH(A255,'Docketed Comments'!H:H,0)),"")</f>
        <v>No</v>
      </c>
      <c r="O255" s="118" t="str">
        <f>IFERROR(INDEX('Docketed Comments'!L:L,MATCH(A255,'Docketed Comments'!H:H,0)),"")</f>
        <v>No MEP R3-47 ($319.00)</v>
      </c>
      <c r="P255" s="119">
        <f t="shared" si="6"/>
        <v>319</v>
      </c>
      <c r="Q255" s="60"/>
      <c r="R255" s="64" t="s">
        <v>75</v>
      </c>
      <c r="S255" s="64" t="s">
        <v>601</v>
      </c>
    </row>
    <row r="256" spans="1:19" ht="21.95" customHeight="1">
      <c r="A256" s="66" t="s">
        <v>602</v>
      </c>
      <c r="B256" s="64"/>
      <c r="C256" s="65"/>
      <c r="D256" s="64"/>
      <c r="E256" s="64"/>
      <c r="F256" s="60"/>
      <c r="G256" s="60" t="s">
        <v>358</v>
      </c>
      <c r="H256" s="60" t="str">
        <f>IFERROR(INDEX('Docketed Comments'!C:C,MATCH(A256,'Docketed Comments'!H:H,0))&amp;", "&amp;INDEX('Docketed Comments'!B:B,MATCH(A256,'Docketed Comments'!H:H,0)),"")</f>
        <v>Jessie K, Finch</v>
      </c>
      <c r="I256" s="60" t="str">
        <f>IFERROR(INDEX('Docketed Comments'!D:D,MATCH(A256,'Docketed Comments'!H:H,0)),"")</f>
        <v>Flagstaff</v>
      </c>
      <c r="J256" s="60" t="str">
        <f>IFERROR(INDEX('Docketed Comments'!I:I,MATCH(A256,'Docketed Comments'!H:H,0)),"")</f>
        <v>RCPw/RTOUE47</v>
      </c>
      <c r="K256" s="60" t="str">
        <f t="shared" si="7"/>
        <v>❌ Not on Best Plan</v>
      </c>
      <c r="L256" s="60" t="str">
        <f>IFERROR(INDEX('Docketed Comments'!F:F,MATCH(A256,'Docketed Comments'!H:H,0)),"")</f>
        <v>Please stop charging the people of Arizona TO MAKE A PROFIT on what should be a utility FOR THE PEOPLE.</v>
      </c>
      <c r="M256" s="120" t="str">
        <f>IFERROR(INDEX('Docketed Comments'!G:G,MATCH(A256,'Docketed Comments'!H:H,0)),"")</f>
        <v>https://docket.images.azcc.gov/E000049524.pdf</v>
      </c>
      <c r="N256" s="118" t="str">
        <f>IFERROR(INDEX('Docketed Comments'!N:N,MATCH(A256,'Docketed Comments'!H:H,0)),"")</f>
        <v>No</v>
      </c>
      <c r="O256" s="118" t="str">
        <f>IFERROR(INDEX('Docketed Comments'!L:L,MATCH(A256,'Docketed Comments'!H:H,0)),"")</f>
        <v>No MEP R3-47 ($56.37)</v>
      </c>
      <c r="P256" s="119">
        <f t="shared" si="6"/>
        <v>56.37</v>
      </c>
      <c r="Q256" s="60"/>
      <c r="R256" s="64" t="s">
        <v>75</v>
      </c>
      <c r="S256" s="64" t="s">
        <v>603</v>
      </c>
    </row>
    <row r="257" spans="1:19" ht="21.95" customHeight="1">
      <c r="A257" s="66" t="s">
        <v>604</v>
      </c>
      <c r="B257" s="64"/>
      <c r="C257" s="65"/>
      <c r="D257" s="64"/>
      <c r="E257" s="64"/>
      <c r="F257" s="60"/>
      <c r="G257" s="60" t="s">
        <v>88</v>
      </c>
      <c r="H257" s="60" t="str">
        <f>IFERROR(INDEX('Docketed Comments'!C:C,MATCH(A257,'Docketed Comments'!H:H,0))&amp;", "&amp;INDEX('Docketed Comments'!B:B,MATCH(A257,'Docketed Comments'!H:H,0)),"")</f>
        <v>Arwin, Sturnacle</v>
      </c>
      <c r="I257" s="60" t="str">
        <f>IFERROR(INDEX('Docketed Comments'!D:D,MATCH(A257,'Docketed Comments'!H:H,0)),"")</f>
        <v>Flagstaff</v>
      </c>
      <c r="J257" s="60" t="str">
        <f>IFERROR(INDEX('Docketed Comments'!I:I,MATCH(A257,'Docketed Comments'!H:H,0)),"")</f>
        <v>R-BASIC</v>
      </c>
      <c r="K257" s="60" t="str">
        <f t="shared" si="7"/>
        <v>⚠ AMI Opt-Out</v>
      </c>
      <c r="L257" s="60" t="str">
        <f>IFERROR(INDEX('Docketed Comments'!F:F,MATCH(A257,'Docketed Comments'!H:H,0)),"")</f>
        <v>Requesting that Arizona Corporation Commission determine the relation of APS to Pinnacle West Capital Corporation</v>
      </c>
      <c r="M257" s="120" t="str">
        <f>IFERROR(INDEX('Docketed Comments'!G:G,MATCH(A257,'Docketed Comments'!H:H,0)),"")</f>
        <v>https://docket.images.azcc.gov/E000049524.pdf</v>
      </c>
      <c r="N257" s="118" t="str">
        <f>IFERROR(INDEX('Docketed Comments'!N:N,MATCH(A257,'Docketed Comments'!H:H,0)),"")</f>
        <v>No</v>
      </c>
      <c r="O257" s="118" t="str">
        <f>IFERROR(INDEX('Docketed Comments'!L:L,MATCH(A257,'Docketed Comments'!H:H,0)),"")</f>
        <v>AMI Opt-Out</v>
      </c>
      <c r="P257" s="119">
        <f t="shared" si="6"/>
        <v>0</v>
      </c>
      <c r="Q257" s="60"/>
      <c r="R257" s="64" t="s">
        <v>75</v>
      </c>
      <c r="S257" s="64" t="s">
        <v>605</v>
      </c>
    </row>
    <row r="258" spans="1:19" ht="21.95" customHeight="1">
      <c r="A258" s="66" t="s">
        <v>606</v>
      </c>
      <c r="B258" s="64"/>
      <c r="C258" s="65"/>
      <c r="D258" s="64"/>
      <c r="E258" s="64"/>
      <c r="F258" s="60"/>
      <c r="G258" s="60" t="s">
        <v>358</v>
      </c>
      <c r="H258" s="60" t="str">
        <f>IFERROR(INDEX('Docketed Comments'!C:C,MATCH(A258,'Docketed Comments'!H:H,0))&amp;", "&amp;INDEX('Docketed Comments'!B:B,MATCH(A258,'Docketed Comments'!H:H,0)),"")</f>
        <v>Jim, Scott</v>
      </c>
      <c r="I258" s="60" t="str">
        <f>IFERROR(INDEX('Docketed Comments'!D:D,MATCH(A258,'Docketed Comments'!H:H,0)),"")</f>
        <v>Sun City West</v>
      </c>
      <c r="J258" s="60" t="str">
        <f>IFERROR(INDEX('Docketed Comments'!I:I,MATCH(A258,'Docketed Comments'!H:H,0)),"")</f>
        <v>RCPw/RTOUE47</v>
      </c>
      <c r="K258" s="60" t="str">
        <f t="shared" si="7"/>
        <v>❌ Not on Best Plan</v>
      </c>
      <c r="L258" s="60" t="str">
        <f>IFERROR(INDEX('Docketed Comments'!F:F,MATCH(A258,'Docketed Comments'!H:H,0)),"")</f>
        <v xml:space="preserve">Member of Sun City PORA, with solar. </v>
      </c>
      <c r="M258" s="120" t="str">
        <f>IFERROR(INDEX('Docketed Comments'!G:G,MATCH(A258,'Docketed Comments'!H:H,0)),"")</f>
        <v>https://docket.images.azcc.gov/0000216207.pdf</v>
      </c>
      <c r="N258" s="118" t="str">
        <f>IFERROR(INDEX('Docketed Comments'!N:N,MATCH(A258,'Docketed Comments'!H:H,0)),"")</f>
        <v>No</v>
      </c>
      <c r="O258" s="118" t="str">
        <f>IFERROR(INDEX('Docketed Comments'!L:L,MATCH(A258,'Docketed Comments'!H:H,0)),"")</f>
        <v>No MEP R3-47 ($15.82)</v>
      </c>
      <c r="P258" s="119">
        <f t="shared" ref="P258:P321" si="8">IFERROR(IF(ISNUMBER(SEARCH("$",O258)),VALUE(SUBSTITUTE(SUBSTITUTE(MID(O258,FIND("$",O258)+1,FIND(")",O258)-FIND("$",O258)-1),",","")," ","")),VALUE(SUBSTITUTE(SUBSTITUTE(MID(O258,FIND("(",O258)+1,FIND(")",O258)-FIND("(",O258)-1),",","")," ",""))),0)</f>
        <v>15.82</v>
      </c>
      <c r="Q258" s="60"/>
      <c r="R258" s="64" t="s">
        <v>75</v>
      </c>
      <c r="S258" s="64" t="s">
        <v>607</v>
      </c>
    </row>
    <row r="259" spans="1:19" ht="21.95" hidden="1" customHeight="1">
      <c r="A259" s="66" t="s">
        <v>608</v>
      </c>
      <c r="B259" s="64" t="s">
        <v>20</v>
      </c>
      <c r="C259" s="65">
        <v>46032</v>
      </c>
      <c r="D259" s="64" t="s">
        <v>21</v>
      </c>
      <c r="E259" s="64" t="s">
        <v>22</v>
      </c>
      <c r="F259" s="60" t="s">
        <v>99</v>
      </c>
      <c r="G259" s="60"/>
      <c r="H259" s="60" t="str">
        <f>IFERROR(INDEX('Docketed Comments'!C:C,MATCH(A259,'Docketed Comments'!H:H,0))&amp;", "&amp;INDEX('Docketed Comments'!B:B,MATCH(A259,'Docketed Comments'!H:H,0)),"")</f>
        <v>Moses, Findley</v>
      </c>
      <c r="I259" s="60" t="str">
        <f>IFERROR(INDEX('Docketed Comments'!D:D,MATCH(A259,'Docketed Comments'!H:H,0)),"")</f>
        <v>Goodyear</v>
      </c>
      <c r="J259" s="60" t="str">
        <f>IFERROR(INDEX('Docketed Comments'!I:I,MATCH(A259,'Docketed Comments'!H:H,0)),"")</f>
        <v>EPR-6w/E-12</v>
      </c>
      <c r="K259" s="60" t="str">
        <f t="shared" ref="K259:K322" si="9">IFERROR(IF(OR(LEFT(O259,2)="No",LEFT(O259,3)="Not"),"❌ Not on Best Plan",IF(OR(O259="Yes",O259="Y",O259="Yes "),"✅ On Best Plan","⚠ "&amp;O259)),"")</f>
        <v>⚠ Frozen Rate</v>
      </c>
      <c r="L259" s="60" t="str">
        <f>IFERROR(INDEX('Docketed Comments'!F:F,MATCH(A259,'Docketed Comments'!H:H,0)),"")</f>
        <v>Opposed</v>
      </c>
      <c r="M259" s="120" t="str">
        <f>IFERROR(INDEX('Docketed Comments'!G:G,MATCH(A259,'Docketed Comments'!H:H,0)),"")</f>
        <v>https://images.edocket.azcc.gov/docketpdf/E000046155.pdf</v>
      </c>
      <c r="N259" s="118">
        <f>IFERROR(INDEX('Docketed Comments'!N:N,MATCH(A259,'Docketed Comments'!H:H,0)),"")</f>
        <v>326.87</v>
      </c>
      <c r="O259" s="118" t="str">
        <f>IFERROR(INDEX('Docketed Comments'!L:L,MATCH(A259,'Docketed Comments'!H:H,0)),"")</f>
        <v>Frozen Rate</v>
      </c>
      <c r="P259" s="119">
        <f t="shared" si="8"/>
        <v>0</v>
      </c>
      <c r="Q259" s="60" t="s">
        <v>23</v>
      </c>
      <c r="R259" s="64" t="s">
        <v>24</v>
      </c>
      <c r="S259" s="64" t="s">
        <v>609</v>
      </c>
    </row>
    <row r="260" spans="1:19" ht="21.95" hidden="1" customHeight="1">
      <c r="A260" s="66" t="s">
        <v>610</v>
      </c>
      <c r="B260" s="64" t="s">
        <v>20</v>
      </c>
      <c r="C260" s="65">
        <v>45997</v>
      </c>
      <c r="D260" s="64" t="s">
        <v>21</v>
      </c>
      <c r="E260" s="64" t="s">
        <v>22</v>
      </c>
      <c r="F260" s="60" t="s">
        <v>99</v>
      </c>
      <c r="G260" s="60"/>
      <c r="H260" s="60" t="str">
        <f>IFERROR(INDEX('Docketed Comments'!C:C,MATCH(A260,'Docketed Comments'!H:H,0))&amp;", "&amp;INDEX('Docketed Comments'!B:B,MATCH(A260,'Docketed Comments'!H:H,0)),"")</f>
        <v>Brandon, Frazier</v>
      </c>
      <c r="I260" s="60" t="str">
        <f>IFERROR(INDEX('Docketed Comments'!D:D,MATCH(A260,'Docketed Comments'!H:H,0)),"")</f>
        <v>Goodyear</v>
      </c>
      <c r="J260" s="60" t="str">
        <f>IFERROR(INDEX('Docketed Comments'!I:I,MATCH(A260,'Docketed Comments'!H:H,0)),"")</f>
        <v>EPR-6w/ET-2</v>
      </c>
      <c r="K260" s="60" t="str">
        <f t="shared" si="9"/>
        <v>⚠ Frozen Rate</v>
      </c>
      <c r="L260" s="60" t="str">
        <f>IFERROR(INDEX('Docketed Comments'!F:F,MATCH(A260,'Docketed Comments'!H:H,0)),"")</f>
        <v>Opposed</v>
      </c>
      <c r="M260" s="120" t="str">
        <f>IFERROR(INDEX('Docketed Comments'!G:G,MATCH(A260,'Docketed Comments'!H:H,0)),"")</f>
        <v>https://images.edocket.azcc.gov/docketpdf/E000046155.pdf</v>
      </c>
      <c r="N260" s="118">
        <f>IFERROR(INDEX('Docketed Comments'!N:N,MATCH(A260,'Docketed Comments'!H:H,0)),"")</f>
        <v>179.9</v>
      </c>
      <c r="O260" s="118" t="str">
        <f>IFERROR(INDEX('Docketed Comments'!L:L,MATCH(A260,'Docketed Comments'!H:H,0)),"")</f>
        <v>Frozen Rate</v>
      </c>
      <c r="P260" s="119">
        <f t="shared" si="8"/>
        <v>0</v>
      </c>
      <c r="Q260" s="60" t="s">
        <v>23</v>
      </c>
      <c r="R260" s="64" t="s">
        <v>24</v>
      </c>
      <c r="S260" s="64" t="s">
        <v>611</v>
      </c>
    </row>
    <row r="261" spans="1:19" ht="21.95" hidden="1" customHeight="1">
      <c r="A261" s="66" t="s">
        <v>612</v>
      </c>
      <c r="B261" s="64" t="s">
        <v>20</v>
      </c>
      <c r="C261" s="65">
        <v>46074</v>
      </c>
      <c r="D261" s="64" t="s">
        <v>27</v>
      </c>
      <c r="E261" s="64" t="s">
        <v>35</v>
      </c>
      <c r="F261" s="60" t="s">
        <v>613</v>
      </c>
      <c r="G261" s="60"/>
      <c r="H261" s="60" t="str">
        <f>IFERROR(INDEX('Docketed Comments'!C:C,MATCH(A261,'Docketed Comments'!H:H,0))&amp;", "&amp;INDEX('Docketed Comments'!B:B,MATCH(A261,'Docketed Comments'!H:H,0)),"")</f>
        <v>Ashley, Petersen</v>
      </c>
      <c r="I261" s="60" t="str">
        <f>IFERROR(INDEX('Docketed Comments'!D:D,MATCH(A261,'Docketed Comments'!H:H,0)),"")</f>
        <v>Glendale</v>
      </c>
      <c r="J261" s="60" t="str">
        <f>IFERROR(INDEX('Docketed Comments'!I:I,MATCH(A261,'Docketed Comments'!H:H,0)),"")</f>
        <v>R-XS</v>
      </c>
      <c r="K261" s="60" t="str">
        <f t="shared" si="9"/>
        <v>✅ On Best Plan</v>
      </c>
      <c r="L261" s="60" t="str">
        <f>IFERROR(INDEX('Docketed Comments'!F:F,MATCH(A261,'Docketed Comments'!H:H,0)),"")</f>
        <v>Form letter</v>
      </c>
      <c r="M261" s="120" t="str">
        <f>IFERROR(INDEX('Docketed Comments'!G:G,MATCH(A261,'Docketed Comments'!H:H,0)),"")</f>
        <v>https://images.edocket.azcc.gov/docketpdf/E000046190.pdf</v>
      </c>
      <c r="N261" s="118">
        <f>IFERROR(INDEX('Docketed Comments'!N:N,MATCH(A261,'Docketed Comments'!H:H,0)),"")</f>
        <v>0</v>
      </c>
      <c r="O261" s="118" t="str">
        <f>IFERROR(INDEX('Docketed Comments'!L:L,MATCH(A261,'Docketed Comments'!H:H,0)),"")</f>
        <v>Yes</v>
      </c>
      <c r="P261" s="119">
        <f t="shared" si="8"/>
        <v>0</v>
      </c>
      <c r="Q261" s="60" t="s">
        <v>23</v>
      </c>
      <c r="R261" s="64" t="s">
        <v>24</v>
      </c>
      <c r="S261" s="64" t="s">
        <v>614</v>
      </c>
    </row>
    <row r="262" spans="1:19" ht="21.95" hidden="1" customHeight="1">
      <c r="A262" s="66" t="s">
        <v>615</v>
      </c>
      <c r="B262" s="64" t="s">
        <v>20</v>
      </c>
      <c r="C262" s="65">
        <v>46018</v>
      </c>
      <c r="D262" s="64" t="s">
        <v>21</v>
      </c>
      <c r="E262" s="64" t="s">
        <v>22</v>
      </c>
      <c r="F262" s="60"/>
      <c r="G262" s="60"/>
      <c r="H262" s="60" t="str">
        <f>IFERROR(INDEX('Docketed Comments'!C:C,MATCH(A262,'Docketed Comments'!H:H,0))&amp;", "&amp;INDEX('Docketed Comments'!B:B,MATCH(A262,'Docketed Comments'!H:H,0)),"")</f>
        <v>Tanner, Hupka</v>
      </c>
      <c r="I262" s="60" t="str">
        <f>IFERROR(INDEX('Docketed Comments'!D:D,MATCH(A262,'Docketed Comments'!H:H,0)),"")</f>
        <v>Unknown</v>
      </c>
      <c r="J262" s="60" t="str">
        <f>IFERROR(INDEX('Docketed Comments'!I:I,MATCH(A262,'Docketed Comments'!H:H,0)),"")</f>
        <v>R-BASIC</v>
      </c>
      <c r="K262" s="60" t="str">
        <f t="shared" si="9"/>
        <v>✅ On Best Plan</v>
      </c>
      <c r="L262" s="60" t="str">
        <f>IFERROR(INDEX('Docketed Comments'!F:F,MATCH(A262,'Docketed Comments'!H:H,0)),"")</f>
        <v>Form letter</v>
      </c>
      <c r="M262" s="120" t="str">
        <f>IFERROR(INDEX('Docketed Comments'!G:G,MATCH(A262,'Docketed Comments'!H:H,0)),"")</f>
        <v>https://images.edocket.azcc.gov/docketpdf/E000046190.pdf</v>
      </c>
      <c r="N262" s="118">
        <f>IFERROR(INDEX('Docketed Comments'!N:N,MATCH(A262,'Docketed Comments'!H:H,0)),"")</f>
        <v>664.06</v>
      </c>
      <c r="O262" s="118" t="str">
        <f>IFERROR(INDEX('Docketed Comments'!L:L,MATCH(A262,'Docketed Comments'!H:H,0)),"")</f>
        <v>Yes</v>
      </c>
      <c r="P262" s="119">
        <f t="shared" si="8"/>
        <v>0</v>
      </c>
      <c r="Q262" s="60" t="s">
        <v>23</v>
      </c>
      <c r="R262" s="64" t="s">
        <v>24</v>
      </c>
      <c r="S262" s="124" t="s">
        <v>616</v>
      </c>
    </row>
    <row r="263" spans="1:19" ht="21.95" hidden="1" customHeight="1">
      <c r="A263" s="66" t="s">
        <v>617</v>
      </c>
      <c r="B263" s="64" t="s">
        <v>20</v>
      </c>
      <c r="C263" s="65">
        <v>46039</v>
      </c>
      <c r="D263" s="64" t="s">
        <v>21</v>
      </c>
      <c r="E263" s="64" t="s">
        <v>22</v>
      </c>
      <c r="F263" s="60"/>
      <c r="G263" s="60"/>
      <c r="H263" s="60" t="str">
        <f>IFERROR(INDEX('Docketed Comments'!C:C,MATCH(A263,'Docketed Comments'!H:H,0))&amp;", "&amp;INDEX('Docketed Comments'!B:B,MATCH(A263,'Docketed Comments'!H:H,0)),"")</f>
        <v>Kyle, Gregersen</v>
      </c>
      <c r="I263" s="60" t="str">
        <f>IFERROR(INDEX('Docketed Comments'!D:D,MATCH(A263,'Docketed Comments'!H:H,0)),"")</f>
        <v>Surprise</v>
      </c>
      <c r="J263" s="60" t="str">
        <f>IFERROR(INDEX('Docketed Comments'!I:I,MATCH(A263,'Docketed Comments'!H:H,0)),"")</f>
        <v>R-2</v>
      </c>
      <c r="K263" s="60" t="str">
        <f t="shared" si="9"/>
        <v>⚠ Frozen Rate</v>
      </c>
      <c r="L263" s="60" t="str">
        <f>IFERROR(INDEX('Docketed Comments'!F:F,MATCH(A263,'Docketed Comments'!H:H,0)),"")</f>
        <v>Opposed</v>
      </c>
      <c r="M263" s="120" t="str">
        <f>IFERROR(INDEX('Docketed Comments'!G:G,MATCH(A263,'Docketed Comments'!H:H,0)),"")</f>
        <v>https://images.edocket.azcc.gov/docketpdf/E000046204.pdf</v>
      </c>
      <c r="N263" s="118">
        <f>IFERROR(INDEX('Docketed Comments'!N:N,MATCH(A263,'Docketed Comments'!H:H,0)),"")</f>
        <v>1773.15</v>
      </c>
      <c r="O263" s="118" t="str">
        <f>IFERROR(INDEX('Docketed Comments'!L:L,MATCH(A263,'Docketed Comments'!H:H,0)),"")</f>
        <v>Frozen Rate</v>
      </c>
      <c r="P263" s="119">
        <f t="shared" si="8"/>
        <v>0</v>
      </c>
      <c r="Q263" s="60" t="s">
        <v>23</v>
      </c>
      <c r="R263" s="64" t="s">
        <v>24</v>
      </c>
      <c r="S263" s="64" t="s">
        <v>618</v>
      </c>
    </row>
    <row r="264" spans="1:19" ht="21.95" hidden="1" customHeight="1">
      <c r="A264" s="66" t="s">
        <v>619</v>
      </c>
      <c r="B264" s="64" t="s">
        <v>20</v>
      </c>
      <c r="C264" s="65">
        <v>46039</v>
      </c>
      <c r="D264" s="64" t="s">
        <v>21</v>
      </c>
      <c r="E264" s="64" t="s">
        <v>22</v>
      </c>
      <c r="F264" s="60"/>
      <c r="G264" s="60"/>
      <c r="H264" s="60" t="str">
        <f>IFERROR(INDEX('Docketed Comments'!C:C,MATCH(A264,'Docketed Comments'!H:H,0))&amp;", "&amp;INDEX('Docketed Comments'!B:B,MATCH(A264,'Docketed Comments'!H:H,0)),"")</f>
        <v>Elizabeth, Hileman</v>
      </c>
      <c r="I264" s="60" t="str">
        <f>IFERROR(INDEX('Docketed Comments'!D:D,MATCH(A264,'Docketed Comments'!H:H,0)),"")</f>
        <v>Goodyear</v>
      </c>
      <c r="J264" s="60" t="str">
        <f>IFERROR(INDEX('Docketed Comments'!I:I,MATCH(A264,'Docketed Comments'!H:H,0)),"")</f>
        <v>R-2</v>
      </c>
      <c r="K264" s="60" t="str">
        <f t="shared" si="9"/>
        <v>⚠ Frozen Rate</v>
      </c>
      <c r="L264" s="60" t="str">
        <f>IFERROR(INDEX('Docketed Comments'!F:F,MATCH(A264,'Docketed Comments'!H:H,0)),"")</f>
        <v>Opposed</v>
      </c>
      <c r="M264" s="120" t="str">
        <f>IFERROR(INDEX('Docketed Comments'!G:G,MATCH(A264,'Docketed Comments'!H:H,0)),"")</f>
        <v>https://images.edocket.azcc.gov/docketpdf/E000046204.pdf</v>
      </c>
      <c r="N264" s="118">
        <f>IFERROR(INDEX('Docketed Comments'!N:N,MATCH(A264,'Docketed Comments'!H:H,0)),"")</f>
        <v>3130.07</v>
      </c>
      <c r="O264" s="118" t="str">
        <f>IFERROR(INDEX('Docketed Comments'!L:L,MATCH(A264,'Docketed Comments'!H:H,0)),"")</f>
        <v>Frozen Rate</v>
      </c>
      <c r="P264" s="119">
        <f t="shared" si="8"/>
        <v>0</v>
      </c>
      <c r="Q264" s="60" t="s">
        <v>23</v>
      </c>
      <c r="R264" s="64" t="s">
        <v>24</v>
      </c>
      <c r="S264" s="64" t="s">
        <v>620</v>
      </c>
    </row>
    <row r="265" spans="1:19" ht="21.95" hidden="1" customHeight="1">
      <c r="A265" s="66" t="s">
        <v>621</v>
      </c>
      <c r="B265" s="64" t="s">
        <v>20</v>
      </c>
      <c r="C265" s="65">
        <v>46039</v>
      </c>
      <c r="D265" s="64" t="s">
        <v>27</v>
      </c>
      <c r="E265" s="64" t="s">
        <v>214</v>
      </c>
      <c r="F265" s="60"/>
      <c r="G265" s="60"/>
      <c r="H265" s="60" t="str">
        <f>IFERROR(INDEX('Docketed Comments'!C:C,MATCH(A265,'Docketed Comments'!H:H,0))&amp;", "&amp;INDEX('Docketed Comments'!B:B,MATCH(A265,'Docketed Comments'!H:H,0)),"")</f>
        <v>Pamela, Taylor</v>
      </c>
      <c r="I265" s="60" t="str">
        <f>IFERROR(INDEX('Docketed Comments'!D:D,MATCH(A265,'Docketed Comments'!H:H,0)),"")</f>
        <v>Avondale</v>
      </c>
      <c r="J265" s="60" t="str">
        <f>IFERROR(INDEX('Docketed Comments'!I:I,MATCH(A265,'Docketed Comments'!H:H,0)),"")</f>
        <v>R3-47</v>
      </c>
      <c r="K265" s="60" t="str">
        <f t="shared" si="9"/>
        <v>✅ On Best Plan</v>
      </c>
      <c r="L265" s="60" t="str">
        <f>IFERROR(INDEX('Docketed Comments'!F:F,MATCH(A265,'Docketed Comments'!H:H,0)),"")</f>
        <v>Opposed</v>
      </c>
      <c r="M265" s="120" t="str">
        <f>IFERROR(INDEX('Docketed Comments'!G:G,MATCH(A265,'Docketed Comments'!H:H,0)),"")</f>
        <v>https://images.edocket.azcc.gov/docketpdf/E000046204.pdf</v>
      </c>
      <c r="N265" s="118">
        <f>IFERROR(INDEX('Docketed Comments'!N:N,MATCH(A265,'Docketed Comments'!H:H,0)),"")</f>
        <v>870.88</v>
      </c>
      <c r="O265" s="118" t="str">
        <f>IFERROR(INDEX('Docketed Comments'!L:L,MATCH(A265,'Docketed Comments'!H:H,0)),"")</f>
        <v>Yes</v>
      </c>
      <c r="P265" s="119">
        <f t="shared" si="8"/>
        <v>0</v>
      </c>
      <c r="Q265" s="60" t="s">
        <v>23</v>
      </c>
      <c r="R265" s="64" t="s">
        <v>24</v>
      </c>
      <c r="S265" s="64" t="s">
        <v>622</v>
      </c>
    </row>
    <row r="266" spans="1:19" ht="21.95" hidden="1" customHeight="1">
      <c r="A266" s="66" t="s">
        <v>623</v>
      </c>
      <c r="B266" s="64" t="s">
        <v>20</v>
      </c>
      <c r="C266" s="65">
        <v>46053</v>
      </c>
      <c r="D266" s="64" t="s">
        <v>27</v>
      </c>
      <c r="E266" s="64" t="s">
        <v>22</v>
      </c>
      <c r="F266" s="60" t="s">
        <v>624</v>
      </c>
      <c r="G266" s="60"/>
      <c r="H266" s="60" t="str">
        <f>IFERROR(INDEX('Docketed Comments'!C:C,MATCH(A266,'Docketed Comments'!H:H,0))&amp;", "&amp;INDEX('Docketed Comments'!B:B,MATCH(A266,'Docketed Comments'!H:H,0)),"")</f>
        <v>Sean, Richey</v>
      </c>
      <c r="I266" s="60" t="str">
        <f>IFERROR(INDEX('Docketed Comments'!D:D,MATCH(A266,'Docketed Comments'!H:H,0)),"")</f>
        <v>Phoenix</v>
      </c>
      <c r="J266" s="60" t="str">
        <f>IFERROR(INDEX('Docketed Comments'!I:I,MATCH(A266,'Docketed Comments'!H:H,0)),"")</f>
        <v>R3-47</v>
      </c>
      <c r="K266" s="60" t="str">
        <f t="shared" si="9"/>
        <v>✅ On Best Plan</v>
      </c>
      <c r="L266" s="60" t="str">
        <f>IFERROR(INDEX('Docketed Comments'!F:F,MATCH(A266,'Docketed Comments'!H:H,0)),"")</f>
        <v>Getting ridiculous</v>
      </c>
      <c r="M266" s="120" t="str">
        <f>IFERROR(INDEX('Docketed Comments'!G:G,MATCH(A266,'Docketed Comments'!H:H,0)),"")</f>
        <v>https://images.edocket.azcc.gov/docketpdf/E000046230.pdf</v>
      </c>
      <c r="N266" s="118">
        <f>IFERROR(INDEX('Docketed Comments'!N:N,MATCH(A266,'Docketed Comments'!H:H,0)),"")</f>
        <v>414.43</v>
      </c>
      <c r="O266" s="118" t="str">
        <f>IFERROR(INDEX('Docketed Comments'!L:L,MATCH(A266,'Docketed Comments'!H:H,0)),"")</f>
        <v>Yes</v>
      </c>
      <c r="P266" s="119">
        <f t="shared" si="8"/>
        <v>0</v>
      </c>
      <c r="Q266" s="60" t="s">
        <v>23</v>
      </c>
      <c r="R266" s="64" t="s">
        <v>24</v>
      </c>
      <c r="S266" s="64" t="s">
        <v>625</v>
      </c>
    </row>
    <row r="267" spans="1:19" ht="21.95" hidden="1" customHeight="1">
      <c r="A267" s="66" t="s">
        <v>626</v>
      </c>
      <c r="B267" s="64" t="s">
        <v>20</v>
      </c>
      <c r="C267" s="65">
        <v>45997</v>
      </c>
      <c r="D267" s="64" t="s">
        <v>21</v>
      </c>
      <c r="E267" s="64" t="s">
        <v>22</v>
      </c>
      <c r="F267" s="60" t="s">
        <v>99</v>
      </c>
      <c r="G267" s="60"/>
      <c r="H267" s="60" t="str">
        <f>IFERROR(INDEX('Docketed Comments'!C:C,MATCH(A267,'Docketed Comments'!H:H,0))&amp;", "&amp;INDEX('Docketed Comments'!B:B,MATCH(A267,'Docketed Comments'!H:H,0)),"")</f>
        <v>Lani, Syring</v>
      </c>
      <c r="I267" s="60" t="str">
        <f>IFERROR(INDEX('Docketed Comments'!D:D,MATCH(A267,'Docketed Comments'!H:H,0)),"")</f>
        <v>Surprise</v>
      </c>
      <c r="J267" s="60" t="str">
        <f>IFERROR(INDEX('Docketed Comments'!I:I,MATCH(A267,'Docketed Comments'!H:H,0)),"")</f>
        <v>RTOUE47</v>
      </c>
      <c r="K267" s="60" t="str">
        <f t="shared" si="9"/>
        <v>✅ On Best Plan</v>
      </c>
      <c r="L267" s="60" t="str">
        <f>IFERROR(INDEX('Docketed Comments'!F:F,MATCH(A267,'Docketed Comments'!H:H,0)),"")</f>
        <v>Form letter</v>
      </c>
      <c r="M267" s="120" t="str">
        <f>IFERROR(INDEX('Docketed Comments'!G:G,MATCH(A267,'Docketed Comments'!H:H,0)),"")</f>
        <v>https://images.edocket.azcc.gov/docketpdf/E000046230.pdf</v>
      </c>
      <c r="N267" s="118">
        <f>IFERROR(INDEX('Docketed Comments'!N:N,MATCH(A267,'Docketed Comments'!H:H,0)),"")</f>
        <v>436.03</v>
      </c>
      <c r="O267" s="118" t="str">
        <f>IFERROR(INDEX('Docketed Comments'!L:L,MATCH(A267,'Docketed Comments'!H:H,0)),"")</f>
        <v>Yes</v>
      </c>
      <c r="P267" s="119">
        <f t="shared" si="8"/>
        <v>0</v>
      </c>
      <c r="Q267" s="60" t="s">
        <v>23</v>
      </c>
      <c r="R267" s="64" t="s">
        <v>24</v>
      </c>
      <c r="S267" s="64" t="s">
        <v>627</v>
      </c>
    </row>
    <row r="268" spans="1:19" ht="21.95" hidden="1" customHeight="1">
      <c r="A268" s="66" t="s">
        <v>628</v>
      </c>
      <c r="B268" s="64" t="s">
        <v>31</v>
      </c>
      <c r="C268" s="65">
        <v>46053</v>
      </c>
      <c r="D268" s="64" t="s">
        <v>21</v>
      </c>
      <c r="E268" s="64" t="s">
        <v>22</v>
      </c>
      <c r="F268" s="60" t="s">
        <v>165</v>
      </c>
      <c r="G268" s="60"/>
      <c r="H268" s="60" t="str">
        <f>IFERROR(INDEX('Docketed Comments'!C:C,MATCH(A268,'Docketed Comments'!H:H,0))&amp;", "&amp;INDEX('Docketed Comments'!B:B,MATCH(A268,'Docketed Comments'!H:H,0)),"")</f>
        <v>Fatima, Scott</v>
      </c>
      <c r="I268" s="60" t="str">
        <f>IFERROR(INDEX('Docketed Comments'!D:D,MATCH(A268,'Docketed Comments'!H:H,0)),"")</f>
        <v>Phoenix</v>
      </c>
      <c r="J268" s="60" t="str">
        <f>IFERROR(INDEX('Docketed Comments'!I:I,MATCH(A268,'Docketed Comments'!H:H,0)),"")</f>
        <v>R-BASIC</v>
      </c>
      <c r="K268" s="60" t="str">
        <f t="shared" si="9"/>
        <v>✅ On Best Plan</v>
      </c>
      <c r="L268" s="60" t="str">
        <f>IFERROR(INDEX('Docketed Comments'!F:F,MATCH(A268,'Docketed Comments'!H:H,0)),"")</f>
        <v>Strongly opposed</v>
      </c>
      <c r="M268" s="120" t="str">
        <f>IFERROR(INDEX('Docketed Comments'!G:G,MATCH(A268,'Docketed Comments'!H:H,0)),"")</f>
        <v>https://images.edocket.azcc.gov/docketpdf/E000046230.pdf</v>
      </c>
      <c r="N268" s="118">
        <f>IFERROR(INDEX('Docketed Comments'!N:N,MATCH(A268,'Docketed Comments'!H:H,0)),"")</f>
        <v>349.29</v>
      </c>
      <c r="O268" s="118" t="str">
        <f>IFERROR(INDEX('Docketed Comments'!L:L,MATCH(A268,'Docketed Comments'!H:H,0)),"")</f>
        <v>Yes</v>
      </c>
      <c r="P268" s="119">
        <f t="shared" si="8"/>
        <v>0</v>
      </c>
      <c r="Q268" s="60" t="s">
        <v>23</v>
      </c>
      <c r="R268" s="64" t="s">
        <v>24</v>
      </c>
      <c r="S268" s="64" t="s">
        <v>629</v>
      </c>
    </row>
    <row r="269" spans="1:19" ht="21.95" hidden="1" customHeight="1">
      <c r="A269" s="66" t="s">
        <v>630</v>
      </c>
      <c r="B269" s="64" t="s">
        <v>31</v>
      </c>
      <c r="C269" s="65">
        <v>46046</v>
      </c>
      <c r="D269" s="64" t="s">
        <v>21</v>
      </c>
      <c r="E269" s="64" t="s">
        <v>22</v>
      </c>
      <c r="F269" s="60" t="s">
        <v>165</v>
      </c>
      <c r="G269" s="60"/>
      <c r="H269" s="60" t="str">
        <f>IFERROR(INDEX('Docketed Comments'!C:C,MATCH(A269,'Docketed Comments'!H:H,0))&amp;", "&amp;INDEX('Docketed Comments'!B:B,MATCH(A269,'Docketed Comments'!H:H,0)),"")</f>
        <v>Dani , Herrin</v>
      </c>
      <c r="I269" s="60" t="str">
        <f>IFERROR(INDEX('Docketed Comments'!D:D,MATCH(A269,'Docketed Comments'!H:H,0)),"")</f>
        <v>Tempe</v>
      </c>
      <c r="J269" s="60" t="str">
        <f>IFERROR(INDEX('Docketed Comments'!I:I,MATCH(A269,'Docketed Comments'!H:H,0)),"")</f>
        <v>RTOUE47</v>
      </c>
      <c r="K269" s="60" t="str">
        <f t="shared" si="9"/>
        <v>✅ On Best Plan</v>
      </c>
      <c r="L269" s="60" t="str">
        <f>IFERROR(INDEX('Docketed Comments'!F:F,MATCH(A269,'Docketed Comments'!H:H,0)),"")</f>
        <v>Form letter</v>
      </c>
      <c r="M269" s="120" t="str">
        <f>IFERROR(INDEX('Docketed Comments'!G:G,MATCH(A269,'Docketed Comments'!H:H,0)),"")</f>
        <v>https://docket.images.azcc.gov/E000046235.pdf</v>
      </c>
      <c r="N269" s="118">
        <f>IFERROR(INDEX('Docketed Comments'!N:N,MATCH(A269,'Docketed Comments'!H:H,0)),"")</f>
        <v>422.52</v>
      </c>
      <c r="O269" s="118" t="str">
        <f>IFERROR(INDEX('Docketed Comments'!L:L,MATCH(A269,'Docketed Comments'!H:H,0)),"")</f>
        <v>Yes</v>
      </c>
      <c r="P269" s="119">
        <f t="shared" si="8"/>
        <v>0</v>
      </c>
      <c r="Q269" s="60" t="s">
        <v>23</v>
      </c>
      <c r="R269" s="64" t="s">
        <v>24</v>
      </c>
      <c r="S269" s="64" t="s">
        <v>631</v>
      </c>
    </row>
    <row r="270" spans="1:19" ht="21.95" hidden="1" customHeight="1">
      <c r="A270" s="66" t="s">
        <v>632</v>
      </c>
      <c r="B270" s="64" t="s">
        <v>31</v>
      </c>
      <c r="C270" s="65">
        <v>46046</v>
      </c>
      <c r="D270" s="64" t="s">
        <v>27</v>
      </c>
      <c r="E270" s="64" t="s">
        <v>35</v>
      </c>
      <c r="F270" s="60"/>
      <c r="G270" s="60"/>
      <c r="H270" s="60" t="str">
        <f>IFERROR(INDEX('Docketed Comments'!C:C,MATCH(A270,'Docketed Comments'!H:H,0))&amp;", "&amp;INDEX('Docketed Comments'!B:B,MATCH(A270,'Docketed Comments'!H:H,0)),"")</f>
        <v>Paul, Jaeger</v>
      </c>
      <c r="I270" s="60" t="str">
        <f>IFERROR(INDEX('Docketed Comments'!D:D,MATCH(A270,'Docketed Comments'!H:H,0)),"")</f>
        <v>Yuma</v>
      </c>
      <c r="J270" s="60" t="str">
        <f>IFERROR(INDEX('Docketed Comments'!I:I,MATCH(A270,'Docketed Comments'!H:H,0)),"")</f>
        <v>RCPw/RTOUE47</v>
      </c>
      <c r="K270" s="60" t="str">
        <f t="shared" si="9"/>
        <v>✅ On Best Plan</v>
      </c>
      <c r="L270" s="60" t="str">
        <f>IFERROR(INDEX('Docketed Comments'!F:F,MATCH(A270,'Docketed Comments'!H:H,0)),"")</f>
        <v>Opposed</v>
      </c>
      <c r="M270" s="120" t="str">
        <f>IFERROR(INDEX('Docketed Comments'!G:G,MATCH(A270,'Docketed Comments'!H:H,0)),"")</f>
        <v>https://docket.images.azcc.gov/E000046266.pdf</v>
      </c>
      <c r="N270" s="118">
        <f>IFERROR(INDEX('Docketed Comments'!N:N,MATCH(A270,'Docketed Comments'!H:H,0)),"")</f>
        <v>122.88</v>
      </c>
      <c r="O270" s="118" t="str">
        <f>IFERROR(INDEX('Docketed Comments'!L:L,MATCH(A270,'Docketed Comments'!H:H,0)),"")</f>
        <v>Yes</v>
      </c>
      <c r="P270" s="119">
        <f t="shared" si="8"/>
        <v>0</v>
      </c>
      <c r="Q270" s="60" t="s">
        <v>23</v>
      </c>
      <c r="R270" s="64" t="s">
        <v>24</v>
      </c>
      <c r="S270" s="64" t="s">
        <v>633</v>
      </c>
    </row>
    <row r="271" spans="1:19" ht="21.95" hidden="1" customHeight="1">
      <c r="A271" s="66" t="s">
        <v>634</v>
      </c>
      <c r="B271" s="64" t="s">
        <v>31</v>
      </c>
      <c r="C271" s="65">
        <v>46039</v>
      </c>
      <c r="D271" s="64" t="s">
        <v>21</v>
      </c>
      <c r="E271" s="64" t="s">
        <v>22</v>
      </c>
      <c r="F271" s="60"/>
      <c r="G271" s="60"/>
      <c r="H271" s="60" t="str">
        <f>IFERROR(INDEX('Docketed Comments'!C:C,MATCH(A271,'Docketed Comments'!H:H,0))&amp;", "&amp;INDEX('Docketed Comments'!B:B,MATCH(A271,'Docketed Comments'!H:H,0)),"")</f>
        <v>Evelin, Martinez</v>
      </c>
      <c r="I271" s="60" t="str">
        <f>IFERROR(INDEX('Docketed Comments'!D:D,MATCH(A271,'Docketed Comments'!H:H,0)),"")</f>
        <v>Somerton</v>
      </c>
      <c r="J271" s="60" t="str">
        <f>IFERROR(INDEX('Docketed Comments'!I:I,MATCH(A271,'Docketed Comments'!H:H,0)),"")</f>
        <v>R3-47</v>
      </c>
      <c r="K271" s="60" t="str">
        <f t="shared" si="9"/>
        <v>✅ On Best Plan</v>
      </c>
      <c r="L271" s="60" t="str">
        <f>IFERROR(INDEX('Docketed Comments'!F:F,MATCH(A271,'Docketed Comments'!H:H,0)),"")</f>
        <v>Unaffordable and unfair</v>
      </c>
      <c r="M271" s="120" t="str">
        <f>IFERROR(INDEX('Docketed Comments'!G:G,MATCH(A271,'Docketed Comments'!H:H,0)),"")</f>
        <v>https://docket.images.azcc.gov/E000046266.pdf</v>
      </c>
      <c r="N271" s="118">
        <f>IFERROR(INDEX('Docketed Comments'!N:N,MATCH(A271,'Docketed Comments'!H:H,0)),"")</f>
        <v>1530.91</v>
      </c>
      <c r="O271" s="118" t="str">
        <f>IFERROR(INDEX('Docketed Comments'!L:L,MATCH(A271,'Docketed Comments'!H:H,0)),"")</f>
        <v>Yes</v>
      </c>
      <c r="P271" s="119">
        <f t="shared" si="8"/>
        <v>0</v>
      </c>
      <c r="Q271" s="60" t="s">
        <v>23</v>
      </c>
      <c r="R271" s="64" t="s">
        <v>24</v>
      </c>
      <c r="S271" s="64" t="s">
        <v>635</v>
      </c>
    </row>
    <row r="272" spans="1:19" ht="21.95" hidden="1" customHeight="1">
      <c r="A272" s="66" t="s">
        <v>636</v>
      </c>
      <c r="B272" s="64" t="s">
        <v>31</v>
      </c>
      <c r="C272" s="65">
        <v>46025</v>
      </c>
      <c r="D272" s="64" t="s">
        <v>27</v>
      </c>
      <c r="E272" s="64" t="s">
        <v>22</v>
      </c>
      <c r="F272" s="60" t="s">
        <v>637</v>
      </c>
      <c r="G272" s="60"/>
      <c r="H272" s="60" t="str">
        <f>IFERROR(INDEX('Docketed Comments'!C:C,MATCH(A272,'Docketed Comments'!H:H,0))&amp;", "&amp;INDEX('Docketed Comments'!B:B,MATCH(A272,'Docketed Comments'!H:H,0)),"")</f>
        <v>Cecilia, Carroll</v>
      </c>
      <c r="I272" s="60" t="str">
        <f>IFERROR(INDEX('Docketed Comments'!D:D,MATCH(A272,'Docketed Comments'!H:H,0)),"")</f>
        <v>Waddell</v>
      </c>
      <c r="J272" s="60" t="str">
        <f>IFERROR(INDEX('Docketed Comments'!I:I,MATCH(A272,'Docketed Comments'!H:H,0)),"")</f>
        <v>R3-47</v>
      </c>
      <c r="K272" s="60" t="str">
        <f t="shared" si="9"/>
        <v>✅ On Best Plan</v>
      </c>
      <c r="L272" s="60" t="str">
        <f>IFERROR(INDEX('Docketed Comments'!F:F,MATCH(A272,'Docketed Comments'!H:H,0)),"")</f>
        <v>Can't afford higher bills</v>
      </c>
      <c r="M272" s="120" t="str">
        <f>IFERROR(INDEX('Docketed Comments'!G:G,MATCH(A272,'Docketed Comments'!H:H,0)),"")</f>
        <v>https://docket.images.azcc.gov/E000046266.pdf</v>
      </c>
      <c r="N272" s="118">
        <f>IFERROR(INDEX('Docketed Comments'!N:N,MATCH(A272,'Docketed Comments'!H:H,0)),"")</f>
        <v>189.57</v>
      </c>
      <c r="O272" s="118" t="str">
        <f>IFERROR(INDEX('Docketed Comments'!L:L,MATCH(A272,'Docketed Comments'!H:H,0)),"")</f>
        <v>Yes</v>
      </c>
      <c r="P272" s="119">
        <f t="shared" si="8"/>
        <v>0</v>
      </c>
      <c r="Q272" s="60" t="s">
        <v>23</v>
      </c>
      <c r="R272" s="64" t="s">
        <v>24</v>
      </c>
      <c r="S272" s="64" t="s">
        <v>638</v>
      </c>
    </row>
    <row r="273" spans="1:19" ht="21.95" hidden="1" customHeight="1">
      <c r="A273" s="66" t="s">
        <v>639</v>
      </c>
      <c r="B273" s="64" t="s">
        <v>31</v>
      </c>
      <c r="C273" s="65">
        <v>46025</v>
      </c>
      <c r="D273" s="64" t="s">
        <v>21</v>
      </c>
      <c r="E273" s="64" t="s">
        <v>22</v>
      </c>
      <c r="F273" s="60" t="s">
        <v>41</v>
      </c>
      <c r="G273" s="60"/>
      <c r="H273" s="60" t="str">
        <f>IFERROR(INDEX('Docketed Comments'!C:C,MATCH(A273,'Docketed Comments'!H:H,0))&amp;", "&amp;INDEX('Docketed Comments'!B:B,MATCH(A273,'Docketed Comments'!H:H,0)),"")</f>
        <v>Lisa, Bernhardt</v>
      </c>
      <c r="I273" s="60" t="str">
        <f>IFERROR(INDEX('Docketed Comments'!D:D,MATCH(A273,'Docketed Comments'!H:H,0)),"")</f>
        <v>Phoenix</v>
      </c>
      <c r="J273" s="60" t="str">
        <f>IFERROR(INDEX('Docketed Comments'!I:I,MATCH(A273,'Docketed Comments'!H:H,0)),"")</f>
        <v>RCPw/RTOUE47</v>
      </c>
      <c r="K273" s="60" t="str">
        <f t="shared" si="9"/>
        <v>✅ On Best Plan</v>
      </c>
      <c r="L273" s="60" t="str">
        <f>IFERROR(INDEX('Docketed Comments'!F:F,MATCH(A273,'Docketed Comments'!H:H,0)),"")</f>
        <v>Opposed</v>
      </c>
      <c r="M273" s="120" t="str">
        <f>IFERROR(INDEX('Docketed Comments'!G:G,MATCH(A273,'Docketed Comments'!H:H,0)),"")</f>
        <v>https://docket.images.azcc.gov/E000046289.pdf</v>
      </c>
      <c r="N273" s="118">
        <f>IFERROR(INDEX('Docketed Comments'!N:N,MATCH(A273,'Docketed Comments'!H:H,0)),"")</f>
        <v>1068.19</v>
      </c>
      <c r="O273" s="118" t="str">
        <f>IFERROR(INDEX('Docketed Comments'!L:L,MATCH(A273,'Docketed Comments'!H:H,0)),"")</f>
        <v>Y</v>
      </c>
      <c r="P273" s="119">
        <f t="shared" si="8"/>
        <v>0</v>
      </c>
      <c r="Q273" s="60" t="s">
        <v>23</v>
      </c>
      <c r="R273" s="64" t="s">
        <v>24</v>
      </c>
      <c r="S273" s="64" t="s">
        <v>640</v>
      </c>
    </row>
    <row r="274" spans="1:19" ht="21.95" hidden="1" customHeight="1">
      <c r="A274" s="66" t="s">
        <v>641</v>
      </c>
      <c r="B274" s="64" t="s">
        <v>31</v>
      </c>
      <c r="C274" s="65">
        <v>46025</v>
      </c>
      <c r="D274" s="64" t="s">
        <v>21</v>
      </c>
      <c r="E274" s="64" t="s">
        <v>22</v>
      </c>
      <c r="F274" s="60" t="s">
        <v>41</v>
      </c>
      <c r="G274" s="60"/>
      <c r="H274" s="60" t="str">
        <f>IFERROR(INDEX('Docketed Comments'!C:C,MATCH(A274,'Docketed Comments'!H:H,0))&amp;", "&amp;INDEX('Docketed Comments'!B:B,MATCH(A274,'Docketed Comments'!H:H,0)),"")</f>
        <v>Danielle, Coschigano</v>
      </c>
      <c r="I274" s="60" t="str">
        <f>IFERROR(INDEX('Docketed Comments'!D:D,MATCH(A274,'Docketed Comments'!H:H,0)),"")</f>
        <v>New River</v>
      </c>
      <c r="J274" s="60" t="str">
        <f>IFERROR(INDEX('Docketed Comments'!I:I,MATCH(A274,'Docketed Comments'!H:H,0)),"")</f>
        <v>RCPw/R3-47</v>
      </c>
      <c r="K274" s="60" t="str">
        <f t="shared" si="9"/>
        <v>✅ On Best Plan</v>
      </c>
      <c r="L274" s="60" t="str">
        <f>IFERROR(INDEX('Docketed Comments'!F:F,MATCH(A274,'Docketed Comments'!H:H,0)),"")</f>
        <v>Form letter</v>
      </c>
      <c r="M274" s="120" t="str">
        <f>IFERROR(INDEX('Docketed Comments'!G:G,MATCH(A274,'Docketed Comments'!H:H,0)),"")</f>
        <v>https://docket.images.azcc.gov/E000046289.pdf</v>
      </c>
      <c r="N274" s="118">
        <f>IFERROR(INDEX('Docketed Comments'!N:N,MATCH(A274,'Docketed Comments'!H:H,0)),"")</f>
        <v>548.12</v>
      </c>
      <c r="O274" s="118" t="str">
        <f>IFERROR(INDEX('Docketed Comments'!L:L,MATCH(A274,'Docketed Comments'!H:H,0)),"")</f>
        <v>Y</v>
      </c>
      <c r="P274" s="119">
        <f t="shared" si="8"/>
        <v>0</v>
      </c>
      <c r="Q274" s="60" t="s">
        <v>23</v>
      </c>
      <c r="R274" s="64" t="s">
        <v>24</v>
      </c>
      <c r="S274" s="64" t="s">
        <v>642</v>
      </c>
    </row>
    <row r="275" spans="1:19" ht="21.95" hidden="1" customHeight="1">
      <c r="A275" s="66" t="s">
        <v>643</v>
      </c>
      <c r="B275" s="64" t="s">
        <v>31</v>
      </c>
      <c r="C275" s="65">
        <v>45997</v>
      </c>
      <c r="D275" s="64" t="s">
        <v>21</v>
      </c>
      <c r="E275" s="64" t="s">
        <v>22</v>
      </c>
      <c r="F275" s="60" t="s">
        <v>644</v>
      </c>
      <c r="G275" s="60"/>
      <c r="H275" s="60" t="str">
        <f>IFERROR(INDEX('Docketed Comments'!C:C,MATCH(A275,'Docketed Comments'!H:H,0))&amp;", "&amp;INDEX('Docketed Comments'!B:B,MATCH(A275,'Docketed Comments'!H:H,0)),"")</f>
        <v>Thomas, Hendricks</v>
      </c>
      <c r="I275" s="60" t="str">
        <f>IFERROR(INDEX('Docketed Comments'!D:D,MATCH(A275,'Docketed Comments'!H:H,0)),"")</f>
        <v>Joseph City</v>
      </c>
      <c r="J275" s="60" t="str">
        <f>IFERROR(INDEX('Docketed Comments'!I:I,MATCH(A275,'Docketed Comments'!H:H,0)),"")</f>
        <v>RCPw/RTOUE47</v>
      </c>
      <c r="K275" s="60" t="str">
        <f t="shared" si="9"/>
        <v>✅ On Best Plan</v>
      </c>
      <c r="L275" s="60" t="str">
        <f>IFERROR(INDEX('Docketed Comments'!F:F,MATCH(A275,'Docketed Comments'!H:H,0)),"")</f>
        <v>Opposed-Why am I forced to APS and not someone else?</v>
      </c>
      <c r="M275" s="120" t="str">
        <f>IFERROR(INDEX('Docketed Comments'!G:G,MATCH(A275,'Docketed Comments'!H:H,0)),"")</f>
        <v>https://docket.images.azcc.gov/E000046525.pdf</v>
      </c>
      <c r="N275" s="118">
        <f>IFERROR(INDEX('Docketed Comments'!N:N,MATCH(A275,'Docketed Comments'!H:H,0)),"")</f>
        <v>361.43</v>
      </c>
      <c r="O275" s="118" t="str">
        <f>IFERROR(INDEX('Docketed Comments'!L:L,MATCH(A275,'Docketed Comments'!H:H,0)),"")</f>
        <v>Yes</v>
      </c>
      <c r="P275" s="119">
        <f t="shared" si="8"/>
        <v>0</v>
      </c>
      <c r="Q275" s="60" t="s">
        <v>23</v>
      </c>
      <c r="R275" s="64" t="s">
        <v>24</v>
      </c>
      <c r="S275" s="64" t="s">
        <v>645</v>
      </c>
    </row>
    <row r="276" spans="1:19" ht="21.95" hidden="1" customHeight="1">
      <c r="A276" s="66" t="s">
        <v>646</v>
      </c>
      <c r="B276" s="64" t="s">
        <v>31</v>
      </c>
      <c r="C276" s="65">
        <v>46081</v>
      </c>
      <c r="D276" s="64" t="s">
        <v>21</v>
      </c>
      <c r="E276" s="64" t="s">
        <v>22</v>
      </c>
      <c r="F276" s="60" t="s">
        <v>41</v>
      </c>
      <c r="G276" s="60"/>
      <c r="H276" s="60" t="str">
        <f>IFERROR(INDEX('Docketed Comments'!C:C,MATCH(A276,'Docketed Comments'!H:H,0))&amp;", "&amp;INDEX('Docketed Comments'!B:B,MATCH(A276,'Docketed Comments'!H:H,0)),"")</f>
        <v>Eli, Rodriguez</v>
      </c>
      <c r="I276" s="60" t="str">
        <f>IFERROR(INDEX('Docketed Comments'!D:D,MATCH(A276,'Docketed Comments'!H:H,0)),"")</f>
        <v>Phoenix</v>
      </c>
      <c r="J276" s="60" t="str">
        <f>IFERROR(INDEX('Docketed Comments'!I:I,MATCH(A276,'Docketed Comments'!H:H,0)),"")</f>
        <v>R3-47</v>
      </c>
      <c r="K276" s="60" t="str">
        <f t="shared" si="9"/>
        <v>✅ On Best Plan</v>
      </c>
      <c r="L276" s="60" t="str">
        <f>IFERROR(INDEX('Docketed Comments'!F:F,MATCH(A276,'Docketed Comments'!H:H,0)),"")</f>
        <v>Opposed- Going to contact Attorney Gen. to allow SRP serv</v>
      </c>
      <c r="M276" s="120" t="str">
        <f>IFERROR(INDEX('Docketed Comments'!G:G,MATCH(A276,'Docketed Comments'!H:H,0)),"")</f>
        <v>https://docket.images.azcc.gov/E000046525.pdf</v>
      </c>
      <c r="N276" s="118">
        <f>IFERROR(INDEX('Docketed Comments'!N:N,MATCH(A276,'Docketed Comments'!H:H,0)),"")</f>
        <v>0</v>
      </c>
      <c r="O276" s="118" t="str">
        <f>IFERROR(INDEX('Docketed Comments'!L:L,MATCH(A276,'Docketed Comments'!H:H,0)),"")</f>
        <v>Yes</v>
      </c>
      <c r="P276" s="119">
        <f t="shared" si="8"/>
        <v>0</v>
      </c>
      <c r="Q276" s="60" t="s">
        <v>23</v>
      </c>
      <c r="R276" s="64" t="s">
        <v>24</v>
      </c>
      <c r="S276" s="64" t="s">
        <v>647</v>
      </c>
    </row>
    <row r="277" spans="1:19" ht="21.95" hidden="1" customHeight="1">
      <c r="A277" s="66" t="s">
        <v>648</v>
      </c>
      <c r="B277" s="64" t="s">
        <v>31</v>
      </c>
      <c r="C277" s="65">
        <v>46060</v>
      </c>
      <c r="D277" s="64" t="s">
        <v>21</v>
      </c>
      <c r="E277" s="64" t="s">
        <v>22</v>
      </c>
      <c r="F277" s="60" t="s">
        <v>649</v>
      </c>
      <c r="G277" s="60"/>
      <c r="H277" s="60" t="str">
        <f>IFERROR(INDEX('Docketed Comments'!C:C,MATCH(A277,'Docketed Comments'!H:H,0))&amp;", "&amp;INDEX('Docketed Comments'!B:B,MATCH(A277,'Docketed Comments'!H:H,0)),"")</f>
        <v>Justin, Dagerman</v>
      </c>
      <c r="I277" s="60" t="str">
        <f>IFERROR(INDEX('Docketed Comments'!D:D,MATCH(A277,'Docketed Comments'!H:H,0)),"")</f>
        <v>Phoenix</v>
      </c>
      <c r="J277" s="60" t="str">
        <f>IFERROR(INDEX('Docketed Comments'!I:I,MATCH(A277,'Docketed Comments'!H:H,0)),"")</f>
        <v>EPR-6w/E-12</v>
      </c>
      <c r="K277" s="60" t="str">
        <f t="shared" si="9"/>
        <v>⚠ Frozen Rate</v>
      </c>
      <c r="L277" s="60" t="str">
        <f>IFERROR(INDEX('Docketed Comments'!F:F,MATCH(A277,'Docketed Comments'!H:H,0)),"")</f>
        <v>Opposed-Energy is a necessity not luxury</v>
      </c>
      <c r="M277" s="120" t="str">
        <f>IFERROR(INDEX('Docketed Comments'!G:G,MATCH(A277,'Docketed Comments'!H:H,0)),"")</f>
        <v>https://docket.images.azcc.gov/E000046531.pdf</v>
      </c>
      <c r="N277" s="118">
        <f>IFERROR(INDEX('Docketed Comments'!N:N,MATCH(A277,'Docketed Comments'!H:H,0)),"")</f>
        <v>719.22</v>
      </c>
      <c r="O277" s="118" t="str">
        <f>IFERROR(INDEX('Docketed Comments'!L:L,MATCH(A277,'Docketed Comments'!H:H,0)),"")</f>
        <v>Frozen Rate</v>
      </c>
      <c r="P277" s="119">
        <f t="shared" si="8"/>
        <v>0</v>
      </c>
      <c r="Q277" s="60" t="s">
        <v>23</v>
      </c>
      <c r="R277" s="64" t="s">
        <v>24</v>
      </c>
      <c r="S277" s="64" t="s">
        <v>650</v>
      </c>
    </row>
    <row r="278" spans="1:19" ht="21.95" hidden="1" customHeight="1">
      <c r="A278" s="66" t="s">
        <v>651</v>
      </c>
      <c r="B278" s="64" t="s">
        <v>31</v>
      </c>
      <c r="C278" s="65">
        <v>45997</v>
      </c>
      <c r="D278" s="64"/>
      <c r="E278" s="64" t="s">
        <v>22</v>
      </c>
      <c r="F278" s="60" t="s">
        <v>652</v>
      </c>
      <c r="G278" s="60"/>
      <c r="H278" s="60" t="str">
        <f>IFERROR(INDEX('Docketed Comments'!C:C,MATCH(A278,'Docketed Comments'!H:H,0))&amp;", "&amp;INDEX('Docketed Comments'!B:B,MATCH(A278,'Docketed Comments'!H:H,0)),"")</f>
        <v>Brittney, Phay</v>
      </c>
      <c r="I278" s="60" t="str">
        <f>IFERROR(INDEX('Docketed Comments'!D:D,MATCH(A278,'Docketed Comments'!H:H,0)),"")</f>
        <v>Goodyear</v>
      </c>
      <c r="J278" s="60" t="str">
        <f>IFERROR(INDEX('Docketed Comments'!I:I,MATCH(A278,'Docketed Comments'!H:H,0)),"")</f>
        <v>R3-47</v>
      </c>
      <c r="K278" s="60" t="str">
        <f t="shared" si="9"/>
        <v>✅ On Best Plan</v>
      </c>
      <c r="L278" s="60" t="str">
        <f>IFERROR(INDEX('Docketed Comments'!F:F,MATCH(A278,'Docketed Comments'!H:H,0)),"")</f>
        <v>Opposed-protect rate payers and reject this</v>
      </c>
      <c r="M278" s="120" t="str">
        <f>IFERROR(INDEX('Docketed Comments'!G:G,MATCH(A278,'Docketed Comments'!H:H,0)),"")</f>
        <v>https://docket.images.azcc.gov/E000046548.pdf</v>
      </c>
      <c r="N278" s="118">
        <f>IFERROR(INDEX('Docketed Comments'!N:N,MATCH(A278,'Docketed Comments'!H:H,0)),"")</f>
        <v>747.64</v>
      </c>
      <c r="O278" s="118" t="str">
        <f>IFERROR(INDEX('Docketed Comments'!L:L,MATCH(A278,'Docketed Comments'!H:H,0)),"")</f>
        <v>Yes</v>
      </c>
      <c r="P278" s="119">
        <f t="shared" si="8"/>
        <v>0</v>
      </c>
      <c r="Q278" s="60" t="s">
        <v>23</v>
      </c>
      <c r="R278" s="64" t="s">
        <v>24</v>
      </c>
      <c r="S278" s="64" t="s">
        <v>653</v>
      </c>
    </row>
    <row r="279" spans="1:19" ht="21.95" hidden="1" customHeight="1">
      <c r="A279" s="66" t="s">
        <v>654</v>
      </c>
      <c r="B279" s="64" t="s">
        <v>31</v>
      </c>
      <c r="C279" s="65">
        <v>46039</v>
      </c>
      <c r="D279" s="64" t="s">
        <v>27</v>
      </c>
      <c r="E279" s="64" t="s">
        <v>35</v>
      </c>
      <c r="F279" s="60" t="s">
        <v>655</v>
      </c>
      <c r="G279" s="60"/>
      <c r="H279" s="60" t="str">
        <f>IFERROR(INDEX('Docketed Comments'!C:C,MATCH(A279,'Docketed Comments'!H:H,0))&amp;", "&amp;INDEX('Docketed Comments'!B:B,MATCH(A279,'Docketed Comments'!H:H,0)),"")</f>
        <v>Christopher, Peralta</v>
      </c>
      <c r="I279" s="60" t="str">
        <f>IFERROR(INDEX('Docketed Comments'!D:D,MATCH(A279,'Docketed Comments'!H:H,0)),"")</f>
        <v>Gilbert</v>
      </c>
      <c r="J279" s="60" t="str">
        <f>IFERROR(INDEX('Docketed Comments'!I:I,MATCH(A279,'Docketed Comments'!H:H,0)),"")</f>
        <v>R3-47</v>
      </c>
      <c r="K279" s="60" t="str">
        <f t="shared" si="9"/>
        <v>✅ On Best Plan</v>
      </c>
      <c r="L279" s="60" t="str">
        <f>IFERROR(INDEX('Docketed Comments'!F:F,MATCH(A279,'Docketed Comments'!H:H,0)),"")</f>
        <v>Opposed-We need full disclosure on spending</v>
      </c>
      <c r="M279" s="120" t="str">
        <f>IFERROR(INDEX('Docketed Comments'!G:G,MATCH(A279,'Docketed Comments'!H:H,0)),"")</f>
        <v>https://docket.images.azcc.gov/E000046554.pdf</v>
      </c>
      <c r="N279" s="118">
        <f>IFERROR(INDEX('Docketed Comments'!N:N,MATCH(A279,'Docketed Comments'!H:H,0)),"")</f>
        <v>507.13</v>
      </c>
      <c r="O279" s="118" t="str">
        <f>IFERROR(INDEX('Docketed Comments'!L:L,MATCH(A279,'Docketed Comments'!H:H,0)),"")</f>
        <v>Y</v>
      </c>
      <c r="P279" s="119">
        <f t="shared" si="8"/>
        <v>0</v>
      </c>
      <c r="Q279" s="60" t="s">
        <v>23</v>
      </c>
      <c r="R279" s="64" t="s">
        <v>24</v>
      </c>
      <c r="S279" s="64" t="s">
        <v>656</v>
      </c>
    </row>
    <row r="280" spans="1:19" ht="21.95" hidden="1" customHeight="1">
      <c r="A280" s="66" t="s">
        <v>657</v>
      </c>
      <c r="B280" s="64" t="s">
        <v>31</v>
      </c>
      <c r="C280" s="65">
        <v>46039</v>
      </c>
      <c r="D280" s="64" t="s">
        <v>27</v>
      </c>
      <c r="E280" s="64" t="s">
        <v>22</v>
      </c>
      <c r="F280" s="60" t="s">
        <v>658</v>
      </c>
      <c r="G280" s="60"/>
      <c r="H280" s="60" t="str">
        <f>IFERROR(INDEX('Docketed Comments'!C:C,MATCH(A280,'Docketed Comments'!H:H,0))&amp;", "&amp;INDEX('Docketed Comments'!B:B,MATCH(A280,'Docketed Comments'!H:H,0)),"")</f>
        <v>Cheyenne, Rooen</v>
      </c>
      <c r="I280" s="60" t="str">
        <f>IFERROR(INDEX('Docketed Comments'!D:D,MATCH(A280,'Docketed Comments'!H:H,0)),"")</f>
        <v>Surprise</v>
      </c>
      <c r="J280" s="60" t="str">
        <f>IFERROR(INDEX('Docketed Comments'!I:I,MATCH(A280,'Docketed Comments'!H:H,0)),"")</f>
        <v>RCPw/R3-47</v>
      </c>
      <c r="K280" s="60" t="str">
        <f t="shared" si="9"/>
        <v>✅ On Best Plan</v>
      </c>
      <c r="L280" s="60" t="str">
        <f>IFERROR(INDEX('Docketed Comments'!F:F,MATCH(A280,'Docketed Comments'!H:H,0)),"")</f>
        <v>I cannot afford this</v>
      </c>
      <c r="M280" s="120" t="str">
        <f>IFERROR(INDEX('Docketed Comments'!G:G,MATCH(A280,'Docketed Comments'!H:H,0)),"")</f>
        <v>https://docket.images.azcc.gov/E000046578.pdf</v>
      </c>
      <c r="N280" s="118">
        <f>IFERROR(INDEX('Docketed Comments'!N:N,MATCH(A280,'Docketed Comments'!H:H,0)),"")</f>
        <v>309.36</v>
      </c>
      <c r="O280" s="118" t="str">
        <f>IFERROR(INDEX('Docketed Comments'!L:L,MATCH(A280,'Docketed Comments'!H:H,0)),"")</f>
        <v>Yes</v>
      </c>
      <c r="P280" s="119">
        <f t="shared" si="8"/>
        <v>0</v>
      </c>
      <c r="Q280" s="60" t="s">
        <v>23</v>
      </c>
      <c r="R280" s="64" t="s">
        <v>24</v>
      </c>
      <c r="S280" s="64" t="s">
        <v>659</v>
      </c>
    </row>
    <row r="281" spans="1:19" ht="21.95" hidden="1" customHeight="1">
      <c r="A281" s="66" t="s">
        <v>660</v>
      </c>
      <c r="B281" s="64" t="s">
        <v>31</v>
      </c>
      <c r="C281" s="65">
        <v>46039</v>
      </c>
      <c r="D281" s="64" t="s">
        <v>27</v>
      </c>
      <c r="E281" s="64" t="s">
        <v>214</v>
      </c>
      <c r="F281" s="60" t="s">
        <v>54</v>
      </c>
      <c r="G281" s="60"/>
      <c r="H281" s="60" t="str">
        <f>IFERROR(INDEX('Docketed Comments'!C:C,MATCH(A281,'Docketed Comments'!H:H,0))&amp;", "&amp;INDEX('Docketed Comments'!B:B,MATCH(A281,'Docketed Comments'!H:H,0)),"")</f>
        <v>Veronica, Valdivia</v>
      </c>
      <c r="I281" s="60" t="str">
        <f>IFERROR(INDEX('Docketed Comments'!D:D,MATCH(A281,'Docketed Comments'!H:H,0)),"")</f>
        <v>Buckeye</v>
      </c>
      <c r="J281" s="60" t="str">
        <f>IFERROR(INDEX('Docketed Comments'!I:I,MATCH(A281,'Docketed Comments'!H:H,0)),"")</f>
        <v>R3-47</v>
      </c>
      <c r="K281" s="60" t="str">
        <f t="shared" si="9"/>
        <v>✅ On Best Plan</v>
      </c>
      <c r="L281" s="60" t="str">
        <f>IFERROR(INDEX('Docketed Comments'!F:F,MATCH(A281,'Docketed Comments'!H:H,0)),"")</f>
        <v>Why put everyone in a worse situation</v>
      </c>
      <c r="M281" s="120" t="str">
        <f>IFERROR(INDEX('Docketed Comments'!G:G,MATCH(A281,'Docketed Comments'!H:H,0)),"")</f>
        <v>https://docket.images.azcc.gov/E000046578.pdf</v>
      </c>
      <c r="N281" s="118">
        <f>IFERROR(INDEX('Docketed Comments'!N:N,MATCH(A281,'Docketed Comments'!H:H,0)),"")</f>
        <v>1027.99</v>
      </c>
      <c r="O281" s="118" t="str">
        <f>IFERROR(INDEX('Docketed Comments'!L:L,MATCH(A281,'Docketed Comments'!H:H,0)),"")</f>
        <v>Yes</v>
      </c>
      <c r="P281" s="119">
        <f t="shared" si="8"/>
        <v>0</v>
      </c>
      <c r="Q281" s="60" t="s">
        <v>23</v>
      </c>
      <c r="R281" s="64" t="s">
        <v>24</v>
      </c>
      <c r="S281" s="64" t="s">
        <v>661</v>
      </c>
    </row>
    <row r="282" spans="1:19" ht="21.95" hidden="1" customHeight="1">
      <c r="A282" s="66" t="s">
        <v>662</v>
      </c>
      <c r="B282" s="64" t="s">
        <v>31</v>
      </c>
      <c r="C282" s="65">
        <v>46039</v>
      </c>
      <c r="D282" s="64" t="s">
        <v>21</v>
      </c>
      <c r="E282" s="64" t="s">
        <v>22</v>
      </c>
      <c r="F282" s="60" t="s">
        <v>663</v>
      </c>
      <c r="G282" s="60"/>
      <c r="H282" s="60" t="str">
        <f>IFERROR(INDEX('Docketed Comments'!C:C,MATCH(A282,'Docketed Comments'!H:H,0))&amp;", "&amp;INDEX('Docketed Comments'!B:B,MATCH(A282,'Docketed Comments'!H:H,0)),"")</f>
        <v>Shelreece, Ross</v>
      </c>
      <c r="I282" s="60" t="str">
        <f>IFERROR(INDEX('Docketed Comments'!D:D,MATCH(A282,'Docketed Comments'!H:H,0)),"")</f>
        <v>Buckeye</v>
      </c>
      <c r="J282" s="60" t="str">
        <f>IFERROR(INDEX('Docketed Comments'!I:I,MATCH(A282,'Docketed Comments'!H:H,0)),"")</f>
        <v>R3-47</v>
      </c>
      <c r="K282" s="60" t="str">
        <f t="shared" si="9"/>
        <v>✅ On Best Plan</v>
      </c>
      <c r="L282" s="60" t="str">
        <f>IFERROR(INDEX('Docketed Comments'!F:F,MATCH(A282,'Docketed Comments'!H:H,0)),"")</f>
        <v xml:space="preserve">People can barely afford electricity as is now </v>
      </c>
      <c r="M282" s="120" t="str">
        <f>IFERROR(INDEX('Docketed Comments'!G:G,MATCH(A282,'Docketed Comments'!H:H,0)),"")</f>
        <v>https://docket.images.azcc.gov/E000046586.pdf</v>
      </c>
      <c r="N282" s="118">
        <f>IFERROR(INDEX('Docketed Comments'!N:N,MATCH(A282,'Docketed Comments'!H:H,0)),"")</f>
        <v>771.64</v>
      </c>
      <c r="O282" s="118" t="str">
        <f>IFERROR(INDEX('Docketed Comments'!L:L,MATCH(A282,'Docketed Comments'!H:H,0)),"")</f>
        <v>Yes</v>
      </c>
      <c r="P282" s="119">
        <f t="shared" si="8"/>
        <v>0</v>
      </c>
      <c r="Q282" s="60" t="s">
        <v>23</v>
      </c>
      <c r="R282" s="64" t="s">
        <v>24</v>
      </c>
      <c r="S282" s="64" t="s">
        <v>664</v>
      </c>
    </row>
    <row r="283" spans="1:19" ht="21.95" hidden="1" customHeight="1">
      <c r="A283" s="66" t="s">
        <v>665</v>
      </c>
      <c r="B283" s="64" t="s">
        <v>31</v>
      </c>
      <c r="C283" s="65">
        <v>46039</v>
      </c>
      <c r="D283" s="64" t="s">
        <v>21</v>
      </c>
      <c r="E283" s="64" t="s">
        <v>22</v>
      </c>
      <c r="F283" s="60" t="s">
        <v>666</v>
      </c>
      <c r="G283" s="60"/>
      <c r="H283" s="60" t="str">
        <f>IFERROR(INDEX('Docketed Comments'!C:C,MATCH(A283,'Docketed Comments'!H:H,0))&amp;", "&amp;INDEX('Docketed Comments'!B:B,MATCH(A283,'Docketed Comments'!H:H,0)),"")</f>
        <v>Alison, Gerblick</v>
      </c>
      <c r="I283" s="60" t="str">
        <f>IFERROR(INDEX('Docketed Comments'!D:D,MATCH(A283,'Docketed Comments'!H:H,0)),"")</f>
        <v>Glendale</v>
      </c>
      <c r="J283" s="60" t="str">
        <f>IFERROR(INDEX('Docketed Comments'!I:I,MATCH(A283,'Docketed Comments'!H:H,0)),"")</f>
        <v>R-2</v>
      </c>
      <c r="K283" s="60" t="str">
        <f t="shared" si="9"/>
        <v>⚠ Frozen Rate</v>
      </c>
      <c r="L283" s="60" t="str">
        <f>IFERROR(INDEX('Docketed Comments'!F:F,MATCH(A283,'Docketed Comments'!H:H,0)),"")</f>
        <v>Opposed-AC is a necessity not a luxury for survival</v>
      </c>
      <c r="M283" s="120" t="str">
        <f>IFERROR(INDEX('Docketed Comments'!G:G,MATCH(A283,'Docketed Comments'!H:H,0)),"")</f>
        <v>https://docket.images.azcc.gov/E000046726.pdf</v>
      </c>
      <c r="N283" s="118">
        <f>IFERROR(INDEX('Docketed Comments'!N:N,MATCH(A283,'Docketed Comments'!H:H,0)),"")</f>
        <v>368.4</v>
      </c>
      <c r="O283" s="118" t="str">
        <f>IFERROR(INDEX('Docketed Comments'!L:L,MATCH(A283,'Docketed Comments'!H:H,0)),"")</f>
        <v>Frozen Rate</v>
      </c>
      <c r="P283" s="119">
        <f t="shared" si="8"/>
        <v>0</v>
      </c>
      <c r="Q283" s="60" t="s">
        <v>23</v>
      </c>
      <c r="R283" s="64" t="s">
        <v>24</v>
      </c>
      <c r="S283" s="64" t="s">
        <v>667</v>
      </c>
    </row>
    <row r="284" spans="1:19" ht="21.95" hidden="1" customHeight="1">
      <c r="A284" s="66" t="s">
        <v>668</v>
      </c>
      <c r="B284" s="64" t="s">
        <v>31</v>
      </c>
      <c r="C284" s="65">
        <v>46032</v>
      </c>
      <c r="D284" s="64" t="s">
        <v>21</v>
      </c>
      <c r="E284" s="64" t="s">
        <v>22</v>
      </c>
      <c r="F284" s="60" t="s">
        <v>99</v>
      </c>
      <c r="G284" s="60"/>
      <c r="H284" s="60" t="str">
        <f>IFERROR(INDEX('Docketed Comments'!C:C,MATCH(A284,'Docketed Comments'!H:H,0))&amp;", "&amp;INDEX('Docketed Comments'!B:B,MATCH(A284,'Docketed Comments'!H:H,0)),"")</f>
        <v>Blake, Lynch</v>
      </c>
      <c r="I284" s="60" t="str">
        <f>IFERROR(INDEX('Docketed Comments'!D:D,MATCH(A284,'Docketed Comments'!H:H,0)),"")</f>
        <v>Unknown</v>
      </c>
      <c r="J284" s="60" t="str">
        <f>IFERROR(INDEX('Docketed Comments'!I:I,MATCH(A284,'Docketed Comments'!H:H,0)),"")</f>
        <v>R-2</v>
      </c>
      <c r="K284" s="60" t="str">
        <f t="shared" si="9"/>
        <v>⚠ Frozen Rate</v>
      </c>
      <c r="L284" s="60" t="str">
        <f>IFERROR(INDEX('Docketed Comments'!F:F,MATCH(A284,'Docketed Comments'!H:H,0)),"")</f>
        <v xml:space="preserve">Opposed-Why are you letting aps increase their rates </v>
      </c>
      <c r="M284" s="120" t="str">
        <f>IFERROR(INDEX('Docketed Comments'!G:G,MATCH(A284,'Docketed Comments'!H:H,0)),"")</f>
        <v>https://docket.images.azcc.gov/E000046791.pdf</v>
      </c>
      <c r="N284" s="118">
        <f>IFERROR(INDEX('Docketed Comments'!N:N,MATCH(A284,'Docketed Comments'!H:H,0)),"")</f>
        <v>170.45</v>
      </c>
      <c r="O284" s="118" t="str">
        <f>IFERROR(INDEX('Docketed Comments'!L:L,MATCH(A284,'Docketed Comments'!H:H,0)),"")</f>
        <v>Frozen Rate</v>
      </c>
      <c r="P284" s="119">
        <f t="shared" si="8"/>
        <v>0</v>
      </c>
      <c r="Q284" s="60" t="s">
        <v>23</v>
      </c>
      <c r="R284" s="64" t="s">
        <v>24</v>
      </c>
      <c r="S284" s="64" t="s">
        <v>669</v>
      </c>
    </row>
    <row r="285" spans="1:19" ht="21.95" hidden="1" customHeight="1">
      <c r="A285" s="66" t="s">
        <v>670</v>
      </c>
      <c r="B285" s="64" t="s">
        <v>31</v>
      </c>
      <c r="C285" s="65">
        <v>45997</v>
      </c>
      <c r="D285" s="64" t="s">
        <v>21</v>
      </c>
      <c r="E285" s="64" t="s">
        <v>22</v>
      </c>
      <c r="F285" s="60" t="s">
        <v>99</v>
      </c>
      <c r="G285" s="60"/>
      <c r="H285" s="60" t="str">
        <f>IFERROR(INDEX('Docketed Comments'!C:C,MATCH(A285,'Docketed Comments'!H:H,0))&amp;", "&amp;INDEX('Docketed Comments'!B:B,MATCH(A285,'Docketed Comments'!H:H,0)),"")</f>
        <v>Angelina, Arbizu</v>
      </c>
      <c r="I285" s="60" t="str">
        <f>IFERROR(INDEX('Docketed Comments'!D:D,MATCH(A285,'Docketed Comments'!H:H,0)),"")</f>
        <v>Phoenix</v>
      </c>
      <c r="J285" s="60" t="str">
        <f>IFERROR(INDEX('Docketed Comments'!I:I,MATCH(A285,'Docketed Comments'!H:H,0)),"")</f>
        <v>EPR-6w/ET-2</v>
      </c>
      <c r="K285" s="60" t="str">
        <f t="shared" si="9"/>
        <v>⚠ Frozen Rate</v>
      </c>
      <c r="L285" s="60" t="str">
        <f>IFERROR(INDEX('Docketed Comments'!F:F,MATCH(A285,'Docketed Comments'!H:H,0)),"")</f>
        <v>Form Letter: Enough is enough! You must reject the latest 14% rate hikes by APS and TEP</v>
      </c>
      <c r="M285" s="120" t="str">
        <f>IFERROR(INDEX('Docketed Comments'!G:G,MATCH(A285,'Docketed Comments'!H:H,0)),"")</f>
        <v>https://docket.images.azcc.gov/E000046970.pdf</v>
      </c>
      <c r="N285" s="118">
        <f>IFERROR(INDEX('Docketed Comments'!N:N,MATCH(A285,'Docketed Comments'!H:H,0)),"")</f>
        <v>288.29000000000002</v>
      </c>
      <c r="O285" s="118" t="str">
        <f>IFERROR(INDEX('Docketed Comments'!L:L,MATCH(A285,'Docketed Comments'!H:H,0)),"")</f>
        <v>Frozen Rate</v>
      </c>
      <c r="P285" s="119">
        <f t="shared" si="8"/>
        <v>0</v>
      </c>
      <c r="Q285" s="60" t="s">
        <v>23</v>
      </c>
      <c r="R285" s="64" t="s">
        <v>24</v>
      </c>
      <c r="S285" s="64" t="s">
        <v>671</v>
      </c>
    </row>
    <row r="286" spans="1:19" ht="21.95" hidden="1" customHeight="1">
      <c r="A286" s="66" t="s">
        <v>672</v>
      </c>
      <c r="B286" s="64" t="s">
        <v>31</v>
      </c>
      <c r="C286" s="65">
        <v>46032</v>
      </c>
      <c r="D286" s="64"/>
      <c r="E286" s="64" t="s">
        <v>35</v>
      </c>
      <c r="F286" s="60" t="s">
        <v>673</v>
      </c>
      <c r="G286" s="60"/>
      <c r="H286" s="60" t="str">
        <f>IFERROR(INDEX('Docketed Comments'!C:C,MATCH(A286,'Docketed Comments'!H:H,0))&amp;", "&amp;INDEX('Docketed Comments'!B:B,MATCH(A286,'Docketed Comments'!H:H,0)),"")</f>
        <v>Petty, Toro</v>
      </c>
      <c r="I286" s="60" t="str">
        <f>IFERROR(INDEX('Docketed Comments'!D:D,MATCH(A286,'Docketed Comments'!H:H,0)),"")</f>
        <v>Buckeye</v>
      </c>
      <c r="J286" s="60" t="str">
        <f>IFERROR(INDEX('Docketed Comments'!I:I,MATCH(A286,'Docketed Comments'!H:H,0)),"")</f>
        <v>RCPw/RTOUE47</v>
      </c>
      <c r="K286" s="60" t="str">
        <f t="shared" si="9"/>
        <v>✅ On Best Plan</v>
      </c>
      <c r="L286" s="60" t="str">
        <f>IFERROR(INDEX('Docketed Comments'!F:F,MATCH(A286,'Docketed Comments'!H:H,0)),"")</f>
        <v>I object to this rate increase due to the excessive executive pay</v>
      </c>
      <c r="M286" s="120" t="str">
        <f>IFERROR(INDEX('Docketed Comments'!G:G,MATCH(A286,'Docketed Comments'!H:H,0)),"")</f>
        <v>https://docket.images.azcc.gov/E000047175.pdf</v>
      </c>
      <c r="N286" s="118">
        <f>IFERROR(INDEX('Docketed Comments'!N:N,MATCH(A286,'Docketed Comments'!H:H,0)),"")</f>
        <v>384.67</v>
      </c>
      <c r="O286" s="118" t="str">
        <f>IFERROR(INDEX('Docketed Comments'!L:L,MATCH(A286,'Docketed Comments'!H:H,0)),"")</f>
        <v>Y</v>
      </c>
      <c r="P286" s="119">
        <f t="shared" si="8"/>
        <v>0</v>
      </c>
      <c r="Q286" s="60" t="s">
        <v>23</v>
      </c>
      <c r="R286" s="64" t="s">
        <v>24</v>
      </c>
      <c r="S286" s="64" t="s">
        <v>674</v>
      </c>
    </row>
    <row r="287" spans="1:19" ht="21.95" hidden="1" customHeight="1">
      <c r="A287" s="66" t="s">
        <v>675</v>
      </c>
      <c r="B287" s="64" t="s">
        <v>31</v>
      </c>
      <c r="C287" s="65">
        <v>46039</v>
      </c>
      <c r="D287" s="64" t="s">
        <v>21</v>
      </c>
      <c r="E287" s="64" t="s">
        <v>22</v>
      </c>
      <c r="F287" s="60"/>
      <c r="G287" s="60"/>
      <c r="H287" s="60" t="str">
        <f>IFERROR(INDEX('Docketed Comments'!C:C,MATCH(A287,'Docketed Comments'!H:H,0))&amp;", "&amp;INDEX('Docketed Comments'!B:B,MATCH(A287,'Docketed Comments'!H:H,0)),"")</f>
        <v>Noel, Ortiz</v>
      </c>
      <c r="I287" s="60" t="str">
        <f>IFERROR(INDEX('Docketed Comments'!D:D,MATCH(A287,'Docketed Comments'!H:H,0)),"")</f>
        <v>Phoenix</v>
      </c>
      <c r="J287" s="60" t="str">
        <f>IFERROR(INDEX('Docketed Comments'!I:I,MATCH(A287,'Docketed Comments'!H:H,0)),"")</f>
        <v>R-BASIC</v>
      </c>
      <c r="K287" s="60" t="str">
        <f t="shared" si="9"/>
        <v>✅ On Best Plan</v>
      </c>
      <c r="L287" s="60" t="str">
        <f>IFERROR(INDEX('Docketed Comments'!F:F,MATCH(A287,'Docketed Comments'!H:H,0)),"")</f>
        <v>Form Letter: Enough is enough! You must reject the latest 14% rate hikes by APS and TEP</v>
      </c>
      <c r="M287" s="120" t="str">
        <f>IFERROR(INDEX('Docketed Comments'!G:G,MATCH(A287,'Docketed Comments'!H:H,0)),"")</f>
        <v>https://docket.images.azcc.gov/E000047324.pdf</v>
      </c>
      <c r="N287" s="118">
        <f>IFERROR(INDEX('Docketed Comments'!N:N,MATCH(A287,'Docketed Comments'!H:H,0)),"")</f>
        <v>302.06</v>
      </c>
      <c r="O287" s="118" t="str">
        <f>IFERROR(INDEX('Docketed Comments'!L:L,MATCH(A287,'Docketed Comments'!H:H,0)),"")</f>
        <v>Yes</v>
      </c>
      <c r="P287" s="119">
        <f t="shared" si="8"/>
        <v>0</v>
      </c>
      <c r="Q287" s="60" t="s">
        <v>23</v>
      </c>
      <c r="R287" s="64" t="s">
        <v>24</v>
      </c>
      <c r="S287" s="64" t="s">
        <v>676</v>
      </c>
    </row>
    <row r="288" spans="1:19" ht="21.95" hidden="1" customHeight="1">
      <c r="A288" s="66" t="s">
        <v>677</v>
      </c>
      <c r="B288" s="64" t="s">
        <v>31</v>
      </c>
      <c r="C288" s="65">
        <v>46032</v>
      </c>
      <c r="D288" s="64"/>
      <c r="E288" s="64" t="s">
        <v>28</v>
      </c>
      <c r="F288" s="60" t="s">
        <v>678</v>
      </c>
      <c r="G288" s="60"/>
      <c r="H288" s="60" t="str">
        <f>IFERROR(INDEX('Docketed Comments'!C:C,MATCH(A288,'Docketed Comments'!H:H,0))&amp;", "&amp;INDEX('Docketed Comments'!B:B,MATCH(A288,'Docketed Comments'!H:H,0)),"")</f>
        <v>Cari, Thome</v>
      </c>
      <c r="I288" s="60" t="str">
        <f>IFERROR(INDEX('Docketed Comments'!D:D,MATCH(A288,'Docketed Comments'!H:H,0)),"")</f>
        <v>Buckeye</v>
      </c>
      <c r="J288" s="60" t="str">
        <f>IFERROR(INDEX('Docketed Comments'!I:I,MATCH(A288,'Docketed Comments'!H:H,0)),"")</f>
        <v>R3-47</v>
      </c>
      <c r="K288" s="60" t="str">
        <f t="shared" si="9"/>
        <v>✅ On Best Plan</v>
      </c>
      <c r="L288" s="60" t="str">
        <f>IFERROR(INDEX('Docketed Comments'!F:F,MATCH(A288,'Docketed Comments'!H:H,0)),"")</f>
        <v>Opposed to another rate hike - they have frequently asked for rate increases</v>
      </c>
      <c r="M288" s="120" t="str">
        <f>IFERROR(INDEX('Docketed Comments'!G:G,MATCH(A288,'Docketed Comments'!H:H,0)),"")</f>
        <v>https://docket.images.azcc.gov/E000047425.pdf</v>
      </c>
      <c r="N288" s="118">
        <f>IFERROR(INDEX('Docketed Comments'!N:N,MATCH(A288,'Docketed Comments'!H:H,0)),"")</f>
        <v>1209</v>
      </c>
      <c r="O288" s="118" t="str">
        <f>IFERROR(INDEX('Docketed Comments'!L:L,MATCH(A288,'Docketed Comments'!H:H,0)),"")</f>
        <v>Yes</v>
      </c>
      <c r="P288" s="119">
        <f t="shared" si="8"/>
        <v>0</v>
      </c>
      <c r="Q288" s="60" t="s">
        <v>23</v>
      </c>
      <c r="R288" s="64" t="s">
        <v>24</v>
      </c>
      <c r="S288" s="64" t="s">
        <v>679</v>
      </c>
    </row>
    <row r="289" spans="1:19" ht="21.95" hidden="1" customHeight="1">
      <c r="A289" s="66" t="s">
        <v>680</v>
      </c>
      <c r="B289" s="64" t="s">
        <v>31</v>
      </c>
      <c r="C289" s="65">
        <v>45997</v>
      </c>
      <c r="D289" s="64" t="s">
        <v>21</v>
      </c>
      <c r="E289" s="64" t="s">
        <v>22</v>
      </c>
      <c r="F289" s="60"/>
      <c r="G289" s="60"/>
      <c r="H289" s="60" t="str">
        <f>IFERROR(INDEX('Docketed Comments'!C:C,MATCH(A289,'Docketed Comments'!H:H,0))&amp;", "&amp;INDEX('Docketed Comments'!B:B,MATCH(A289,'Docketed Comments'!H:H,0)),"")</f>
        <v>Magan, Boyd</v>
      </c>
      <c r="I289" s="60" t="str">
        <f>IFERROR(INDEX('Docketed Comments'!D:D,MATCH(A289,'Docketed Comments'!H:H,0)),"")</f>
        <v>Tonopah</v>
      </c>
      <c r="J289" s="60" t="str">
        <f>IFERROR(INDEX('Docketed Comments'!I:I,MATCH(A289,'Docketed Comments'!H:H,0)),"")</f>
        <v>R3-47</v>
      </c>
      <c r="K289" s="60" t="str">
        <f t="shared" si="9"/>
        <v>✅ On Best Plan</v>
      </c>
      <c r="L289" s="60" t="str">
        <f>IFERROR(INDEX('Docketed Comments'!F:F,MATCH(A289,'Docketed Comments'!H:H,0)),"")</f>
        <v>It makes no sense that the rates are higher… Issues with energy water agreements (PV).</v>
      </c>
      <c r="M289" s="120" t="str">
        <f>IFERROR(INDEX('Docketed Comments'!G:G,MATCH(A289,'Docketed Comments'!H:H,0)),"")</f>
        <v>https://docket.images.azcc.gov/E000047432.pdf</v>
      </c>
      <c r="N289" s="118">
        <f>IFERROR(INDEX('Docketed Comments'!N:N,MATCH(A289,'Docketed Comments'!H:H,0)),"")</f>
        <v>347.99</v>
      </c>
      <c r="O289" s="118" t="str">
        <f>IFERROR(INDEX('Docketed Comments'!L:L,MATCH(A289,'Docketed Comments'!H:H,0)),"")</f>
        <v>Yes</v>
      </c>
      <c r="P289" s="119">
        <f t="shared" si="8"/>
        <v>0</v>
      </c>
      <c r="Q289" s="60" t="s">
        <v>23</v>
      </c>
      <c r="R289" s="64" t="s">
        <v>24</v>
      </c>
      <c r="S289" s="64" t="s">
        <v>681</v>
      </c>
    </row>
    <row r="290" spans="1:19" ht="21.95" hidden="1" customHeight="1">
      <c r="A290" s="66" t="s">
        <v>682</v>
      </c>
      <c r="B290" s="64" t="s">
        <v>31</v>
      </c>
      <c r="C290" s="65">
        <v>46032</v>
      </c>
      <c r="D290" s="64" t="s">
        <v>21</v>
      </c>
      <c r="E290" s="64" t="s">
        <v>22</v>
      </c>
      <c r="F290" s="60" t="s">
        <v>683</v>
      </c>
      <c r="G290" s="60"/>
      <c r="H290" s="60" t="str">
        <f>IFERROR(INDEX('Docketed Comments'!C:C,MATCH(A290,'Docketed Comments'!H:H,0))&amp;", "&amp;INDEX('Docketed Comments'!B:B,MATCH(A290,'Docketed Comments'!H:H,0)),"")</f>
        <v>Esmeralda, Jeronimo</v>
      </c>
      <c r="I290" s="60" t="str">
        <f>IFERROR(INDEX('Docketed Comments'!D:D,MATCH(A290,'Docketed Comments'!H:H,0)),"")</f>
        <v>Phoenix</v>
      </c>
      <c r="J290" s="60" t="str">
        <f>IFERROR(INDEX('Docketed Comments'!I:I,MATCH(A290,'Docketed Comments'!H:H,0)),"")</f>
        <v>RTOUE47</v>
      </c>
      <c r="K290" s="60" t="str">
        <f t="shared" si="9"/>
        <v>✅ On Best Plan</v>
      </c>
      <c r="L290" s="60" t="str">
        <f>IFERROR(INDEX('Docketed Comments'!F:F,MATCH(A290,'Docketed Comments'!H:H,0)),"")</f>
        <v>Form Letter: Enough is enough! You must reject the latest 14% rate hikes by APS lda TEP</v>
      </c>
      <c r="M290" s="120" t="str">
        <f>IFERROR(INDEX('Docketed Comments'!G:G,MATCH(A290,'Docketed Comments'!H:H,0)),"")</f>
        <v>https://docket.images.azcc.gov/E000047451.pdf</v>
      </c>
      <c r="N290" s="118">
        <f>IFERROR(INDEX('Docketed Comments'!N:N,MATCH(A290,'Docketed Comments'!H:H,0)),"")</f>
        <v>933.92</v>
      </c>
      <c r="O290" s="118" t="str">
        <f>IFERROR(INDEX('Docketed Comments'!L:L,MATCH(A290,'Docketed Comments'!H:H,0)),"")</f>
        <v>Yes</v>
      </c>
      <c r="P290" s="119">
        <f t="shared" si="8"/>
        <v>0</v>
      </c>
      <c r="Q290" s="60" t="s">
        <v>23</v>
      </c>
      <c r="R290" s="64" t="s">
        <v>24</v>
      </c>
      <c r="S290" s="64" t="s">
        <v>684</v>
      </c>
    </row>
    <row r="291" spans="1:19" ht="21.95" hidden="1" customHeight="1">
      <c r="A291" s="66" t="s">
        <v>685</v>
      </c>
      <c r="B291" s="64" t="s">
        <v>31</v>
      </c>
      <c r="C291" s="65">
        <v>46060</v>
      </c>
      <c r="D291" s="64" t="s">
        <v>27</v>
      </c>
      <c r="E291" s="64" t="s">
        <v>35</v>
      </c>
      <c r="F291" s="60" t="s">
        <v>686</v>
      </c>
      <c r="G291" s="60"/>
      <c r="H291" s="60" t="str">
        <f>IFERROR(INDEX('Docketed Comments'!C:C,MATCH(A291,'Docketed Comments'!H:H,0))&amp;", "&amp;INDEX('Docketed Comments'!B:B,MATCH(A291,'Docketed Comments'!H:H,0)),"")</f>
        <v>Paige, Walberg</v>
      </c>
      <c r="I291" s="60" t="str">
        <f>IFERROR(INDEX('Docketed Comments'!D:D,MATCH(A291,'Docketed Comments'!H:H,0)),"")</f>
        <v>El Mirage</v>
      </c>
      <c r="J291" s="60" t="str">
        <f>IFERROR(INDEX('Docketed Comments'!I:I,MATCH(A291,'Docketed Comments'!H:H,0)),"")</f>
        <v>EPR6-ET-1</v>
      </c>
      <c r="K291" s="60" t="str">
        <f t="shared" si="9"/>
        <v>⚠ Frozen Rate</v>
      </c>
      <c r="L291" s="60" t="str">
        <f>IFERROR(INDEX('Docketed Comments'!F:F,MATCH(A291,'Docketed Comments'!H:H,0)),"")</f>
        <v xml:space="preserve">I am a middle class single mom on a teacher income. I don't qualilfy for assistance. </v>
      </c>
      <c r="M291" s="120" t="str">
        <f>IFERROR(INDEX('Docketed Comments'!G:G,MATCH(A291,'Docketed Comments'!H:H,0)),"")</f>
        <v>https://docket.images.azcc.gov/E000047935.pdf</v>
      </c>
      <c r="N291" s="118">
        <f>IFERROR(INDEX('Docketed Comments'!N:N,MATCH(A291,'Docketed Comments'!H:H,0)),"")</f>
        <v>425.23</v>
      </c>
      <c r="O291" s="118" t="str">
        <f>IFERROR(INDEX('Docketed Comments'!L:L,MATCH(A291,'Docketed Comments'!H:H,0)),"")</f>
        <v>Frozen Rate</v>
      </c>
      <c r="P291" s="119">
        <f t="shared" si="8"/>
        <v>0</v>
      </c>
      <c r="Q291" s="60" t="s">
        <v>23</v>
      </c>
      <c r="R291" s="64" t="s">
        <v>24</v>
      </c>
      <c r="S291" s="64" t="s">
        <v>687</v>
      </c>
    </row>
    <row r="292" spans="1:19" ht="21.95" customHeight="1">
      <c r="A292" s="66" t="s">
        <v>688</v>
      </c>
      <c r="B292" s="64"/>
      <c r="C292" s="65"/>
      <c r="D292" s="64"/>
      <c r="E292" s="64"/>
      <c r="F292" s="60"/>
      <c r="G292" s="60" t="s">
        <v>74</v>
      </c>
      <c r="H292" s="60" t="str">
        <f>IFERROR(INDEX('Docketed Comments'!C:C,MATCH(A292,'Docketed Comments'!H:H,0))&amp;", "&amp;INDEX('Docketed Comments'!B:B,MATCH(A292,'Docketed Comments'!H:H,0)),"")</f>
        <v>Marsha, Clark</v>
      </c>
      <c r="I292" s="60" t="str">
        <f>IFERROR(INDEX('Docketed Comments'!D:D,MATCH(A292,'Docketed Comments'!H:H,0)),"")</f>
        <v>Casa Grande</v>
      </c>
      <c r="J292" s="60" t="str">
        <f>IFERROR(INDEX('Docketed Comments'!I:I,MATCH(A292,'Docketed Comments'!H:H,0)),"")</f>
        <v>R3-47</v>
      </c>
      <c r="K292" s="60" t="str">
        <f t="shared" si="9"/>
        <v>✅ On Best Plan</v>
      </c>
      <c r="L292" s="60" t="str">
        <f>IFERROR(INDEX('Docketed Comments'!F:F,MATCH(A292,'Docketed Comments'!H:H,0)),"")</f>
        <v>Form Letter: Enough is enough! You must reject the latest 14% rate hikes by APS e TEP</v>
      </c>
      <c r="M292" s="120" t="str">
        <f>IFERROR(INDEX('Docketed Comments'!G:G,MATCH(A292,'Docketed Comments'!H:H,0)),"")</f>
        <v>https://docket.images.azcc.gov/E000048497.pdf</v>
      </c>
      <c r="N292" s="118">
        <f>IFERROR(INDEX('Docketed Comments'!N:N,MATCH(A292,'Docketed Comments'!H:H,0)),"")</f>
        <v>832.08</v>
      </c>
      <c r="O292" s="118" t="str">
        <f>IFERROR(INDEX('Docketed Comments'!L:L,MATCH(A292,'Docketed Comments'!H:H,0)),"")</f>
        <v>Yes</v>
      </c>
      <c r="P292" s="119">
        <f t="shared" si="8"/>
        <v>0</v>
      </c>
      <c r="Q292" s="60"/>
      <c r="R292" s="64" t="s">
        <v>75</v>
      </c>
      <c r="S292" s="64" t="s">
        <v>689</v>
      </c>
    </row>
    <row r="293" spans="1:19" ht="21.95" customHeight="1">
      <c r="A293" s="66" t="s">
        <v>690</v>
      </c>
      <c r="B293" s="64"/>
      <c r="C293" s="65"/>
      <c r="D293" s="64"/>
      <c r="E293" s="64"/>
      <c r="F293" s="60"/>
      <c r="G293" s="60" t="s">
        <v>74</v>
      </c>
      <c r="H293" s="60" t="str">
        <f>IFERROR(INDEX('Docketed Comments'!C:C,MATCH(A293,'Docketed Comments'!H:H,0))&amp;", "&amp;INDEX('Docketed Comments'!B:B,MATCH(A293,'Docketed Comments'!H:H,0)),"")</f>
        <v>Karen, Burkhart</v>
      </c>
      <c r="I293" s="60" t="str">
        <f>IFERROR(INDEX('Docketed Comments'!D:D,MATCH(A293,'Docketed Comments'!H:H,0)),"")</f>
        <v>Peoria</v>
      </c>
      <c r="J293" s="60" t="str">
        <f>IFERROR(INDEX('Docketed Comments'!I:I,MATCH(A293,'Docketed Comments'!H:H,0)),"")</f>
        <v>R3-47</v>
      </c>
      <c r="K293" s="60" t="str">
        <f t="shared" si="9"/>
        <v>✅ On Best Plan</v>
      </c>
      <c r="L293" s="60" t="str">
        <f>IFERROR(INDEX('Docketed Comments'!F:F,MATCH(A293,'Docketed Comments'!H:H,0)),"")</f>
        <v>Pretty soon, my electric bill will be HALF of what I pay in mortgage. Normal people are struggling.</v>
      </c>
      <c r="M293" s="120" t="str">
        <f>IFERROR(INDEX('Docketed Comments'!G:G,MATCH(A293,'Docketed Comments'!H:H,0)),"")</f>
        <v>https://docket.images.azcc.gov/E000048716.pdf</v>
      </c>
      <c r="N293" s="118">
        <f>IFERROR(INDEX('Docketed Comments'!N:N,MATCH(A293,'Docketed Comments'!H:H,0)),"")</f>
        <v>811.15</v>
      </c>
      <c r="O293" s="118" t="str">
        <f>IFERROR(INDEX('Docketed Comments'!L:L,MATCH(A293,'Docketed Comments'!H:H,0)),"")</f>
        <v>Yes</v>
      </c>
      <c r="P293" s="119">
        <f t="shared" si="8"/>
        <v>0</v>
      </c>
      <c r="Q293" s="60"/>
      <c r="R293" s="64" t="s">
        <v>75</v>
      </c>
      <c r="S293" s="64" t="s">
        <v>691</v>
      </c>
    </row>
    <row r="294" spans="1:19" ht="21.95" customHeight="1">
      <c r="A294" s="66" t="s">
        <v>692</v>
      </c>
      <c r="B294" s="64"/>
      <c r="C294" s="65"/>
      <c r="D294" s="64"/>
      <c r="E294" s="64"/>
      <c r="F294" s="60"/>
      <c r="G294" s="60" t="s">
        <v>74</v>
      </c>
      <c r="H294" s="60" t="str">
        <f>IFERROR(INDEX('Docketed Comments'!C:C,MATCH(A294,'Docketed Comments'!H:H,0))&amp;", "&amp;INDEX('Docketed Comments'!B:B,MATCH(A294,'Docketed Comments'!H:H,0)),"")</f>
        <v>Tammy, Aho</v>
      </c>
      <c r="I294" s="60" t="str">
        <f>IFERROR(INDEX('Docketed Comments'!D:D,MATCH(A294,'Docketed Comments'!H:H,0)),"")</f>
        <v>Phoenix</v>
      </c>
      <c r="J294" s="60" t="str">
        <f>IFERROR(INDEX('Docketed Comments'!I:I,MATCH(A294,'Docketed Comments'!H:H,0)),"")</f>
        <v>R3-47</v>
      </c>
      <c r="K294" s="60" t="str">
        <f t="shared" si="9"/>
        <v>✅ On Best Plan</v>
      </c>
      <c r="L294" s="60" t="str">
        <f>IFERROR(INDEX('Docketed Comments'!F:F,MATCH(A294,'Docketed Comments'!H:H,0)),"")</f>
        <v>I'm currently 3 months behind and I've called every publlis assistance agency for help. Rate hikes will for sure 100% cut my electric off for my family. When is enough enough???</v>
      </c>
      <c r="M294" s="120" t="str">
        <f>IFERROR(INDEX('Docketed Comments'!G:G,MATCH(A294,'Docketed Comments'!H:H,0)),"")</f>
        <v>https://docket.images.azcc.gov/E000048995.pdf</v>
      </c>
      <c r="N294" s="118">
        <f>IFERROR(INDEX('Docketed Comments'!N:N,MATCH(A294,'Docketed Comments'!H:H,0)),"")</f>
        <v>2316.81</v>
      </c>
      <c r="O294" s="118" t="str">
        <f>IFERROR(INDEX('Docketed Comments'!L:L,MATCH(A294,'Docketed Comments'!H:H,0)),"")</f>
        <v>Yes</v>
      </c>
      <c r="P294" s="119">
        <f t="shared" si="8"/>
        <v>0</v>
      </c>
      <c r="Q294" s="60"/>
      <c r="R294" s="64" t="s">
        <v>75</v>
      </c>
      <c r="S294" s="64" t="s">
        <v>693</v>
      </c>
    </row>
    <row r="295" spans="1:19" ht="21.95" customHeight="1">
      <c r="A295" s="66" t="s">
        <v>694</v>
      </c>
      <c r="B295" s="64"/>
      <c r="C295" s="65"/>
      <c r="D295" s="64"/>
      <c r="E295" s="64"/>
      <c r="F295" s="60"/>
      <c r="G295" s="60" t="s">
        <v>74</v>
      </c>
      <c r="H295" s="60" t="str">
        <f>IFERROR(INDEX('Docketed Comments'!C:C,MATCH(A295,'Docketed Comments'!H:H,0))&amp;", "&amp;INDEX('Docketed Comments'!B:B,MATCH(A295,'Docketed Comments'!H:H,0)),"")</f>
        <v>Benjamin, Cortez</v>
      </c>
      <c r="I295" s="60" t="str">
        <f>IFERROR(INDEX('Docketed Comments'!D:D,MATCH(A295,'Docketed Comments'!H:H,0)),"")</f>
        <v>Sun City West</v>
      </c>
      <c r="J295" s="60" t="str">
        <f>IFERROR(INDEX('Docketed Comments'!I:I,MATCH(A295,'Docketed Comments'!H:H,0)),"")</f>
        <v>RCPw/RTOUE47</v>
      </c>
      <c r="K295" s="60" t="str">
        <f t="shared" si="9"/>
        <v>✅ On Best Plan</v>
      </c>
      <c r="L295" s="60" t="str">
        <f>IFERROR(INDEX('Docketed Comments'!F:F,MATCH(A295,'Docketed Comments'!H:H,0)),"")</f>
        <v>They already got a hike no more greed please</v>
      </c>
      <c r="M295" s="120" t="str">
        <f>IFERROR(INDEX('Docketed Comments'!G:G,MATCH(A295,'Docketed Comments'!H:H,0)),"")</f>
        <v>https://images.edocket.azcc.gov/docketpdf/E000049005.pdf</v>
      </c>
      <c r="N295" s="118">
        <f>IFERROR(INDEX('Docketed Comments'!N:N,MATCH(A295,'Docketed Comments'!H:H,0)),"")</f>
        <v>72.2</v>
      </c>
      <c r="O295" s="118" t="str">
        <f>IFERROR(INDEX('Docketed Comments'!L:L,MATCH(A295,'Docketed Comments'!H:H,0)),"")</f>
        <v>Yes</v>
      </c>
      <c r="P295" s="119">
        <f t="shared" si="8"/>
        <v>0</v>
      </c>
      <c r="Q295" s="60"/>
      <c r="R295" s="64" t="s">
        <v>75</v>
      </c>
      <c r="S295" s="64" t="s">
        <v>695</v>
      </c>
    </row>
    <row r="296" spans="1:19" ht="21.95" customHeight="1">
      <c r="A296" s="66" t="s">
        <v>696</v>
      </c>
      <c r="B296" s="64"/>
      <c r="C296" s="65"/>
      <c r="D296" s="64"/>
      <c r="E296" s="64"/>
      <c r="F296" s="60"/>
      <c r="G296" s="60" t="s">
        <v>74</v>
      </c>
      <c r="H296" s="60" t="str">
        <f>IFERROR(INDEX('Docketed Comments'!C:C,MATCH(A296,'Docketed Comments'!H:H,0))&amp;", "&amp;INDEX('Docketed Comments'!B:B,MATCH(A296,'Docketed Comments'!H:H,0)),"")</f>
        <v>David, Bingham</v>
      </c>
      <c r="I296" s="60" t="str">
        <f>IFERROR(INDEX('Docketed Comments'!D:D,MATCH(A296,'Docketed Comments'!H:H,0)),"")</f>
        <v>Arizona City</v>
      </c>
      <c r="J296" s="60" t="str">
        <f>IFERROR(INDEX('Docketed Comments'!I:I,MATCH(A296,'Docketed Comments'!H:H,0)),"")</f>
        <v>R3-47</v>
      </c>
      <c r="K296" s="60" t="str">
        <f t="shared" si="9"/>
        <v>✅ On Best Plan</v>
      </c>
      <c r="L296" s="60" t="str">
        <f>IFERROR(INDEX('Docketed Comments'!F:F,MATCH(A296,'Docketed Comments'!H:H,0)),"")</f>
        <v>Why does the commission always side with APS ? When will you side with poor and retired citizens</v>
      </c>
      <c r="M296" s="120" t="str">
        <f>IFERROR(INDEX('Docketed Comments'!G:G,MATCH(A296,'Docketed Comments'!H:H,0)),"")</f>
        <v>https://docket.images.azcc.gov/E000048921.pdf</v>
      </c>
      <c r="N296" s="118">
        <f>IFERROR(INDEX('Docketed Comments'!N:N,MATCH(A296,'Docketed Comments'!H:H,0)),"")</f>
        <v>309.8</v>
      </c>
      <c r="O296" s="118" t="str">
        <f>IFERROR(INDEX('Docketed Comments'!L:L,MATCH(A296,'Docketed Comments'!H:H,0)),"")</f>
        <v>Yes</v>
      </c>
      <c r="P296" s="119">
        <f t="shared" si="8"/>
        <v>0</v>
      </c>
      <c r="Q296" s="60"/>
      <c r="R296" s="64" t="s">
        <v>75</v>
      </c>
      <c r="S296" s="64" t="s">
        <v>697</v>
      </c>
    </row>
    <row r="297" spans="1:19" ht="21.95" customHeight="1">
      <c r="A297" s="66" t="s">
        <v>698</v>
      </c>
      <c r="B297" s="64"/>
      <c r="C297" s="65"/>
      <c r="D297" s="64"/>
      <c r="E297" s="64"/>
      <c r="F297" s="60"/>
      <c r="G297" s="60" t="s">
        <v>74</v>
      </c>
      <c r="H297" s="60" t="str">
        <f>IFERROR(INDEX('Docketed Comments'!C:C,MATCH(A297,'Docketed Comments'!H:H,0))&amp;", "&amp;INDEX('Docketed Comments'!B:B,MATCH(A297,'Docketed Comments'!H:H,0)),"")</f>
        <v>Yolanda, Cordova</v>
      </c>
      <c r="I297" s="60" t="str">
        <f>IFERROR(INDEX('Docketed Comments'!D:D,MATCH(A297,'Docketed Comments'!H:H,0)),"")</f>
        <v>Phoenix</v>
      </c>
      <c r="J297" s="60" t="str">
        <f>IFERROR(INDEX('Docketed Comments'!I:I,MATCH(A297,'Docketed Comments'!H:H,0)),"")</f>
        <v>R-XS</v>
      </c>
      <c r="K297" s="60" t="str">
        <f t="shared" si="9"/>
        <v>✅ On Best Plan</v>
      </c>
      <c r="L297" s="60" t="str">
        <f>IFERROR(INDEX('Docketed Comments'!F:F,MATCH(A297,'Docketed Comments'!H:H,0)),"")</f>
        <v>struggling to stay a float and you're trying to add another blow to our lives, NO WAY! Stop this madness and let us be able to feed our families</v>
      </c>
      <c r="M297" s="120" t="str">
        <f>IFERROR(INDEX('Docketed Comments'!G:G,MATCH(A297,'Docketed Comments'!H:H,0)),"")</f>
        <v>https://docket.images.azcc.gov/E000048921.pdf</v>
      </c>
      <c r="N297" s="118">
        <f>IFERROR(INDEX('Docketed Comments'!N:N,MATCH(A297,'Docketed Comments'!H:H,0)),"")</f>
        <v>202.33</v>
      </c>
      <c r="O297" s="118" t="str">
        <f>IFERROR(INDEX('Docketed Comments'!L:L,MATCH(A297,'Docketed Comments'!H:H,0)),"")</f>
        <v>Yes</v>
      </c>
      <c r="P297" s="119">
        <f t="shared" si="8"/>
        <v>0</v>
      </c>
      <c r="Q297" s="60"/>
      <c r="R297" s="64" t="s">
        <v>75</v>
      </c>
      <c r="S297" s="64" t="s">
        <v>699</v>
      </c>
    </row>
    <row r="298" spans="1:19" ht="21.95" customHeight="1">
      <c r="A298" s="66" t="s">
        <v>700</v>
      </c>
      <c r="B298" s="64"/>
      <c r="C298" s="65"/>
      <c r="D298" s="64"/>
      <c r="E298" s="64"/>
      <c r="F298" s="60"/>
      <c r="G298" s="60" t="s">
        <v>74</v>
      </c>
      <c r="H298" s="60" t="str">
        <f>IFERROR(INDEX('Docketed Comments'!C:C,MATCH(A298,'Docketed Comments'!H:H,0))&amp;", "&amp;INDEX('Docketed Comments'!B:B,MATCH(A298,'Docketed Comments'!H:H,0)),"")</f>
        <v>Trudy, Hopper</v>
      </c>
      <c r="I298" s="60" t="str">
        <f>IFERROR(INDEX('Docketed Comments'!D:D,MATCH(A298,'Docketed Comments'!H:H,0)),"")</f>
        <v>Phoenix</v>
      </c>
      <c r="J298" s="60" t="str">
        <f>IFERROR(INDEX('Docketed Comments'!I:I,MATCH(A298,'Docketed Comments'!H:H,0)),"")</f>
        <v>R-2</v>
      </c>
      <c r="K298" s="60" t="str">
        <f t="shared" si="9"/>
        <v>⚠ Frozen Plan</v>
      </c>
      <c r="L298" s="60" t="str">
        <f>IFERROR(INDEX('Docketed Comments'!F:F,MATCH(A298,'Docketed Comments'!H:H,0)),"")</f>
        <v xml:space="preserve"> I'm on a payment plan now. Paying back the money owed during summer. (Which I can't afford) I still have 2-3 more payments</v>
      </c>
      <c r="M298" s="120" t="str">
        <f>IFERROR(INDEX('Docketed Comments'!G:G,MATCH(A298,'Docketed Comments'!H:H,0)),"")</f>
        <v>https://docket.images.azcc.gov/E000048921.pdf</v>
      </c>
      <c r="N298" s="118">
        <f>IFERROR(INDEX('Docketed Comments'!N:N,MATCH(A298,'Docketed Comments'!H:H,0)),"")</f>
        <v>125.36</v>
      </c>
      <c r="O298" s="118" t="str">
        <f>IFERROR(INDEX('Docketed Comments'!L:L,MATCH(A298,'Docketed Comments'!H:H,0)),"")</f>
        <v>Frozen Plan</v>
      </c>
      <c r="P298" s="119">
        <f t="shared" si="8"/>
        <v>0</v>
      </c>
      <c r="Q298" s="60"/>
      <c r="R298" s="64" t="s">
        <v>75</v>
      </c>
      <c r="S298" s="64" t="s">
        <v>701</v>
      </c>
    </row>
    <row r="299" spans="1:19" ht="21.95" customHeight="1">
      <c r="A299" s="66" t="s">
        <v>702</v>
      </c>
      <c r="B299" s="64"/>
      <c r="C299" s="65"/>
      <c r="D299" s="64"/>
      <c r="E299" s="64"/>
      <c r="F299" s="60"/>
      <c r="G299" s="60" t="s">
        <v>88</v>
      </c>
      <c r="H299" s="60" t="str">
        <f>IFERROR(INDEX('Docketed Comments'!C:C,MATCH(A299,'Docketed Comments'!H:H,0))&amp;", "&amp;INDEX('Docketed Comments'!B:B,MATCH(A299,'Docketed Comments'!H:H,0)),"")</f>
        <v>Theadora, Romero</v>
      </c>
      <c r="I299" s="60" t="str">
        <f>IFERROR(INDEX('Docketed Comments'!D:D,MATCH(A299,'Docketed Comments'!H:H,0)),"")</f>
        <v>Phoenix</v>
      </c>
      <c r="J299" s="60" t="str">
        <f>IFERROR(INDEX('Docketed Comments'!I:I,MATCH(A299,'Docketed Comments'!H:H,0)),"")</f>
        <v>R-XS</v>
      </c>
      <c r="K299" s="60" t="str">
        <f t="shared" si="9"/>
        <v>✅ On Best Plan</v>
      </c>
      <c r="L299" s="60" t="str">
        <f>IFERROR(INDEX('Docketed Comments'!F:F,MATCH(A299,'Docketed Comments'!H:H,0)),"")</f>
        <v>They are charging at least half of the APS charges in taxes on top of the usage charges. That's wrong.</v>
      </c>
      <c r="M299" s="120" t="str">
        <f>IFERROR(INDEX('Docketed Comments'!G:G,MATCH(A299,'Docketed Comments'!H:H,0)),"")</f>
        <v>https://docket.images.azcc.gov/E000048921.pdf</v>
      </c>
      <c r="N299" s="118">
        <f>IFERROR(INDEX('Docketed Comments'!N:N,MATCH(A299,'Docketed Comments'!H:H,0)),"")</f>
        <v>0</v>
      </c>
      <c r="O299" s="118" t="str">
        <f>IFERROR(INDEX('Docketed Comments'!L:L,MATCH(A299,'Docketed Comments'!H:H,0)),"")</f>
        <v>Yes</v>
      </c>
      <c r="P299" s="119">
        <f t="shared" si="8"/>
        <v>0</v>
      </c>
      <c r="Q299" s="60"/>
      <c r="R299" s="64" t="s">
        <v>75</v>
      </c>
      <c r="S299" s="64" t="s">
        <v>703</v>
      </c>
    </row>
    <row r="300" spans="1:19" ht="21.95" customHeight="1">
      <c r="A300" s="66" t="s">
        <v>704</v>
      </c>
      <c r="B300" s="64"/>
      <c r="C300" s="65"/>
      <c r="D300" s="64"/>
      <c r="E300" s="64"/>
      <c r="F300" s="60"/>
      <c r="G300" s="60" t="s">
        <v>74</v>
      </c>
      <c r="H300" s="60" t="str">
        <f>IFERROR(INDEX('Docketed Comments'!C:C,MATCH(A300,'Docketed Comments'!H:H,0))&amp;", "&amp;INDEX('Docketed Comments'!B:B,MATCH(A300,'Docketed Comments'!H:H,0)),"")</f>
        <v>Joseph, McAnney</v>
      </c>
      <c r="I300" s="60" t="str">
        <f>IFERROR(INDEX('Docketed Comments'!D:D,MATCH(A300,'Docketed Comments'!H:H,0)),"")</f>
        <v>Congress</v>
      </c>
      <c r="J300" s="60" t="str">
        <f>IFERROR(INDEX('Docketed Comments'!I:I,MATCH(A300,'Docketed Comments'!H:H,0)),"")</f>
        <v>RCPw/RTOUE47</v>
      </c>
      <c r="K300" s="60" t="str">
        <f t="shared" si="9"/>
        <v>✅ On Best Plan</v>
      </c>
      <c r="L300" s="60" t="str">
        <f>IFERROR(INDEX('Docketed Comments'!F:F,MATCH(A300,'Docketed Comments'!H:H,0)),"")</f>
        <v>APS already charges exorbitant fees for poor quality services. We as consumers cannot afford higher prices</v>
      </c>
      <c r="M300" s="120" t="str">
        <f>IFERROR(INDEX('Docketed Comments'!G:G,MATCH(A300,'Docketed Comments'!H:H,0)),"")</f>
        <v>https://docket.images.azcc.gov/E000048921.pdf</v>
      </c>
      <c r="N300" s="118">
        <f>IFERROR(INDEX('Docketed Comments'!N:N,MATCH(A300,'Docketed Comments'!H:H,0)),"")</f>
        <v>472.66</v>
      </c>
      <c r="O300" s="118" t="str">
        <f>IFERROR(INDEX('Docketed Comments'!L:L,MATCH(A300,'Docketed Comments'!H:H,0)),"")</f>
        <v>Yes</v>
      </c>
      <c r="P300" s="119">
        <f t="shared" si="8"/>
        <v>0</v>
      </c>
      <c r="Q300" s="60"/>
      <c r="R300" s="64" t="s">
        <v>75</v>
      </c>
      <c r="S300" s="64" t="s">
        <v>705</v>
      </c>
    </row>
    <row r="301" spans="1:19" ht="21.95" customHeight="1">
      <c r="A301" s="66" t="s">
        <v>706</v>
      </c>
      <c r="B301" s="64"/>
      <c r="C301" s="65"/>
      <c r="D301" s="64"/>
      <c r="E301" s="64"/>
      <c r="F301" s="60"/>
      <c r="G301" s="60" t="s">
        <v>74</v>
      </c>
      <c r="H301" s="60" t="str">
        <f>IFERROR(INDEX('Docketed Comments'!C:C,MATCH(A301,'Docketed Comments'!H:H,0))&amp;", "&amp;INDEX('Docketed Comments'!B:B,MATCH(A301,'Docketed Comments'!H:H,0)),"")</f>
        <v>Rebecca, Corlew</v>
      </c>
      <c r="I301" s="60" t="str">
        <f>IFERROR(INDEX('Docketed Comments'!D:D,MATCH(A301,'Docketed Comments'!H:H,0)),"")</f>
        <v>Phoenix</v>
      </c>
      <c r="J301" s="60" t="str">
        <f>IFERROR(INDEX('Docketed Comments'!I:I,MATCH(A301,'Docketed Comments'!H:H,0)),"")</f>
        <v>R3-47</v>
      </c>
      <c r="K301" s="60" t="str">
        <f t="shared" si="9"/>
        <v>✅ On Best Plan</v>
      </c>
      <c r="L301" s="60" t="str">
        <f>IFERROR(INDEX('Docketed Comments'!F:F,MATCH(A301,'Docketed Comments'!H:H,0)),"")</f>
        <v>We can no longer afford it I will need to sell and move if this continues Can you please give seniors a discount??</v>
      </c>
      <c r="M301" s="120" t="str">
        <f>IFERROR(INDEX('Docketed Comments'!G:G,MATCH(A301,'Docketed Comments'!H:H,0)),"")</f>
        <v>https://docket.images.azcc.gov/E000048921.pdf</v>
      </c>
      <c r="N301" s="118">
        <f>IFERROR(INDEX('Docketed Comments'!N:N,MATCH(A301,'Docketed Comments'!H:H,0)),"")</f>
        <v>178.5</v>
      </c>
      <c r="O301" s="118" t="str">
        <f>IFERROR(INDEX('Docketed Comments'!L:L,MATCH(A301,'Docketed Comments'!H:H,0)),"")</f>
        <v>Yes</v>
      </c>
      <c r="P301" s="119">
        <f t="shared" si="8"/>
        <v>0</v>
      </c>
      <c r="Q301" s="60"/>
      <c r="R301" s="64" t="s">
        <v>75</v>
      </c>
      <c r="S301" s="64" t="s">
        <v>707</v>
      </c>
    </row>
    <row r="302" spans="1:19" ht="21.95" customHeight="1">
      <c r="A302" s="66" t="s">
        <v>708</v>
      </c>
      <c r="B302" s="64"/>
      <c r="C302" s="65"/>
      <c r="D302" s="64"/>
      <c r="E302" s="64"/>
      <c r="F302" s="60"/>
      <c r="G302" s="60" t="s">
        <v>74</v>
      </c>
      <c r="H302" s="60" t="str">
        <f>IFERROR(INDEX('Docketed Comments'!C:C,MATCH(A302,'Docketed Comments'!H:H,0))&amp;", "&amp;INDEX('Docketed Comments'!B:B,MATCH(A302,'Docketed Comments'!H:H,0)),"")</f>
        <v>Jay, Kleiner</v>
      </c>
      <c r="I302" s="60" t="str">
        <f>IFERROR(INDEX('Docketed Comments'!D:D,MATCH(A302,'Docketed Comments'!H:H,0)),"")</f>
        <v>Surprise</v>
      </c>
      <c r="J302" s="60" t="str">
        <f>IFERROR(INDEX('Docketed Comments'!I:I,MATCH(A302,'Docketed Comments'!H:H,0)),"")</f>
        <v>R3-47</v>
      </c>
      <c r="K302" s="60" t="str">
        <f t="shared" si="9"/>
        <v>✅ On Best Plan</v>
      </c>
      <c r="L302" s="60" t="str">
        <f>IFERROR(INDEX('Docketed Comments'!F:F,MATCH(A302,'Docketed Comments'!H:H,0)),"")</f>
        <v>I am sick and tired of APS ripping me off every time you turn around the rates are going up because they can't manage their business</v>
      </c>
      <c r="M302" s="120" t="str">
        <f>IFERROR(INDEX('Docketed Comments'!G:G,MATCH(A302,'Docketed Comments'!H:H,0)),"")</f>
        <v>https://docket.images.azcc.gov/E000048921.pdf</v>
      </c>
      <c r="N302" s="118">
        <f>IFERROR(INDEX('Docketed Comments'!N:N,MATCH(A302,'Docketed Comments'!H:H,0)),"")</f>
        <v>563.04</v>
      </c>
      <c r="O302" s="118" t="str">
        <f>IFERROR(INDEX('Docketed Comments'!L:L,MATCH(A302,'Docketed Comments'!H:H,0)),"")</f>
        <v>Yes</v>
      </c>
      <c r="P302" s="119">
        <f t="shared" si="8"/>
        <v>0</v>
      </c>
      <c r="Q302" s="60"/>
      <c r="R302" s="64" t="s">
        <v>75</v>
      </c>
      <c r="S302" s="64" t="s">
        <v>709</v>
      </c>
    </row>
    <row r="303" spans="1:19" ht="21.95" customHeight="1">
      <c r="A303" s="66" t="s">
        <v>710</v>
      </c>
      <c r="B303" s="64"/>
      <c r="C303" s="65"/>
      <c r="D303" s="64"/>
      <c r="E303" s="64"/>
      <c r="F303" s="60"/>
      <c r="G303" s="60" t="s">
        <v>74</v>
      </c>
      <c r="H303" s="60" t="str">
        <f>IFERROR(INDEX('Docketed Comments'!C:C,MATCH(A303,'Docketed Comments'!H:H,0))&amp;", "&amp;INDEX('Docketed Comments'!B:B,MATCH(A303,'Docketed Comments'!H:H,0)),"")</f>
        <v>James, Cassidy</v>
      </c>
      <c r="I303" s="60" t="str">
        <f>IFERROR(INDEX('Docketed Comments'!D:D,MATCH(A303,'Docketed Comments'!H:H,0)),"")</f>
        <v>Phoenix</v>
      </c>
      <c r="J303" s="60" t="str">
        <f>IFERROR(INDEX('Docketed Comments'!I:I,MATCH(A303,'Docketed Comments'!H:H,0)),"")</f>
        <v>RTOUE47</v>
      </c>
      <c r="K303" s="60" t="str">
        <f t="shared" si="9"/>
        <v>✅ On Best Plan</v>
      </c>
      <c r="L303" s="60" t="str">
        <f>IFERROR(INDEX('Docketed Comments'!F:F,MATCH(A303,'Docketed Comments'!H:H,0)),"")</f>
        <v>In my opinion APS rates are already crippling high for a lot of people</v>
      </c>
      <c r="M303" s="120" t="str">
        <f>IFERROR(INDEX('Docketed Comments'!G:G,MATCH(A303,'Docketed Comments'!H:H,0)),"")</f>
        <v>https://docket.images.azcc.gov/E000048921.pdf</v>
      </c>
      <c r="N303" s="118">
        <f>IFERROR(INDEX('Docketed Comments'!N:N,MATCH(A303,'Docketed Comments'!H:H,0)),"")</f>
        <v>4114.0200000000004</v>
      </c>
      <c r="O303" s="118" t="str">
        <f>IFERROR(INDEX('Docketed Comments'!L:L,MATCH(A303,'Docketed Comments'!H:H,0)),"")</f>
        <v>Yes</v>
      </c>
      <c r="P303" s="119">
        <f t="shared" si="8"/>
        <v>0</v>
      </c>
      <c r="Q303" s="60"/>
      <c r="R303" s="64" t="s">
        <v>75</v>
      </c>
      <c r="S303" s="64" t="s">
        <v>711</v>
      </c>
    </row>
    <row r="304" spans="1:19" ht="21.95" customHeight="1">
      <c r="A304" s="66" t="s">
        <v>712</v>
      </c>
      <c r="B304" s="64"/>
      <c r="C304" s="65"/>
      <c r="D304" s="64"/>
      <c r="E304" s="64"/>
      <c r="F304" s="60"/>
      <c r="G304" s="60" t="s">
        <v>74</v>
      </c>
      <c r="H304" s="60" t="str">
        <f>IFERROR(INDEX('Docketed Comments'!C:C,MATCH(A304,'Docketed Comments'!H:H,0))&amp;", "&amp;INDEX('Docketed Comments'!B:B,MATCH(A304,'Docketed Comments'!H:H,0)),"")</f>
        <v>Thomas, Hatfield</v>
      </c>
      <c r="I304" s="60" t="str">
        <f>IFERROR(INDEX('Docketed Comments'!D:D,MATCH(A304,'Docketed Comments'!H:H,0)),"")</f>
        <v>Payson</v>
      </c>
      <c r="J304" s="60" t="str">
        <f>IFERROR(INDEX('Docketed Comments'!I:I,MATCH(A304,'Docketed Comments'!H:H,0)),"")</f>
        <v>R3-47</v>
      </c>
      <c r="K304" s="60" t="str">
        <f t="shared" si="9"/>
        <v>✅ On Best Plan</v>
      </c>
      <c r="L304" s="60" t="str">
        <f>IFERROR(INDEX('Docketed Comments'!F:F,MATCH(A304,'Docketed Comments'!H:H,0)),"")</f>
        <v>lm a handicapped senior with medical problems and I live on sandi so I have no money for a increase</v>
      </c>
      <c r="M304" s="120" t="str">
        <f>IFERROR(INDEX('Docketed Comments'!G:G,MATCH(A304,'Docketed Comments'!H:H,0)),"")</f>
        <v>https://docket.images.azcc.gov/E000048921.pdf</v>
      </c>
      <c r="N304" s="118">
        <f>IFERROR(INDEX('Docketed Comments'!N:N,MATCH(A304,'Docketed Comments'!H:H,0)),"")</f>
        <v>502.83</v>
      </c>
      <c r="O304" s="118" t="str">
        <f>IFERROR(INDEX('Docketed Comments'!L:L,MATCH(A304,'Docketed Comments'!H:H,0)),"")</f>
        <v>Yes</v>
      </c>
      <c r="P304" s="119">
        <f t="shared" si="8"/>
        <v>0</v>
      </c>
      <c r="Q304" s="60"/>
      <c r="R304" s="64" t="s">
        <v>75</v>
      </c>
      <c r="S304" s="64" t="s">
        <v>713</v>
      </c>
    </row>
    <row r="305" spans="1:19" ht="21.95" customHeight="1">
      <c r="A305" s="66" t="s">
        <v>714</v>
      </c>
      <c r="B305" s="64"/>
      <c r="C305" s="65"/>
      <c r="D305" s="64"/>
      <c r="E305" s="64"/>
      <c r="F305" s="60"/>
      <c r="G305" s="60" t="s">
        <v>74</v>
      </c>
      <c r="H305" s="60" t="str">
        <f>IFERROR(INDEX('Docketed Comments'!C:C,MATCH(A305,'Docketed Comments'!H:H,0))&amp;", "&amp;INDEX('Docketed Comments'!B:B,MATCH(A305,'Docketed Comments'!H:H,0)),"")</f>
        <v>Kimberly, Zazzi</v>
      </c>
      <c r="I305" s="60" t="str">
        <f>IFERROR(INDEX('Docketed Comments'!D:D,MATCH(A305,'Docketed Comments'!H:H,0)),"")</f>
        <v>Surprise</v>
      </c>
      <c r="J305" s="60" t="str">
        <f>IFERROR(INDEX('Docketed Comments'!I:I,MATCH(A305,'Docketed Comments'!H:H,0)),"")</f>
        <v>R3-47</v>
      </c>
      <c r="K305" s="60" t="str">
        <f t="shared" si="9"/>
        <v>✅ On Best Plan</v>
      </c>
      <c r="L305" s="60" t="str">
        <f>IFERROR(INDEX('Docketed Comments'!F:F,MATCH(A305,'Docketed Comments'!H:H,0)),"")</f>
        <v>My APS bill is so high . I struggle every month just to get it paid.</v>
      </c>
      <c r="M305" s="120" t="str">
        <f>IFERROR(INDEX('Docketed Comments'!G:G,MATCH(A305,'Docketed Comments'!H:H,0)),"")</f>
        <v>https://docket.images.azcc.gov/E000048921.pdf</v>
      </c>
      <c r="N305" s="118">
        <f>IFERROR(INDEX('Docketed Comments'!N:N,MATCH(A305,'Docketed Comments'!H:H,0)),"")</f>
        <v>2005.59</v>
      </c>
      <c r="O305" s="118" t="str">
        <f>IFERROR(INDEX('Docketed Comments'!L:L,MATCH(A305,'Docketed Comments'!H:H,0)),"")</f>
        <v>Yes</v>
      </c>
      <c r="P305" s="119">
        <f t="shared" si="8"/>
        <v>0</v>
      </c>
      <c r="Q305" s="60"/>
      <c r="R305" s="64" t="s">
        <v>75</v>
      </c>
      <c r="S305" s="64" t="s">
        <v>715</v>
      </c>
    </row>
    <row r="306" spans="1:19" ht="21.95" customHeight="1">
      <c r="A306" s="66" t="s">
        <v>716</v>
      </c>
      <c r="B306" s="64"/>
      <c r="C306" s="65"/>
      <c r="D306" s="64"/>
      <c r="E306" s="64"/>
      <c r="F306" s="60"/>
      <c r="G306" s="60" t="s">
        <v>74</v>
      </c>
      <c r="H306" s="60" t="str">
        <f>IFERROR(INDEX('Docketed Comments'!C:C,MATCH(A306,'Docketed Comments'!H:H,0))&amp;", "&amp;INDEX('Docketed Comments'!B:B,MATCH(A306,'Docketed Comments'!H:H,0)),"")</f>
        <v>Heather, Stewart</v>
      </c>
      <c r="I306" s="60" t="str">
        <f>IFERROR(INDEX('Docketed Comments'!D:D,MATCH(A306,'Docketed Comments'!H:H,0)),"")</f>
        <v>Phoenix</v>
      </c>
      <c r="J306" s="60" t="str">
        <f>IFERROR(INDEX('Docketed Comments'!I:I,MATCH(A306,'Docketed Comments'!H:H,0)),"")</f>
        <v>R3-47</v>
      </c>
      <c r="K306" s="60" t="str">
        <f t="shared" si="9"/>
        <v>✅ On Best Plan</v>
      </c>
      <c r="L306" s="60" t="str">
        <f>IFERROR(INDEX('Docketed Comments'!F:F,MATCH(A306,'Docketed Comments'!H:H,0)),"")</f>
        <v>They dent need a rate increase. They make millions in profits. Consumers deserve a rate cut!</v>
      </c>
      <c r="M306" s="120" t="str">
        <f>IFERROR(INDEX('Docketed Comments'!G:G,MATCH(A306,'Docketed Comments'!H:H,0)),"")</f>
        <v>https://docket.images.azcc.gov/E000048921.pdf</v>
      </c>
      <c r="N306" s="118">
        <f>IFERROR(INDEX('Docketed Comments'!N:N,MATCH(A306,'Docketed Comments'!H:H,0)),"")</f>
        <v>393.41</v>
      </c>
      <c r="O306" s="118" t="str">
        <f>IFERROR(INDEX('Docketed Comments'!L:L,MATCH(A306,'Docketed Comments'!H:H,0)),"")</f>
        <v>Yes</v>
      </c>
      <c r="P306" s="119">
        <f t="shared" si="8"/>
        <v>0</v>
      </c>
      <c r="Q306" s="60"/>
      <c r="R306" s="64" t="s">
        <v>75</v>
      </c>
      <c r="S306" s="64" t="s">
        <v>717</v>
      </c>
    </row>
    <row r="307" spans="1:19" ht="21.95" customHeight="1">
      <c r="A307" s="66" t="s">
        <v>718</v>
      </c>
      <c r="B307" s="64"/>
      <c r="C307" s="65"/>
      <c r="D307" s="64"/>
      <c r="E307" s="64"/>
      <c r="F307" s="60"/>
      <c r="G307" s="60" t="s">
        <v>74</v>
      </c>
      <c r="H307" s="60" t="str">
        <f>IFERROR(INDEX('Docketed Comments'!C:C,MATCH(A307,'Docketed Comments'!H:H,0))&amp;", "&amp;INDEX('Docketed Comments'!B:B,MATCH(A307,'Docketed Comments'!H:H,0)),"")</f>
        <v>Charlene (Mark), Denning</v>
      </c>
      <c r="I307" s="60" t="str">
        <f>IFERROR(INDEX('Docketed Comments'!D:D,MATCH(A307,'Docketed Comments'!H:H,0)),"")</f>
        <v>Chino Valley</v>
      </c>
      <c r="J307" s="60" t="str">
        <f>IFERROR(INDEX('Docketed Comments'!I:I,MATCH(A307,'Docketed Comments'!H:H,0)),"")</f>
        <v>R3-47</v>
      </c>
      <c r="K307" s="60" t="str">
        <f t="shared" si="9"/>
        <v>✅ On Best Plan</v>
      </c>
      <c r="L307" s="60" t="str">
        <f>IFERROR(INDEX('Docketed Comments'!F:F,MATCH(A307,'Docketed Comments'!H:H,0)),"")</f>
        <v>HAVE NO MONEY TO LIVE ON. An a.p.s. keep sucking and sucking more money out of us elderly and disable.</v>
      </c>
      <c r="M307" s="120" t="str">
        <f>IFERROR(INDEX('Docketed Comments'!G:G,MATCH(A307,'Docketed Comments'!H:H,0)),"")</f>
        <v>https://docket.images.azcc.gov/E000048921.pdf</v>
      </c>
      <c r="N307" s="118">
        <f>IFERROR(INDEX('Docketed Comments'!N:N,MATCH(A307,'Docketed Comments'!H:H,0)),"")</f>
        <v>1048.1600000000001</v>
      </c>
      <c r="O307" s="118" t="str">
        <f>IFERROR(INDEX('Docketed Comments'!L:L,MATCH(A307,'Docketed Comments'!H:H,0)),"")</f>
        <v>Yes</v>
      </c>
      <c r="P307" s="119">
        <f t="shared" si="8"/>
        <v>0</v>
      </c>
      <c r="Q307" s="60"/>
      <c r="R307" s="64" t="s">
        <v>75</v>
      </c>
      <c r="S307" s="64" t="s">
        <v>719</v>
      </c>
    </row>
    <row r="308" spans="1:19" ht="21.95" customHeight="1">
      <c r="A308" s="66" t="s">
        <v>720</v>
      </c>
      <c r="B308" s="64"/>
      <c r="C308" s="65"/>
      <c r="D308" s="64"/>
      <c r="E308" s="64"/>
      <c r="F308" s="60"/>
      <c r="G308" s="60" t="s">
        <v>74</v>
      </c>
      <c r="H308" s="60" t="str">
        <f>IFERROR(INDEX('Docketed Comments'!C:C,MATCH(A308,'Docketed Comments'!H:H,0))&amp;", "&amp;INDEX('Docketed Comments'!B:B,MATCH(A308,'Docketed Comments'!H:H,0)),"")</f>
        <v>Antoinette, Larson</v>
      </c>
      <c r="I308" s="60" t="str">
        <f>IFERROR(INDEX('Docketed Comments'!D:D,MATCH(A308,'Docketed Comments'!H:H,0)),"")</f>
        <v>Phoenix</v>
      </c>
      <c r="J308" s="60" t="str">
        <f>IFERROR(INDEX('Docketed Comments'!I:I,MATCH(A308,'Docketed Comments'!H:H,0)),"")</f>
        <v>R3-47</v>
      </c>
      <c r="K308" s="60" t="str">
        <f t="shared" si="9"/>
        <v>✅ On Best Plan</v>
      </c>
      <c r="L308" s="60" t="str">
        <f>IFERROR(INDEX('Docketed Comments'!F:F,MATCH(A308,'Docketed Comments'!H:H,0)),"")</f>
        <v>As someone who works n education, I am often home during the summer months and the ever rising costs for utilities sting quite a</v>
      </c>
      <c r="M308" s="120" t="str">
        <f>IFERROR(INDEX('Docketed Comments'!G:G,MATCH(A308,'Docketed Comments'!H:H,0)),"")</f>
        <v>https://docket.images.azcc.gov/E000049176.pdf</v>
      </c>
      <c r="N308" s="118">
        <f>IFERROR(INDEX('Docketed Comments'!N:N,MATCH(A308,'Docketed Comments'!H:H,0)),"")</f>
        <v>450.33</v>
      </c>
      <c r="O308" s="118" t="str">
        <f>IFERROR(INDEX('Docketed Comments'!L:L,MATCH(A308,'Docketed Comments'!H:H,0)),"")</f>
        <v>Yes</v>
      </c>
      <c r="P308" s="119">
        <f t="shared" si="8"/>
        <v>0</v>
      </c>
      <c r="Q308" s="60"/>
      <c r="R308" s="64" t="s">
        <v>75</v>
      </c>
      <c r="S308" s="64" t="s">
        <v>721</v>
      </c>
    </row>
    <row r="309" spans="1:19" ht="21.95" customHeight="1">
      <c r="A309" s="66" t="s">
        <v>722</v>
      </c>
      <c r="B309" s="64"/>
      <c r="C309" s="65"/>
      <c r="D309" s="64"/>
      <c r="E309" s="64"/>
      <c r="F309" s="60"/>
      <c r="G309" s="60" t="s">
        <v>74</v>
      </c>
      <c r="H309" s="60" t="str">
        <f>IFERROR(INDEX('Docketed Comments'!C:C,MATCH(A309,'Docketed Comments'!H:H,0))&amp;", "&amp;INDEX('Docketed Comments'!B:B,MATCH(A309,'Docketed Comments'!H:H,0)),"")</f>
        <v>Andrea, Holmes</v>
      </c>
      <c r="I309" s="60" t="str">
        <f>IFERROR(INDEX('Docketed Comments'!D:D,MATCH(A309,'Docketed Comments'!H:H,0)),"")</f>
        <v>Goodyear</v>
      </c>
      <c r="J309" s="60" t="str">
        <f>IFERROR(INDEX('Docketed Comments'!I:I,MATCH(A309,'Docketed Comments'!H:H,0)),"")</f>
        <v>EPR6w/ET-2</v>
      </c>
      <c r="K309" s="60" t="str">
        <f t="shared" si="9"/>
        <v>⚠ Frozen Plan</v>
      </c>
      <c r="L309" s="60" t="str">
        <f>IFERROR(INDEX('Docketed Comments'!F:F,MATCH(A309,'Docketed Comments'!H:H,0)),"")</f>
        <v>we need to stop this because we cannot afford these rate hikes. We are on fixed incomes.</v>
      </c>
      <c r="M309" s="120" t="str">
        <f>IFERROR(INDEX('Docketed Comments'!G:G,MATCH(A309,'Docketed Comments'!H:H,0)),"")</f>
        <v>https://docket.images.azcc.gov/E000049493.pdf</v>
      </c>
      <c r="N309" s="118">
        <f>IFERROR(INDEX('Docketed Comments'!N:N,MATCH(A309,'Docketed Comments'!H:H,0)),"")</f>
        <v>5.37</v>
      </c>
      <c r="O309" s="118" t="str">
        <f>IFERROR(INDEX('Docketed Comments'!L:L,MATCH(A309,'Docketed Comments'!H:H,0)),"")</f>
        <v>Frozen Plan</v>
      </c>
      <c r="P309" s="119">
        <f t="shared" si="8"/>
        <v>0</v>
      </c>
      <c r="Q309" s="60"/>
      <c r="R309" s="64" t="s">
        <v>75</v>
      </c>
      <c r="S309" s="64" t="s">
        <v>723</v>
      </c>
    </row>
    <row r="310" spans="1:19" ht="21.95" hidden="1" customHeight="1">
      <c r="A310" s="66" t="s">
        <v>724</v>
      </c>
      <c r="B310" s="64" t="s">
        <v>20</v>
      </c>
      <c r="C310" s="65">
        <v>46060</v>
      </c>
      <c r="D310" s="64" t="s">
        <v>21</v>
      </c>
      <c r="E310" s="64" t="s">
        <v>22</v>
      </c>
      <c r="F310" s="60"/>
      <c r="G310" s="60"/>
      <c r="H310" s="60" t="str">
        <f>IFERROR(INDEX('Docketed Comments'!C:C,MATCH(A310,'Docketed Comments'!H:H,0))&amp;", "&amp;INDEX('Docketed Comments'!B:B,MATCH(A310,'Docketed Comments'!H:H,0)),"")</f>
        <v>Tina, Nuccio</v>
      </c>
      <c r="I310" s="60" t="str">
        <f>IFERROR(INDEX('Docketed Comments'!D:D,MATCH(A310,'Docketed Comments'!H:H,0)),"")</f>
        <v>Cave Creek</v>
      </c>
      <c r="J310" s="60" t="str">
        <f>IFERROR(INDEX('Docketed Comments'!I:I,MATCH(A310,'Docketed Comments'!H:H,0)),"")</f>
        <v>R3-47</v>
      </c>
      <c r="K310" s="60" t="str">
        <f t="shared" si="9"/>
        <v>✅ On Best Plan</v>
      </c>
      <c r="L310" s="60" t="str">
        <f>IFERROR(INDEX('Docketed Comments'!F:F,MATCH(A310,'Docketed Comments'!H:H,0)),"")</f>
        <v>Opposed</v>
      </c>
      <c r="M310" s="120" t="str">
        <f>IFERROR(INDEX('Docketed Comments'!G:G,MATCH(A310,'Docketed Comments'!H:H,0)),"")</f>
        <v>https://images.edocket.azcc.gov/docketpdf/E000044298.pdf</v>
      </c>
      <c r="N310" s="118" t="str">
        <f>IFERROR(INDEX('Docketed Comments'!N:N,MATCH(A310,'Docketed Comments'!H:H,0)),"")</f>
        <v>No</v>
      </c>
      <c r="O310" s="118" t="str">
        <f>IFERROR(INDEX('Docketed Comments'!L:L,MATCH(A310,'Docketed Comments'!H:H,0)),"")</f>
        <v>Yes</v>
      </c>
      <c r="P310" s="119">
        <f t="shared" si="8"/>
        <v>0</v>
      </c>
      <c r="Q310" s="60" t="s">
        <v>23</v>
      </c>
      <c r="R310" s="64" t="s">
        <v>24</v>
      </c>
      <c r="S310" s="64" t="s">
        <v>725</v>
      </c>
    </row>
    <row r="311" spans="1:19" ht="21.95" customHeight="1">
      <c r="A311" s="66" t="s">
        <v>726</v>
      </c>
      <c r="B311" s="64"/>
      <c r="C311" s="65"/>
      <c r="D311" s="64"/>
      <c r="E311" s="64"/>
      <c r="F311" s="60"/>
      <c r="G311" s="60" t="s">
        <v>88</v>
      </c>
      <c r="H311" s="60" t="str">
        <f>IFERROR(INDEX('Docketed Comments'!C:C,MATCH(A311,'Docketed Comments'!H:H,0))&amp;", "&amp;INDEX('Docketed Comments'!B:B,MATCH(A311,'Docketed Comments'!H:H,0)),"")</f>
        <v>Dean, Henkel</v>
      </c>
      <c r="I311" s="60" t="str">
        <f>IFERROR(INDEX('Docketed Comments'!D:D,MATCH(A311,'Docketed Comments'!H:H,0)),"")</f>
        <v>Unknown</v>
      </c>
      <c r="J311" s="60" t="str">
        <f>IFERROR(INDEX('Docketed Comments'!I:I,MATCH(A311,'Docketed Comments'!H:H,0)),"")</f>
        <v>R-XS</v>
      </c>
      <c r="K311" s="60" t="str">
        <f t="shared" si="9"/>
        <v>✅ On Best Plan</v>
      </c>
      <c r="L311" s="60" t="str">
        <f>IFERROR(INDEX('Docketed Comments'!F:F,MATCH(A311,'Docketed Comments'!H:H,0)),"")</f>
        <v>Opposed</v>
      </c>
      <c r="M311" s="120" t="str">
        <f>IFERROR(INDEX('Docketed Comments'!G:G,MATCH(A311,'Docketed Comments'!H:H,0)),"")</f>
        <v>https://images.edocket.azcc.gov/docketpdf/E000044312.pdf</v>
      </c>
      <c r="N311" s="118" t="str">
        <f>IFERROR(INDEX('Docketed Comments'!N:N,MATCH(A311,'Docketed Comments'!H:H,0)),"")</f>
        <v>No</v>
      </c>
      <c r="O311" s="118" t="str">
        <f>IFERROR(INDEX('Docketed Comments'!L:L,MATCH(A311,'Docketed Comments'!H:H,0)),"")</f>
        <v>Yes</v>
      </c>
      <c r="P311" s="119">
        <f t="shared" si="8"/>
        <v>0</v>
      </c>
      <c r="Q311" s="60"/>
      <c r="R311" s="64" t="s">
        <v>75</v>
      </c>
      <c r="S311" s="64" t="s">
        <v>727</v>
      </c>
    </row>
    <row r="312" spans="1:19" ht="21.95" customHeight="1">
      <c r="A312" s="66" t="s">
        <v>728</v>
      </c>
      <c r="B312" s="64"/>
      <c r="C312" s="65"/>
      <c r="D312" s="64"/>
      <c r="E312" s="64"/>
      <c r="F312" s="60"/>
      <c r="G312" s="60" t="s">
        <v>88</v>
      </c>
      <c r="H312" s="60" t="str">
        <f>IFERROR(INDEX('Docketed Comments'!C:C,MATCH(A312,'Docketed Comments'!H:H,0))&amp;", "&amp;INDEX('Docketed Comments'!B:B,MATCH(A312,'Docketed Comments'!H:H,0)),"")</f>
        <v>Jessica, Witte</v>
      </c>
      <c r="I312" s="60" t="str">
        <f>IFERROR(INDEX('Docketed Comments'!D:D,MATCH(A312,'Docketed Comments'!H:H,0)),"")</f>
        <v>Scottsdale</v>
      </c>
      <c r="J312" s="60" t="str">
        <f>IFERROR(INDEX('Docketed Comments'!I:I,MATCH(A312,'Docketed Comments'!H:H,0)),"")</f>
        <v>R-BASIC</v>
      </c>
      <c r="K312" s="60" t="str">
        <f t="shared" si="9"/>
        <v>✅ On Best Plan</v>
      </c>
      <c r="L312" s="60" t="str">
        <f>IFERROR(INDEX('Docketed Comments'!F:F,MATCH(A312,'Docketed Comments'!H:H,0)),"")</f>
        <v>Opposed</v>
      </c>
      <c r="M312" s="120" t="str">
        <f>IFERROR(INDEX('Docketed Comments'!G:G,MATCH(A312,'Docketed Comments'!H:H,0)),"")</f>
        <v>https://images.edocket.azcc.gov/docketpdf/E000044842.pdf</v>
      </c>
      <c r="N312" s="118" t="str">
        <f>IFERROR(INDEX('Docketed Comments'!N:N,MATCH(A312,'Docketed Comments'!H:H,0)),"")</f>
        <v>No</v>
      </c>
      <c r="O312" s="118" t="str">
        <f>IFERROR(INDEX('Docketed Comments'!L:L,MATCH(A312,'Docketed Comments'!H:H,0)),"")</f>
        <v>Yes</v>
      </c>
      <c r="P312" s="119">
        <f t="shared" si="8"/>
        <v>0</v>
      </c>
      <c r="Q312" s="60"/>
      <c r="R312" s="64" t="s">
        <v>75</v>
      </c>
      <c r="S312" s="64" t="s">
        <v>729</v>
      </c>
    </row>
    <row r="313" spans="1:19" ht="21.95" customHeight="1">
      <c r="A313" s="66" t="s">
        <v>730</v>
      </c>
      <c r="B313" s="64"/>
      <c r="C313" s="65"/>
      <c r="D313" s="64"/>
      <c r="E313" s="64"/>
      <c r="F313" s="60"/>
      <c r="G313" s="60" t="s">
        <v>88</v>
      </c>
      <c r="H313" s="60" t="str">
        <f>IFERROR(INDEX('Docketed Comments'!C:C,MATCH(A313,'Docketed Comments'!H:H,0))&amp;", "&amp;INDEX('Docketed Comments'!B:B,MATCH(A313,'Docketed Comments'!H:H,0)),"")</f>
        <v>Heather, Wheatley</v>
      </c>
      <c r="I313" s="60" t="str">
        <f>IFERROR(INDEX('Docketed Comments'!D:D,MATCH(A313,'Docketed Comments'!H:H,0)),"")</f>
        <v>Surprise</v>
      </c>
      <c r="J313" s="60" t="str">
        <f>IFERROR(INDEX('Docketed Comments'!I:I,MATCH(A313,'Docketed Comments'!H:H,0)),"")</f>
        <v>R3-47</v>
      </c>
      <c r="K313" s="60" t="str">
        <f t="shared" si="9"/>
        <v>✅ On Best Plan</v>
      </c>
      <c r="L313" s="60" t="str">
        <f>IFERROR(INDEX('Docketed Comments'!F:F,MATCH(A313,'Docketed Comments'!H:H,0)),"")</f>
        <v>Opposed</v>
      </c>
      <c r="M313" s="120" t="str">
        <f>IFERROR(INDEX('Docketed Comments'!G:G,MATCH(A313,'Docketed Comments'!H:H,0)),"")</f>
        <v>https://images.edocket.azcc.gov/docketpdf/E000044842.pdf</v>
      </c>
      <c r="N313" s="118" t="str">
        <f>IFERROR(INDEX('Docketed Comments'!N:N,MATCH(A313,'Docketed Comments'!H:H,0)),"")</f>
        <v>No</v>
      </c>
      <c r="O313" s="118" t="str">
        <f>IFERROR(INDEX('Docketed Comments'!L:L,MATCH(A313,'Docketed Comments'!H:H,0)),"")</f>
        <v>Yes</v>
      </c>
      <c r="P313" s="119">
        <f t="shared" si="8"/>
        <v>0</v>
      </c>
      <c r="Q313" s="60"/>
      <c r="R313" s="64" t="s">
        <v>75</v>
      </c>
      <c r="S313" s="64" t="s">
        <v>731</v>
      </c>
    </row>
    <row r="314" spans="1:19" ht="21.95" hidden="1" customHeight="1">
      <c r="A314" s="66" t="s">
        <v>732</v>
      </c>
      <c r="B314" s="64" t="s">
        <v>20</v>
      </c>
      <c r="C314" s="65">
        <v>46060</v>
      </c>
      <c r="D314" s="64" t="s">
        <v>27</v>
      </c>
      <c r="E314" s="64" t="s">
        <v>22</v>
      </c>
      <c r="F314" s="60" t="s">
        <v>733</v>
      </c>
      <c r="G314" s="60"/>
      <c r="H314" s="60" t="str">
        <f>IFERROR(INDEX('Docketed Comments'!C:C,MATCH(A314,'Docketed Comments'!H:H,0))&amp;", "&amp;INDEX('Docketed Comments'!B:B,MATCH(A314,'Docketed Comments'!H:H,0)),"")</f>
        <v>Mark, Millbranth</v>
      </c>
      <c r="I314" s="60" t="str">
        <f>IFERROR(INDEX('Docketed Comments'!D:D,MATCH(A314,'Docketed Comments'!H:H,0)),"")</f>
        <v>Scottsdale</v>
      </c>
      <c r="J314" s="60" t="str">
        <f>IFERROR(INDEX('Docketed Comments'!I:I,MATCH(A314,'Docketed Comments'!H:H,0)),"")</f>
        <v>R3-47</v>
      </c>
      <c r="K314" s="60" t="str">
        <f t="shared" si="9"/>
        <v>✅ On Best Plan</v>
      </c>
      <c r="L314" s="60" t="str">
        <f>IFERROR(INDEX('Docketed Comments'!F:F,MATCH(A314,'Docketed Comments'!H:H,0)),"")</f>
        <v>Opposed</v>
      </c>
      <c r="M314" s="120" t="str">
        <f>IFERROR(INDEX('Docketed Comments'!G:G,MATCH(A314,'Docketed Comments'!H:H,0)),"")</f>
        <v>https://images.edocket.azcc.gov/docketpdf/E000044842.pdf</v>
      </c>
      <c r="N314" s="118" t="str">
        <f>IFERROR(INDEX('Docketed Comments'!N:N,MATCH(A314,'Docketed Comments'!H:H,0)),"")</f>
        <v>No</v>
      </c>
      <c r="O314" s="118" t="str">
        <f>IFERROR(INDEX('Docketed Comments'!L:L,MATCH(A314,'Docketed Comments'!H:H,0)),"")</f>
        <v>Yes</v>
      </c>
      <c r="P314" s="119">
        <f t="shared" si="8"/>
        <v>0</v>
      </c>
      <c r="Q314" s="60" t="s">
        <v>23</v>
      </c>
      <c r="R314" s="64" t="s">
        <v>24</v>
      </c>
      <c r="S314" s="64" t="s">
        <v>734</v>
      </c>
    </row>
    <row r="315" spans="1:19" ht="21.95" hidden="1" customHeight="1">
      <c r="A315" s="66" t="s">
        <v>735</v>
      </c>
      <c r="B315" s="64" t="s">
        <v>20</v>
      </c>
      <c r="C315" s="65">
        <v>46060</v>
      </c>
      <c r="D315" s="64" t="s">
        <v>21</v>
      </c>
      <c r="E315" s="64" t="s">
        <v>22</v>
      </c>
      <c r="F315" s="60" t="s">
        <v>736</v>
      </c>
      <c r="G315" s="60"/>
      <c r="H315" s="60" t="str">
        <f>IFERROR(INDEX('Docketed Comments'!C:C,MATCH(A315,'Docketed Comments'!H:H,0))&amp;", "&amp;INDEX('Docketed Comments'!B:B,MATCH(A315,'Docketed Comments'!H:H,0)),"")</f>
        <v>Amber, Delgado</v>
      </c>
      <c r="I315" s="60" t="str">
        <f>IFERROR(INDEX('Docketed Comments'!D:D,MATCH(A315,'Docketed Comments'!H:H,0)),"")</f>
        <v>Unknown</v>
      </c>
      <c r="J315" s="60" t="str">
        <f>IFERROR(INDEX('Docketed Comments'!I:I,MATCH(A315,'Docketed Comments'!H:H,0)),"")</f>
        <v>R3-47</v>
      </c>
      <c r="K315" s="60" t="str">
        <f t="shared" si="9"/>
        <v>✅ On Best Plan</v>
      </c>
      <c r="L315" s="60" t="str">
        <f>IFERROR(INDEX('Docketed Comments'!F:F,MATCH(A315,'Docketed Comments'!H:H,0)),"")</f>
        <v>Opposed</v>
      </c>
      <c r="M315" s="120" t="str">
        <f>IFERROR(INDEX('Docketed Comments'!G:G,MATCH(A315,'Docketed Comments'!H:H,0)),"")</f>
        <v>https://images.edocket.azcc.gov/docketpdf/E000044840.pdf</v>
      </c>
      <c r="N315" s="118" t="str">
        <f>IFERROR(INDEX('Docketed Comments'!N:N,MATCH(A315,'Docketed Comments'!H:H,0)),"")</f>
        <v>No</v>
      </c>
      <c r="O315" s="118" t="str">
        <f>IFERROR(INDEX('Docketed Comments'!L:L,MATCH(A315,'Docketed Comments'!H:H,0)),"")</f>
        <v>Yes</v>
      </c>
      <c r="P315" s="119">
        <f t="shared" si="8"/>
        <v>0</v>
      </c>
      <c r="Q315" s="60" t="s">
        <v>23</v>
      </c>
      <c r="R315" s="64" t="s">
        <v>24</v>
      </c>
      <c r="S315" s="64" t="s">
        <v>737</v>
      </c>
    </row>
    <row r="316" spans="1:19" ht="21.95" hidden="1" customHeight="1">
      <c r="A316" s="66" t="s">
        <v>738</v>
      </c>
      <c r="B316" s="64" t="s">
        <v>20</v>
      </c>
      <c r="C316" s="65">
        <v>46060</v>
      </c>
      <c r="D316" s="64" t="s">
        <v>27</v>
      </c>
      <c r="E316" s="64" t="s">
        <v>22</v>
      </c>
      <c r="F316" s="60" t="s">
        <v>739</v>
      </c>
      <c r="G316" s="60"/>
      <c r="H316" s="60" t="str">
        <f>IFERROR(INDEX('Docketed Comments'!C:C,MATCH(A316,'Docketed Comments'!H:H,0))&amp;", "&amp;INDEX('Docketed Comments'!B:B,MATCH(A316,'Docketed Comments'!H:H,0)),"")</f>
        <v>Teri, Merlino</v>
      </c>
      <c r="I316" s="60" t="str">
        <f>IFERROR(INDEX('Docketed Comments'!D:D,MATCH(A316,'Docketed Comments'!H:H,0)),"")</f>
        <v>Unknown</v>
      </c>
      <c r="J316" s="60" t="str">
        <f>IFERROR(INDEX('Docketed Comments'!I:I,MATCH(A316,'Docketed Comments'!H:H,0)),"")</f>
        <v>R3-47</v>
      </c>
      <c r="K316" s="60" t="str">
        <f t="shared" si="9"/>
        <v>✅ On Best Plan</v>
      </c>
      <c r="L316" s="60" t="str">
        <f>IFERROR(INDEX('Docketed Comments'!F:F,MATCH(A316,'Docketed Comments'!H:H,0)),"")</f>
        <v>Opposed</v>
      </c>
      <c r="M316" s="120" t="str">
        <f>IFERROR(INDEX('Docketed Comments'!G:G,MATCH(A316,'Docketed Comments'!H:H,0)),"")</f>
        <v>https://images.edocket.azcc.gov/docketpdf/E000044863.pdf</v>
      </c>
      <c r="N316" s="118" t="str">
        <f>IFERROR(INDEX('Docketed Comments'!N:N,MATCH(A316,'Docketed Comments'!H:H,0)),"")</f>
        <v>No</v>
      </c>
      <c r="O316" s="118" t="str">
        <f>IFERROR(INDEX('Docketed Comments'!L:L,MATCH(A316,'Docketed Comments'!H:H,0)),"")</f>
        <v>Yes</v>
      </c>
      <c r="P316" s="119">
        <f t="shared" si="8"/>
        <v>0</v>
      </c>
      <c r="Q316" s="60" t="s">
        <v>23</v>
      </c>
      <c r="R316" s="64" t="s">
        <v>24</v>
      </c>
      <c r="S316" s="64" t="s">
        <v>740</v>
      </c>
    </row>
    <row r="317" spans="1:19" ht="21.95" customHeight="1">
      <c r="A317" s="66" t="s">
        <v>741</v>
      </c>
      <c r="B317" s="64"/>
      <c r="C317" s="65"/>
      <c r="D317" s="64"/>
      <c r="E317" s="64"/>
      <c r="F317" s="60"/>
      <c r="G317" s="60" t="s">
        <v>88</v>
      </c>
      <c r="H317" s="60" t="str">
        <f>IFERROR(INDEX('Docketed Comments'!C:C,MATCH(A317,'Docketed Comments'!H:H,0))&amp;", "&amp;INDEX('Docketed Comments'!B:B,MATCH(A317,'Docketed Comments'!H:H,0)),"")</f>
        <v>Danielle, van Dalen</v>
      </c>
      <c r="I317" s="60" t="str">
        <f>IFERROR(INDEX('Docketed Comments'!D:D,MATCH(A317,'Docketed Comments'!H:H,0)),"")</f>
        <v>Surprise</v>
      </c>
      <c r="J317" s="60" t="str">
        <f>IFERROR(INDEX('Docketed Comments'!I:I,MATCH(A317,'Docketed Comments'!H:H,0)),"")</f>
        <v>R-BASIC</v>
      </c>
      <c r="K317" s="60" t="str">
        <f t="shared" si="9"/>
        <v>✅ On Best Plan</v>
      </c>
      <c r="L317" s="60" t="str">
        <f>IFERROR(INDEX('Docketed Comments'!F:F,MATCH(A317,'Docketed Comments'!H:H,0)),"")</f>
        <v>Opposed</v>
      </c>
      <c r="M317" s="120" t="str">
        <f>IFERROR(INDEX('Docketed Comments'!G:G,MATCH(A317,'Docketed Comments'!H:H,0)),"")</f>
        <v>https://images.edocket.azcc.gov/docketpdf/E000044866.pdf</v>
      </c>
      <c r="N317" s="118" t="str">
        <f>IFERROR(INDEX('Docketed Comments'!N:N,MATCH(A317,'Docketed Comments'!H:H,0)),"")</f>
        <v>No</v>
      </c>
      <c r="O317" s="118" t="str">
        <f>IFERROR(INDEX('Docketed Comments'!L:L,MATCH(A317,'Docketed Comments'!H:H,0)),"")</f>
        <v>Yes</v>
      </c>
      <c r="P317" s="119">
        <f t="shared" si="8"/>
        <v>0</v>
      </c>
      <c r="Q317" s="60"/>
      <c r="R317" s="64" t="s">
        <v>75</v>
      </c>
      <c r="S317" s="64" t="s">
        <v>742</v>
      </c>
    </row>
    <row r="318" spans="1:19" ht="21.95" hidden="1" customHeight="1">
      <c r="A318" s="66" t="s">
        <v>743</v>
      </c>
      <c r="B318" s="64" t="s">
        <v>20</v>
      </c>
      <c r="C318" s="65">
        <v>46060</v>
      </c>
      <c r="D318" s="64" t="s">
        <v>27</v>
      </c>
      <c r="E318" s="64" t="s">
        <v>22</v>
      </c>
      <c r="F318" s="60" t="s">
        <v>744</v>
      </c>
      <c r="G318" s="60"/>
      <c r="H318" s="60" t="str">
        <f>IFERROR(INDEX('Docketed Comments'!C:C,MATCH(A318,'Docketed Comments'!H:H,0))&amp;", "&amp;INDEX('Docketed Comments'!B:B,MATCH(A318,'Docketed Comments'!H:H,0)),"")</f>
        <v>Kristal, Porter</v>
      </c>
      <c r="I318" s="60" t="str">
        <f>IFERROR(INDEX('Docketed Comments'!D:D,MATCH(A318,'Docketed Comments'!H:H,0)),"")</f>
        <v>Peoria</v>
      </c>
      <c r="J318" s="60" t="str">
        <f>IFERROR(INDEX('Docketed Comments'!I:I,MATCH(A318,'Docketed Comments'!H:H,0)),"")</f>
        <v>R3-47</v>
      </c>
      <c r="K318" s="60" t="str">
        <f t="shared" si="9"/>
        <v>✅ On Best Plan</v>
      </c>
      <c r="L318" s="60" t="str">
        <f>IFERROR(INDEX('Docketed Comments'!F:F,MATCH(A318,'Docketed Comments'!H:H,0)),"")</f>
        <v xml:space="preserve">Opposed </v>
      </c>
      <c r="M318" s="120">
        <f>IFERROR(INDEX('Docketed Comments'!G:G,MATCH(A318,'Docketed Comments'!H:H,0)),"")</f>
        <v>0</v>
      </c>
      <c r="N318" s="118" t="str">
        <f>IFERROR(INDEX('Docketed Comments'!N:N,MATCH(A318,'Docketed Comments'!H:H,0)),"")</f>
        <v>No</v>
      </c>
      <c r="O318" s="118" t="str">
        <f>IFERROR(INDEX('Docketed Comments'!L:L,MATCH(A318,'Docketed Comments'!H:H,0)),"")</f>
        <v xml:space="preserve">Yes </v>
      </c>
      <c r="P318" s="119">
        <f t="shared" si="8"/>
        <v>0</v>
      </c>
      <c r="Q318" s="60" t="s">
        <v>23</v>
      </c>
      <c r="R318" s="64" t="s">
        <v>24</v>
      </c>
      <c r="S318" s="64" t="s">
        <v>745</v>
      </c>
    </row>
    <row r="319" spans="1:19" ht="21.95" hidden="1" customHeight="1">
      <c r="A319" s="66" t="s">
        <v>746</v>
      </c>
      <c r="B319" s="64" t="s">
        <v>31</v>
      </c>
      <c r="C319" s="65">
        <v>46067</v>
      </c>
      <c r="D319" s="64" t="s">
        <v>21</v>
      </c>
      <c r="E319" s="64" t="s">
        <v>22</v>
      </c>
      <c r="F319" s="60" t="s">
        <v>60</v>
      </c>
      <c r="G319" s="60"/>
      <c r="H319" s="60" t="str">
        <f>IFERROR(INDEX('Docketed Comments'!C:C,MATCH(A319,'Docketed Comments'!H:H,0))&amp;", "&amp;INDEX('Docketed Comments'!B:B,MATCH(A319,'Docketed Comments'!H:H,0)),"")</f>
        <v>Charles, McGibbon</v>
      </c>
      <c r="I319" s="60" t="str">
        <f>IFERROR(INDEX('Docketed Comments'!D:D,MATCH(A319,'Docketed Comments'!H:H,0)),"")</f>
        <v>Chino Valley</v>
      </c>
      <c r="J319" s="60" t="str">
        <f>IFERROR(INDEX('Docketed Comments'!I:I,MATCH(A319,'Docketed Comments'!H:H,0)),"")</f>
        <v>R-XS</v>
      </c>
      <c r="K319" s="60" t="str">
        <f t="shared" si="9"/>
        <v>✅ On Best Plan</v>
      </c>
      <c r="L319" s="60" t="str">
        <f>IFERROR(INDEX('Docketed Comments'!F:F,MATCH(A319,'Docketed Comments'!H:H,0)),"")</f>
        <v>Opposed</v>
      </c>
      <c r="M319" s="120" t="str">
        <f>IFERROR(INDEX('Docketed Comments'!G:G,MATCH(A319,'Docketed Comments'!H:H,0)),"")</f>
        <v>https://images.edocket.azcc.gov/docketpdf/E000044947.pdf</v>
      </c>
      <c r="N319" s="118" t="str">
        <f>IFERROR(INDEX('Docketed Comments'!N:N,MATCH(A319,'Docketed Comments'!H:H,0)),"")</f>
        <v>No</v>
      </c>
      <c r="O319" s="118" t="str">
        <f>IFERROR(INDEX('Docketed Comments'!L:L,MATCH(A319,'Docketed Comments'!H:H,0)),"")</f>
        <v>Yes</v>
      </c>
      <c r="P319" s="119">
        <f t="shared" si="8"/>
        <v>0</v>
      </c>
      <c r="Q319" s="60" t="s">
        <v>23</v>
      </c>
      <c r="R319" s="64" t="s">
        <v>24</v>
      </c>
      <c r="S319" s="64" t="s">
        <v>747</v>
      </c>
    </row>
    <row r="320" spans="1:19" ht="21.95" hidden="1" customHeight="1">
      <c r="A320" s="66" t="s">
        <v>748</v>
      </c>
      <c r="B320" s="64" t="s">
        <v>20</v>
      </c>
      <c r="C320" s="65">
        <v>46060</v>
      </c>
      <c r="D320" s="64" t="s">
        <v>21</v>
      </c>
      <c r="E320" s="64" t="s">
        <v>22</v>
      </c>
      <c r="F320" s="60" t="s">
        <v>749</v>
      </c>
      <c r="G320" s="60"/>
      <c r="H320" s="60" t="str">
        <f>IFERROR(INDEX('Docketed Comments'!C:C,MATCH(A320,'Docketed Comments'!H:H,0))&amp;", "&amp;INDEX('Docketed Comments'!B:B,MATCH(A320,'Docketed Comments'!H:H,0)),"")</f>
        <v>Isabella, Sanchez</v>
      </c>
      <c r="I320" s="60" t="str">
        <f>IFERROR(INDEX('Docketed Comments'!D:D,MATCH(A320,'Docketed Comments'!H:H,0)),"")</f>
        <v>Phoenix</v>
      </c>
      <c r="J320" s="60" t="str">
        <f>IFERROR(INDEX('Docketed Comments'!I:I,MATCH(A320,'Docketed Comments'!H:H,0)),"")</f>
        <v>R-BASIC</v>
      </c>
      <c r="K320" s="60" t="str">
        <f t="shared" si="9"/>
        <v>✅ On Best Plan</v>
      </c>
      <c r="L320" s="60" t="str">
        <f>IFERROR(INDEX('Docketed Comments'!F:F,MATCH(A320,'Docketed Comments'!H:H,0)),"")</f>
        <v>Opposed</v>
      </c>
      <c r="M320" s="120" t="str">
        <f>IFERROR(INDEX('Docketed Comments'!G:G,MATCH(A320,'Docketed Comments'!H:H,0)),"")</f>
        <v>https://images.edocket.azcc.gov/docketpdf/E000045059.pdf</v>
      </c>
      <c r="N320" s="118" t="str">
        <f>IFERROR(INDEX('Docketed Comments'!N:N,MATCH(A320,'Docketed Comments'!H:H,0)),"")</f>
        <v>No</v>
      </c>
      <c r="O320" s="118" t="str">
        <f>IFERROR(INDEX('Docketed Comments'!L:L,MATCH(A320,'Docketed Comments'!H:H,0)),"")</f>
        <v>Yes</v>
      </c>
      <c r="P320" s="119">
        <f t="shared" si="8"/>
        <v>0</v>
      </c>
      <c r="Q320" s="60" t="s">
        <v>23</v>
      </c>
      <c r="R320" s="64" t="s">
        <v>24</v>
      </c>
      <c r="S320" s="64" t="s">
        <v>750</v>
      </c>
    </row>
    <row r="321" spans="1:19" ht="21.95" hidden="1" customHeight="1">
      <c r="A321" s="66" t="s">
        <v>751</v>
      </c>
      <c r="B321" s="64" t="s">
        <v>20</v>
      </c>
      <c r="C321" s="65">
        <v>46060</v>
      </c>
      <c r="D321" s="64" t="s">
        <v>21</v>
      </c>
      <c r="E321" s="64" t="s">
        <v>22</v>
      </c>
      <c r="F321" s="60" t="s">
        <v>99</v>
      </c>
      <c r="G321" s="60"/>
      <c r="H321" s="60" t="str">
        <f>IFERROR(INDEX('Docketed Comments'!C:C,MATCH(A321,'Docketed Comments'!H:H,0))&amp;", "&amp;INDEX('Docketed Comments'!B:B,MATCH(A321,'Docketed Comments'!H:H,0)),"")</f>
        <v>Revis, Underwood</v>
      </c>
      <c r="I321" s="60" t="str">
        <f>IFERROR(INDEX('Docketed Comments'!D:D,MATCH(A321,'Docketed Comments'!H:H,0)),"")</f>
        <v>Litchfield Park</v>
      </c>
      <c r="J321" s="60" t="str">
        <f>IFERROR(INDEX('Docketed Comments'!I:I,MATCH(A321,'Docketed Comments'!H:H,0)),"")</f>
        <v>EPR-6w/E-12</v>
      </c>
      <c r="K321" s="60" t="str">
        <f t="shared" si="9"/>
        <v>⚠ Info Not Avail</v>
      </c>
      <c r="L321" s="60" t="str">
        <f>IFERROR(INDEX('Docketed Comments'!F:F,MATCH(A321,'Docketed Comments'!H:H,0)),"")</f>
        <v>Opposed</v>
      </c>
      <c r="M321" s="120" t="str">
        <f>IFERROR(INDEX('Docketed Comments'!G:G,MATCH(A321,'Docketed Comments'!H:H,0)),"")</f>
        <v>https://images.edocket.azcc.gov/docketpdf/E000045209.pdf</v>
      </c>
      <c r="N321" s="118" t="str">
        <f>IFERROR(INDEX('Docketed Comments'!N:N,MATCH(A321,'Docketed Comments'!H:H,0)),"")</f>
        <v>No</v>
      </c>
      <c r="O321" s="118" t="str">
        <f>IFERROR(INDEX('Docketed Comments'!L:L,MATCH(A321,'Docketed Comments'!H:H,0)),"")</f>
        <v>Info Not Avail</v>
      </c>
      <c r="P321" s="119">
        <f t="shared" si="8"/>
        <v>0</v>
      </c>
      <c r="Q321" s="60" t="s">
        <v>23</v>
      </c>
      <c r="R321" s="64" t="s">
        <v>24</v>
      </c>
      <c r="S321" s="64" t="s">
        <v>752</v>
      </c>
    </row>
    <row r="322" spans="1:19" ht="21.95" customHeight="1">
      <c r="A322" s="66" t="s">
        <v>753</v>
      </c>
      <c r="B322" s="64"/>
      <c r="C322" s="65"/>
      <c r="D322" s="64"/>
      <c r="E322" s="64"/>
      <c r="F322" s="60"/>
      <c r="G322" s="60" t="s">
        <v>88</v>
      </c>
      <c r="H322" s="60" t="str">
        <f>IFERROR(INDEX('Docketed Comments'!C:C,MATCH(A322,'Docketed Comments'!H:H,0))&amp;", "&amp;INDEX('Docketed Comments'!B:B,MATCH(A322,'Docketed Comments'!H:H,0)),"")</f>
        <v>Dennis, Hacker</v>
      </c>
      <c r="I322" s="60" t="str">
        <f>IFERROR(INDEX('Docketed Comments'!D:D,MATCH(A322,'Docketed Comments'!H:H,0)),"")</f>
        <v>Phoenix</v>
      </c>
      <c r="J322" s="60" t="str">
        <f>IFERROR(INDEX('Docketed Comments'!I:I,MATCH(A322,'Docketed Comments'!H:H,0)),"")</f>
        <v>RCPw/R3-47</v>
      </c>
      <c r="K322" s="60" t="str">
        <f t="shared" si="9"/>
        <v>✅ On Best Plan</v>
      </c>
      <c r="L322" s="60" t="str">
        <f>IFERROR(INDEX('Docketed Comments'!F:F,MATCH(A322,'Docketed Comments'!H:H,0)),"")</f>
        <v>Pole Attachments</v>
      </c>
      <c r="M322" s="120" t="str">
        <f>IFERROR(INDEX('Docketed Comments'!G:G,MATCH(A322,'Docketed Comments'!H:H,0)),"")</f>
        <v>https://images.edocket.azcc.gov/docketpdf/E000045207.pdf</v>
      </c>
      <c r="N322" s="118" t="str">
        <f>IFERROR(INDEX('Docketed Comments'!N:N,MATCH(A322,'Docketed Comments'!H:H,0)),"")</f>
        <v>No</v>
      </c>
      <c r="O322" s="118" t="str">
        <f>IFERROR(INDEX('Docketed Comments'!L:L,MATCH(A322,'Docketed Comments'!H:H,0)),"")</f>
        <v>Yes</v>
      </c>
      <c r="P322" s="119">
        <f t="shared" ref="P322:P385" si="10">IFERROR(IF(ISNUMBER(SEARCH("$",O322)),VALUE(SUBSTITUTE(SUBSTITUTE(MID(O322,FIND("$",O322)+1,FIND(")",O322)-FIND("$",O322)-1),",","")," ","")),VALUE(SUBSTITUTE(SUBSTITUTE(MID(O322,FIND("(",O322)+1,FIND(")",O322)-FIND("(",O322)-1),",","")," ",""))),0)</f>
        <v>0</v>
      </c>
      <c r="Q322" s="60"/>
      <c r="R322" s="64" t="s">
        <v>75</v>
      </c>
      <c r="S322" s="64" t="s">
        <v>754</v>
      </c>
    </row>
    <row r="323" spans="1:19" ht="21.95" customHeight="1">
      <c r="A323" s="66" t="s">
        <v>755</v>
      </c>
      <c r="B323" s="64"/>
      <c r="C323" s="65"/>
      <c r="D323" s="64"/>
      <c r="E323" s="64"/>
      <c r="F323" s="60"/>
      <c r="G323" s="60" t="s">
        <v>88</v>
      </c>
      <c r="H323" s="60" t="str">
        <f>IFERROR(INDEX('Docketed Comments'!C:C,MATCH(A323,'Docketed Comments'!H:H,0))&amp;", "&amp;INDEX('Docketed Comments'!B:B,MATCH(A323,'Docketed Comments'!H:H,0)),"")</f>
        <v>Steven, Snyder</v>
      </c>
      <c r="I323" s="60" t="str">
        <f>IFERROR(INDEX('Docketed Comments'!D:D,MATCH(A323,'Docketed Comments'!H:H,0)),"")</f>
        <v>Prescott Valley</v>
      </c>
      <c r="J323" s="60" t="str">
        <f>IFERROR(INDEX('Docketed Comments'!I:I,MATCH(A323,'Docketed Comments'!H:H,0)),"")</f>
        <v>RCPw/R3-47</v>
      </c>
      <c r="K323" s="60" t="str">
        <f t="shared" ref="K323:K386" si="11">IFERROR(IF(OR(LEFT(O323,2)="No",LEFT(O323,3)="Not"),"❌ Not on Best Plan",IF(OR(O323="Yes",O323="Y",O323="Yes "),"✅ On Best Plan","⚠ "&amp;O323)),"")</f>
        <v>✅ On Best Plan</v>
      </c>
      <c r="L323" s="60" t="str">
        <f>IFERROR(INDEX('Docketed Comments'!F:F,MATCH(A323,'Docketed Comments'!H:H,0)),"")</f>
        <v>Opposed</v>
      </c>
      <c r="M323" s="120" t="str">
        <f>IFERROR(INDEX('Docketed Comments'!G:G,MATCH(A323,'Docketed Comments'!H:H,0)),"")</f>
        <v>https://images.edocket.azcc.gov/docketpdf/E000045267.pdf</v>
      </c>
      <c r="N323" s="118" t="str">
        <f>IFERROR(INDEX('Docketed Comments'!N:N,MATCH(A323,'Docketed Comments'!H:H,0)),"")</f>
        <v>No</v>
      </c>
      <c r="O323" s="118" t="str">
        <f>IFERROR(INDEX('Docketed Comments'!L:L,MATCH(A323,'Docketed Comments'!H:H,0)),"")</f>
        <v>Yes</v>
      </c>
      <c r="P323" s="119">
        <f t="shared" si="10"/>
        <v>0</v>
      </c>
      <c r="Q323" s="60"/>
      <c r="R323" s="64" t="s">
        <v>75</v>
      </c>
      <c r="S323" s="64" t="s">
        <v>756</v>
      </c>
    </row>
    <row r="324" spans="1:19" ht="21.95" customHeight="1">
      <c r="A324" s="66" t="s">
        <v>757</v>
      </c>
      <c r="B324" s="64"/>
      <c r="C324" s="65"/>
      <c r="D324" s="64"/>
      <c r="E324" s="64"/>
      <c r="F324" s="60"/>
      <c r="G324" s="60" t="s">
        <v>88</v>
      </c>
      <c r="H324" s="60" t="str">
        <f>IFERROR(INDEX('Docketed Comments'!C:C,MATCH(A324,'Docketed Comments'!H:H,0))&amp;", "&amp;INDEX('Docketed Comments'!B:B,MATCH(A324,'Docketed Comments'!H:H,0)),"")</f>
        <v>Karen, Sternberg</v>
      </c>
      <c r="I324" s="60" t="str">
        <f>IFERROR(INDEX('Docketed Comments'!D:D,MATCH(A324,'Docketed Comments'!H:H,0)),"")</f>
        <v>Sedona</v>
      </c>
      <c r="J324" s="60" t="str">
        <f>IFERROR(INDEX('Docketed Comments'!I:I,MATCH(A324,'Docketed Comments'!H:H,0)),"")</f>
        <v xml:space="preserve">R-XS </v>
      </c>
      <c r="K324" s="60" t="str">
        <f t="shared" si="11"/>
        <v>✅ On Best Plan</v>
      </c>
      <c r="L324" s="60" t="str">
        <f>IFERROR(INDEX('Docketed Comments'!F:F,MATCH(A324,'Docketed Comments'!H:H,0)),"")</f>
        <v>Comments are about water rates</v>
      </c>
      <c r="M324" s="120" t="str">
        <f>IFERROR(INDEX('Docketed Comments'!G:G,MATCH(A324,'Docketed Comments'!H:H,0)),"")</f>
        <v>https://images.edocket.azcc.gov/docketpdf/E000045814.pdf</v>
      </c>
      <c r="N324" s="118" t="str">
        <f>IFERROR(INDEX('Docketed Comments'!N:N,MATCH(A324,'Docketed Comments'!H:H,0)),"")</f>
        <v>No</v>
      </c>
      <c r="O324" s="118" t="str">
        <f>IFERROR(INDEX('Docketed Comments'!L:L,MATCH(A324,'Docketed Comments'!H:H,0)),"")</f>
        <v>Yes</v>
      </c>
      <c r="P324" s="119">
        <f t="shared" si="10"/>
        <v>0</v>
      </c>
      <c r="Q324" s="60"/>
      <c r="R324" s="64" t="s">
        <v>75</v>
      </c>
      <c r="S324" s="64" t="s">
        <v>758</v>
      </c>
    </row>
    <row r="325" spans="1:19" ht="21.95" customHeight="1">
      <c r="A325" s="66" t="s">
        <v>759</v>
      </c>
      <c r="B325" s="64"/>
      <c r="C325" s="65"/>
      <c r="D325" s="64"/>
      <c r="E325" s="64"/>
      <c r="F325" s="60"/>
      <c r="G325" s="60" t="s">
        <v>88</v>
      </c>
      <c r="H325" s="60" t="str">
        <f>IFERROR(INDEX('Docketed Comments'!C:C,MATCH(A325,'Docketed Comments'!H:H,0))&amp;", "&amp;INDEX('Docketed Comments'!B:B,MATCH(A325,'Docketed Comments'!H:H,0)),"")</f>
        <v>Tiffany, Lovato</v>
      </c>
      <c r="I325" s="60" t="str">
        <f>IFERROR(INDEX('Docketed Comments'!D:D,MATCH(A325,'Docketed Comments'!H:H,0)),"")</f>
        <v>Surprise</v>
      </c>
      <c r="J325" s="60" t="str">
        <f>IFERROR(INDEX('Docketed Comments'!I:I,MATCH(A325,'Docketed Comments'!H:H,0)),"")</f>
        <v>R-BASIC</v>
      </c>
      <c r="K325" s="60" t="str">
        <f t="shared" si="11"/>
        <v>✅ On Best Plan</v>
      </c>
      <c r="L325" s="60" t="str">
        <f>IFERROR(INDEX('Docketed Comments'!F:F,MATCH(A325,'Docketed Comments'!H:H,0)),"")</f>
        <v>Opposed</v>
      </c>
      <c r="M325" s="120" t="str">
        <f>IFERROR(INDEX('Docketed Comments'!G:G,MATCH(A325,'Docketed Comments'!H:H,0)),"")</f>
        <v>https://images.edocket.azcc.gov/docketpdf/E000046155.pdf</v>
      </c>
      <c r="N325" s="118" t="str">
        <f>IFERROR(INDEX('Docketed Comments'!N:N,MATCH(A325,'Docketed Comments'!H:H,0)),"")</f>
        <v>No</v>
      </c>
      <c r="O325" s="118" t="str">
        <f>IFERROR(INDEX('Docketed Comments'!L:L,MATCH(A325,'Docketed Comments'!H:H,0)),"")</f>
        <v xml:space="preserve">Yes </v>
      </c>
      <c r="P325" s="119">
        <f t="shared" si="10"/>
        <v>0</v>
      </c>
      <c r="Q325" s="60"/>
      <c r="R325" s="64" t="s">
        <v>75</v>
      </c>
      <c r="S325" s="64" t="s">
        <v>760</v>
      </c>
    </row>
    <row r="326" spans="1:19" ht="21.95" hidden="1" customHeight="1">
      <c r="A326" s="66" t="s">
        <v>761</v>
      </c>
      <c r="B326" s="64" t="s">
        <v>20</v>
      </c>
      <c r="C326" s="65">
        <v>46067</v>
      </c>
      <c r="D326" s="64" t="s">
        <v>27</v>
      </c>
      <c r="E326" s="64" t="s">
        <v>22</v>
      </c>
      <c r="F326" s="60" t="s">
        <v>99</v>
      </c>
      <c r="G326" s="60"/>
      <c r="H326" s="60" t="str">
        <f>IFERROR(INDEX('Docketed Comments'!C:C,MATCH(A326,'Docketed Comments'!H:H,0))&amp;", "&amp;INDEX('Docketed Comments'!B:B,MATCH(A326,'Docketed Comments'!H:H,0)),"")</f>
        <v>David, Read</v>
      </c>
      <c r="I326" s="60" t="str">
        <f>IFERROR(INDEX('Docketed Comments'!D:D,MATCH(A326,'Docketed Comments'!H:H,0)),"")</f>
        <v xml:space="preserve">Peoria </v>
      </c>
      <c r="J326" s="60" t="str">
        <f>IFERROR(INDEX('Docketed Comments'!I:I,MATCH(A326,'Docketed Comments'!H:H,0)),"")</f>
        <v>RTOUE47</v>
      </c>
      <c r="K326" s="60" t="str">
        <f t="shared" si="11"/>
        <v>✅ On Best Plan</v>
      </c>
      <c r="L326" s="60" t="str">
        <f>IFERROR(INDEX('Docketed Comments'!F:F,MATCH(A326,'Docketed Comments'!H:H,0)),"")</f>
        <v>Opposed</v>
      </c>
      <c r="M326" s="120" t="str">
        <f>IFERROR(INDEX('Docketed Comments'!G:G,MATCH(A326,'Docketed Comments'!H:H,0)),"")</f>
        <v>https://images.edocket.azcc.gov/docketpdf/E000046155.pdf</v>
      </c>
      <c r="N326" s="118" t="str">
        <f>IFERROR(INDEX('Docketed Comments'!N:N,MATCH(A326,'Docketed Comments'!H:H,0)),"")</f>
        <v>No</v>
      </c>
      <c r="O326" s="118" t="str">
        <f>IFERROR(INDEX('Docketed Comments'!L:L,MATCH(A326,'Docketed Comments'!H:H,0)),"")</f>
        <v>Yes</v>
      </c>
      <c r="P326" s="119">
        <f t="shared" si="10"/>
        <v>0</v>
      </c>
      <c r="Q326" s="60" t="s">
        <v>23</v>
      </c>
      <c r="R326" s="64" t="s">
        <v>24</v>
      </c>
      <c r="S326" s="64" t="s">
        <v>762</v>
      </c>
    </row>
    <row r="327" spans="1:19" ht="21.95" customHeight="1">
      <c r="A327" s="66" t="s">
        <v>763</v>
      </c>
      <c r="B327" s="64"/>
      <c r="C327" s="65"/>
      <c r="D327" s="64"/>
      <c r="E327" s="64"/>
      <c r="F327" s="60"/>
      <c r="G327" s="60" t="s">
        <v>88</v>
      </c>
      <c r="H327" s="60" t="str">
        <f>IFERROR(INDEX('Docketed Comments'!C:C,MATCH(A327,'Docketed Comments'!H:H,0))&amp;", "&amp;INDEX('Docketed Comments'!B:B,MATCH(A327,'Docketed Comments'!H:H,0)),"")</f>
        <v>Nam, Huynh</v>
      </c>
      <c r="I327" s="60" t="str">
        <f>IFERROR(INDEX('Docketed Comments'!D:D,MATCH(A327,'Docketed Comments'!H:H,0)),"")</f>
        <v>Buckeye</v>
      </c>
      <c r="J327" s="60" t="str">
        <f>IFERROR(INDEX('Docketed Comments'!I:I,MATCH(A327,'Docketed Comments'!H:H,0)),"")</f>
        <v>R3-47</v>
      </c>
      <c r="K327" s="60" t="str">
        <f t="shared" si="11"/>
        <v>✅ On Best Plan</v>
      </c>
      <c r="L327" s="60" t="str">
        <f>IFERROR(INDEX('Docketed Comments'!F:F,MATCH(A327,'Docketed Comments'!H:H,0)),"")</f>
        <v>Opposed</v>
      </c>
      <c r="M327" s="120" t="str">
        <f>IFERROR(INDEX('Docketed Comments'!G:G,MATCH(A327,'Docketed Comments'!H:H,0)),"")</f>
        <v>https://images.edocket.azcc.gov/docketpdf/E000046155.pdf</v>
      </c>
      <c r="N327" s="118" t="str">
        <f>IFERROR(INDEX('Docketed Comments'!N:N,MATCH(A327,'Docketed Comments'!H:H,0)),"")</f>
        <v>No</v>
      </c>
      <c r="O327" s="118" t="str">
        <f>IFERROR(INDEX('Docketed Comments'!L:L,MATCH(A327,'Docketed Comments'!H:H,0)),"")</f>
        <v>Yes</v>
      </c>
      <c r="P327" s="119">
        <f t="shared" si="10"/>
        <v>0</v>
      </c>
      <c r="Q327" s="60"/>
      <c r="R327" s="64" t="s">
        <v>75</v>
      </c>
      <c r="S327" s="64" t="s">
        <v>764</v>
      </c>
    </row>
    <row r="328" spans="1:19" ht="21.95" customHeight="1">
      <c r="A328" s="66" t="s">
        <v>765</v>
      </c>
      <c r="B328" s="64"/>
      <c r="C328" s="65"/>
      <c r="D328" s="64"/>
      <c r="E328" s="64"/>
      <c r="F328" s="60"/>
      <c r="G328" s="60" t="s">
        <v>88</v>
      </c>
      <c r="H328" s="60" t="str">
        <f>IFERROR(INDEX('Docketed Comments'!C:C,MATCH(A328,'Docketed Comments'!H:H,0))&amp;", "&amp;INDEX('Docketed Comments'!B:B,MATCH(A328,'Docketed Comments'!H:H,0)),"")</f>
        <v>Ethan, Wood</v>
      </c>
      <c r="I328" s="60" t="str">
        <f>IFERROR(INDEX('Docketed Comments'!D:D,MATCH(A328,'Docketed Comments'!H:H,0)),"")</f>
        <v>Phoenix</v>
      </c>
      <c r="J328" s="60" t="str">
        <f>IFERROR(INDEX('Docketed Comments'!I:I,MATCH(A328,'Docketed Comments'!H:H,0)),"")</f>
        <v>R3-47</v>
      </c>
      <c r="K328" s="60" t="str">
        <f t="shared" si="11"/>
        <v>✅ On Best Plan</v>
      </c>
      <c r="L328" s="60" t="str">
        <f>IFERROR(INDEX('Docketed Comments'!F:F,MATCH(A328,'Docketed Comments'!H:H,0)),"")</f>
        <v>Form letter</v>
      </c>
      <c r="M328" s="120" t="str">
        <f>IFERROR(INDEX('Docketed Comments'!G:G,MATCH(A328,'Docketed Comments'!H:H,0)),"")</f>
        <v>https://images.edocket.azcc.gov/docketpdf/E000046155.pdf</v>
      </c>
      <c r="N328" s="118" t="str">
        <f>IFERROR(INDEX('Docketed Comments'!N:N,MATCH(A328,'Docketed Comments'!H:H,0)),"")</f>
        <v>No</v>
      </c>
      <c r="O328" s="118" t="str">
        <f>IFERROR(INDEX('Docketed Comments'!L:L,MATCH(A328,'Docketed Comments'!H:H,0)),"")</f>
        <v>Yes</v>
      </c>
      <c r="P328" s="119">
        <f t="shared" si="10"/>
        <v>0</v>
      </c>
      <c r="Q328" s="60"/>
      <c r="R328" s="64" t="s">
        <v>75</v>
      </c>
      <c r="S328" s="64" t="s">
        <v>766</v>
      </c>
    </row>
    <row r="329" spans="1:19" ht="21.95" hidden="1" customHeight="1">
      <c r="A329" s="66" t="s">
        <v>767</v>
      </c>
      <c r="B329" s="64" t="s">
        <v>20</v>
      </c>
      <c r="C329" s="65">
        <v>46067</v>
      </c>
      <c r="D329" s="64" t="s">
        <v>21</v>
      </c>
      <c r="E329" s="64" t="s">
        <v>22</v>
      </c>
      <c r="F329" s="60"/>
      <c r="G329" s="60"/>
      <c r="H329" s="60" t="str">
        <f>IFERROR(INDEX('Docketed Comments'!C:C,MATCH(A329,'Docketed Comments'!H:H,0))&amp;", "&amp;INDEX('Docketed Comments'!B:B,MATCH(A329,'Docketed Comments'!H:H,0)),"")</f>
        <v>John, Keller</v>
      </c>
      <c r="I329" s="60" t="str">
        <f>IFERROR(INDEX('Docketed Comments'!D:D,MATCH(A329,'Docketed Comments'!H:H,0)),"")</f>
        <v>Phoenix</v>
      </c>
      <c r="J329" s="60" t="str">
        <f>IFERROR(INDEX('Docketed Comments'!I:I,MATCH(A329,'Docketed Comments'!H:H,0)),"")</f>
        <v>R3-47</v>
      </c>
      <c r="K329" s="60" t="str">
        <f t="shared" si="11"/>
        <v>✅ On Best Plan</v>
      </c>
      <c r="L329" s="60" t="str">
        <f>IFERROR(INDEX('Docketed Comments'!F:F,MATCH(A329,'Docketed Comments'!H:H,0)),"")</f>
        <v>Opposed</v>
      </c>
      <c r="M329" s="120" t="str">
        <f>IFERROR(INDEX('Docketed Comments'!G:G,MATCH(A329,'Docketed Comments'!H:H,0)),"")</f>
        <v>https://images.edocket.azcc.gov/docketpdf/E000046155.pdf</v>
      </c>
      <c r="N329" s="118" t="str">
        <f>IFERROR(INDEX('Docketed Comments'!N:N,MATCH(A329,'Docketed Comments'!H:H,0)),"")</f>
        <v>No</v>
      </c>
      <c r="O329" s="118" t="str">
        <f>IFERROR(INDEX('Docketed Comments'!L:L,MATCH(A329,'Docketed Comments'!H:H,0)),"")</f>
        <v>Yes</v>
      </c>
      <c r="P329" s="119">
        <f t="shared" si="10"/>
        <v>0</v>
      </c>
      <c r="Q329" s="60" t="s">
        <v>23</v>
      </c>
      <c r="R329" s="64" t="s">
        <v>24</v>
      </c>
      <c r="S329" s="64" t="s">
        <v>768</v>
      </c>
    </row>
    <row r="330" spans="1:19" ht="21.95" customHeight="1">
      <c r="A330" s="66" t="s">
        <v>769</v>
      </c>
      <c r="B330" s="64"/>
      <c r="C330" s="65"/>
      <c r="D330" s="64"/>
      <c r="E330" s="64"/>
      <c r="F330" s="60"/>
      <c r="G330" s="60" t="s">
        <v>88</v>
      </c>
      <c r="H330" s="60" t="str">
        <f>IFERROR(INDEX('Docketed Comments'!C:C,MATCH(A330,'Docketed Comments'!H:H,0))&amp;", "&amp;INDEX('Docketed Comments'!B:B,MATCH(A330,'Docketed Comments'!H:H,0)),"")</f>
        <v>Shannon, Vint</v>
      </c>
      <c r="I330" s="60" t="str">
        <f>IFERROR(INDEX('Docketed Comments'!D:D,MATCH(A330,'Docketed Comments'!H:H,0)),"")</f>
        <v>Phoenix</v>
      </c>
      <c r="J330" s="60" t="str">
        <f>IFERROR(INDEX('Docketed Comments'!I:I,MATCH(A330,'Docketed Comments'!H:H,0)),"")</f>
        <v>R-BASIC</v>
      </c>
      <c r="K330" s="60" t="str">
        <f t="shared" si="11"/>
        <v>✅ On Best Plan</v>
      </c>
      <c r="L330" s="60" t="str">
        <f>IFERROR(INDEX('Docketed Comments'!F:F,MATCH(A330,'Docketed Comments'!H:H,0)),"")</f>
        <v>Form letter</v>
      </c>
      <c r="M330" s="120" t="str">
        <f>IFERROR(INDEX('Docketed Comments'!G:G,MATCH(A330,'Docketed Comments'!H:H,0)),"")</f>
        <v>https://images.edocket.azcc.gov/docketpdf/E000046155.pdf</v>
      </c>
      <c r="N330" s="118" t="str">
        <f>IFERROR(INDEX('Docketed Comments'!N:N,MATCH(A330,'Docketed Comments'!H:H,0)),"")</f>
        <v>No</v>
      </c>
      <c r="O330" s="118" t="str">
        <f>IFERROR(INDEX('Docketed Comments'!L:L,MATCH(A330,'Docketed Comments'!H:H,0)),"")</f>
        <v>Yes</v>
      </c>
      <c r="P330" s="119">
        <f t="shared" si="10"/>
        <v>0</v>
      </c>
      <c r="Q330" s="60"/>
      <c r="R330" s="64" t="s">
        <v>75</v>
      </c>
      <c r="S330" s="64" t="s">
        <v>770</v>
      </c>
    </row>
    <row r="331" spans="1:19" ht="21.95" hidden="1" customHeight="1">
      <c r="A331" s="66" t="s">
        <v>771</v>
      </c>
      <c r="B331" s="64" t="s">
        <v>20</v>
      </c>
      <c r="C331" s="65">
        <v>46067</v>
      </c>
      <c r="D331" s="64" t="s">
        <v>27</v>
      </c>
      <c r="E331" s="64" t="s">
        <v>22</v>
      </c>
      <c r="F331" s="60" t="s">
        <v>99</v>
      </c>
      <c r="G331" s="60"/>
      <c r="H331" s="60" t="str">
        <f>IFERROR(INDEX('Docketed Comments'!C:C,MATCH(A331,'Docketed Comments'!H:H,0))&amp;", "&amp;INDEX('Docketed Comments'!B:B,MATCH(A331,'Docketed Comments'!H:H,0)),"")</f>
        <v>Ciara, Lafond</v>
      </c>
      <c r="I331" s="60" t="str">
        <f>IFERROR(INDEX('Docketed Comments'!D:D,MATCH(A331,'Docketed Comments'!H:H,0)),"")</f>
        <v>Buckeye</v>
      </c>
      <c r="J331" s="60" t="str">
        <f>IFERROR(INDEX('Docketed Comments'!I:I,MATCH(A331,'Docketed Comments'!H:H,0)),"")</f>
        <v>RTOUE47</v>
      </c>
      <c r="K331" s="60" t="str">
        <f t="shared" si="11"/>
        <v>✅ On Best Plan</v>
      </c>
      <c r="L331" s="60" t="str">
        <f>IFERROR(INDEX('Docketed Comments'!F:F,MATCH(A331,'Docketed Comments'!H:H,0)),"")</f>
        <v>Opposed</v>
      </c>
      <c r="M331" s="120" t="str">
        <f>IFERROR(INDEX('Docketed Comments'!G:G,MATCH(A331,'Docketed Comments'!H:H,0)),"")</f>
        <v>https://images.edocket.azcc.gov/docketpdf/E000046155.pdf</v>
      </c>
      <c r="N331" s="118" t="str">
        <f>IFERROR(INDEX('Docketed Comments'!N:N,MATCH(A331,'Docketed Comments'!H:H,0)),"")</f>
        <v>No</v>
      </c>
      <c r="O331" s="118" t="str">
        <f>IFERROR(INDEX('Docketed Comments'!L:L,MATCH(A331,'Docketed Comments'!H:H,0)),"")</f>
        <v>Yes</v>
      </c>
      <c r="P331" s="119">
        <f t="shared" si="10"/>
        <v>0</v>
      </c>
      <c r="Q331" s="60" t="s">
        <v>23</v>
      </c>
      <c r="R331" s="64" t="s">
        <v>24</v>
      </c>
      <c r="S331" s="64" t="s">
        <v>772</v>
      </c>
    </row>
    <row r="332" spans="1:19" ht="21.95" customHeight="1">
      <c r="A332" s="66" t="s">
        <v>773</v>
      </c>
      <c r="B332" s="64"/>
      <c r="C332" s="65"/>
      <c r="D332" s="64"/>
      <c r="E332" s="64"/>
      <c r="F332" s="60"/>
      <c r="G332" s="60" t="s">
        <v>88</v>
      </c>
      <c r="H332" s="60" t="str">
        <f>IFERROR(INDEX('Docketed Comments'!C:C,MATCH(A332,'Docketed Comments'!H:H,0))&amp;", "&amp;INDEX('Docketed Comments'!B:B,MATCH(A332,'Docketed Comments'!H:H,0)),"")</f>
        <v>Paul, Tighe</v>
      </c>
      <c r="I332" s="60" t="str">
        <f>IFERROR(INDEX('Docketed Comments'!D:D,MATCH(A332,'Docketed Comments'!H:H,0)),"")</f>
        <v>Litchfield Park</v>
      </c>
      <c r="J332" s="60" t="str">
        <f>IFERROR(INDEX('Docketed Comments'!I:I,MATCH(A332,'Docketed Comments'!H:H,0)),"")</f>
        <v>R3-47</v>
      </c>
      <c r="K332" s="60" t="str">
        <f t="shared" si="11"/>
        <v>✅ On Best Plan</v>
      </c>
      <c r="L332" s="60" t="str">
        <f>IFERROR(INDEX('Docketed Comments'!F:F,MATCH(A332,'Docketed Comments'!H:H,0)),"")</f>
        <v>Opposed</v>
      </c>
      <c r="M332" s="120" t="str">
        <f>IFERROR(INDEX('Docketed Comments'!G:G,MATCH(A332,'Docketed Comments'!H:H,0)),"")</f>
        <v>https://images.edocket.azcc.gov/docketpdf/E000046155.pdf</v>
      </c>
      <c r="N332" s="118" t="str">
        <f>IFERROR(INDEX('Docketed Comments'!N:N,MATCH(A332,'Docketed Comments'!H:H,0)),"")</f>
        <v>No</v>
      </c>
      <c r="O332" s="118" t="str">
        <f>IFERROR(INDEX('Docketed Comments'!L:L,MATCH(A332,'Docketed Comments'!H:H,0)),"")</f>
        <v>Yes</v>
      </c>
      <c r="P332" s="119">
        <f t="shared" si="10"/>
        <v>0</v>
      </c>
      <c r="Q332" s="60"/>
      <c r="R332" s="64" t="s">
        <v>75</v>
      </c>
      <c r="S332" s="64" t="s">
        <v>774</v>
      </c>
    </row>
    <row r="333" spans="1:19" ht="21.95" hidden="1" customHeight="1">
      <c r="A333" s="66" t="s">
        <v>775</v>
      </c>
      <c r="B333" s="64" t="s">
        <v>20</v>
      </c>
      <c r="C333" s="65">
        <v>46067</v>
      </c>
      <c r="D333" s="64" t="s">
        <v>21</v>
      </c>
      <c r="E333" s="64" t="s">
        <v>22</v>
      </c>
      <c r="F333" s="60"/>
      <c r="G333" s="60"/>
      <c r="H333" s="60" t="str">
        <f>IFERROR(INDEX('Docketed Comments'!C:C,MATCH(A333,'Docketed Comments'!H:H,0))&amp;", "&amp;INDEX('Docketed Comments'!B:B,MATCH(A333,'Docketed Comments'!H:H,0)),"")</f>
        <v>Karen, Ward</v>
      </c>
      <c r="I333" s="60" t="str">
        <f>IFERROR(INDEX('Docketed Comments'!D:D,MATCH(A333,'Docketed Comments'!H:H,0)),"")</f>
        <v>Surprise</v>
      </c>
      <c r="J333" s="60" t="str">
        <f>IFERROR(INDEX('Docketed Comments'!I:I,MATCH(A333,'Docketed Comments'!H:H,0)),"")</f>
        <v xml:space="preserve">R-XS </v>
      </c>
      <c r="K333" s="60" t="str">
        <f t="shared" si="11"/>
        <v>✅ On Best Plan</v>
      </c>
      <c r="L333" s="60" t="str">
        <f>IFERROR(INDEX('Docketed Comments'!F:F,MATCH(A333,'Docketed Comments'!H:H,0)),"")</f>
        <v>Opposed</v>
      </c>
      <c r="M333" s="120" t="str">
        <f>IFERROR(INDEX('Docketed Comments'!G:G,MATCH(A333,'Docketed Comments'!H:H,0)),"")</f>
        <v>https://images.edocket.azcc.gov/docketpdf/E000046155.pdf</v>
      </c>
      <c r="N333" s="118" t="str">
        <f>IFERROR(INDEX('Docketed Comments'!N:N,MATCH(A333,'Docketed Comments'!H:H,0)),"")</f>
        <v>No</v>
      </c>
      <c r="O333" s="118" t="str">
        <f>IFERROR(INDEX('Docketed Comments'!L:L,MATCH(A333,'Docketed Comments'!H:H,0)),"")</f>
        <v>Yes</v>
      </c>
      <c r="P333" s="119">
        <f t="shared" si="10"/>
        <v>0</v>
      </c>
      <c r="Q333" s="60" t="s">
        <v>23</v>
      </c>
      <c r="R333" s="64" t="s">
        <v>24</v>
      </c>
      <c r="S333" s="64" t="s">
        <v>776</v>
      </c>
    </row>
    <row r="334" spans="1:19" ht="21.95" customHeight="1">
      <c r="A334" s="66" t="s">
        <v>777</v>
      </c>
      <c r="B334" s="64"/>
      <c r="C334" s="65"/>
      <c r="D334" s="64"/>
      <c r="E334" s="64"/>
      <c r="F334" s="60"/>
      <c r="G334" s="60" t="s">
        <v>88</v>
      </c>
      <c r="H334" s="60" t="str">
        <f>IFERROR(INDEX('Docketed Comments'!C:C,MATCH(A334,'Docketed Comments'!H:H,0))&amp;", "&amp;INDEX('Docketed Comments'!B:B,MATCH(A334,'Docketed Comments'!H:H,0)),"")</f>
        <v>Destiny, Nash</v>
      </c>
      <c r="I334" s="60" t="str">
        <f>IFERROR(INDEX('Docketed Comments'!D:D,MATCH(A334,'Docketed Comments'!H:H,0)),"")</f>
        <v>Chandler</v>
      </c>
      <c r="J334" s="60" t="str">
        <f>IFERROR(INDEX('Docketed Comments'!I:I,MATCH(A334,'Docketed Comments'!H:H,0)),"")</f>
        <v>R3-47</v>
      </c>
      <c r="K334" s="60" t="str">
        <f t="shared" si="11"/>
        <v>✅ On Best Plan</v>
      </c>
      <c r="L334" s="60" t="str">
        <f>IFERROR(INDEX('Docketed Comments'!F:F,MATCH(A334,'Docketed Comments'!H:H,0)),"")</f>
        <v>Opposed</v>
      </c>
      <c r="M334" s="120" t="str">
        <f>IFERROR(INDEX('Docketed Comments'!G:G,MATCH(A334,'Docketed Comments'!H:H,0)),"")</f>
        <v>https://images.edocket.azcc.gov/docketpdf/E000046155.pdf</v>
      </c>
      <c r="N334" s="118" t="str">
        <f>IFERROR(INDEX('Docketed Comments'!N:N,MATCH(A334,'Docketed Comments'!H:H,0)),"")</f>
        <v>No</v>
      </c>
      <c r="O334" s="118" t="str">
        <f>IFERROR(INDEX('Docketed Comments'!L:L,MATCH(A334,'Docketed Comments'!H:H,0)),"")</f>
        <v>Yes</v>
      </c>
      <c r="P334" s="119">
        <f t="shared" si="10"/>
        <v>0</v>
      </c>
      <c r="Q334" s="60"/>
      <c r="R334" s="64" t="s">
        <v>75</v>
      </c>
      <c r="S334" s="64" t="s">
        <v>778</v>
      </c>
    </row>
    <row r="335" spans="1:19" ht="21.95" hidden="1" customHeight="1">
      <c r="A335" s="66" t="s">
        <v>779</v>
      </c>
      <c r="B335" s="64" t="s">
        <v>20</v>
      </c>
      <c r="C335" s="65">
        <v>46067</v>
      </c>
      <c r="D335" s="64" t="s">
        <v>21</v>
      </c>
      <c r="E335" s="64" t="s">
        <v>22</v>
      </c>
      <c r="F335" s="60"/>
      <c r="G335" s="60"/>
      <c r="H335" s="60" t="str">
        <f>IFERROR(INDEX('Docketed Comments'!C:C,MATCH(A335,'Docketed Comments'!H:H,0))&amp;", "&amp;INDEX('Docketed Comments'!B:B,MATCH(A335,'Docketed Comments'!H:H,0)),"")</f>
        <v>Abby, Wilkymacky</v>
      </c>
      <c r="I335" s="60" t="str">
        <f>IFERROR(INDEX('Docketed Comments'!D:D,MATCH(A335,'Docketed Comments'!H:H,0)),"")</f>
        <v>Phoenix</v>
      </c>
      <c r="J335" s="60" t="str">
        <f>IFERROR(INDEX('Docketed Comments'!I:I,MATCH(A335,'Docketed Comments'!H:H,0)),"")</f>
        <v>RTOUE47</v>
      </c>
      <c r="K335" s="60" t="str">
        <f t="shared" si="11"/>
        <v>✅ On Best Plan</v>
      </c>
      <c r="L335" s="60" t="str">
        <f>IFERROR(INDEX('Docketed Comments'!F:F,MATCH(A335,'Docketed Comments'!H:H,0)),"")</f>
        <v>Opposed</v>
      </c>
      <c r="M335" s="120" t="str">
        <f>IFERROR(INDEX('Docketed Comments'!G:G,MATCH(A335,'Docketed Comments'!H:H,0)),"")</f>
        <v>https://images.edocket.azcc.gov/docketpdf/E000046155.pdf</v>
      </c>
      <c r="N335" s="118" t="str">
        <f>IFERROR(INDEX('Docketed Comments'!N:N,MATCH(A335,'Docketed Comments'!H:H,0)),"")</f>
        <v>No</v>
      </c>
      <c r="O335" s="118" t="str">
        <f>IFERROR(INDEX('Docketed Comments'!L:L,MATCH(A335,'Docketed Comments'!H:H,0)),"")</f>
        <v>Yes</v>
      </c>
      <c r="P335" s="119">
        <f t="shared" si="10"/>
        <v>0</v>
      </c>
      <c r="Q335" s="60" t="s">
        <v>23</v>
      </c>
      <c r="R335" s="64" t="s">
        <v>24</v>
      </c>
      <c r="S335" s="64" t="s">
        <v>780</v>
      </c>
    </row>
    <row r="336" spans="1:19" ht="21.95" hidden="1" customHeight="1">
      <c r="A336" s="66" t="s">
        <v>781</v>
      </c>
      <c r="B336" s="64" t="s">
        <v>20</v>
      </c>
      <c r="C336" s="65">
        <v>46067</v>
      </c>
      <c r="D336" s="64" t="s">
        <v>21</v>
      </c>
      <c r="E336" s="64" t="s">
        <v>22</v>
      </c>
      <c r="F336" s="60" t="s">
        <v>99</v>
      </c>
      <c r="G336" s="60"/>
      <c r="H336" s="60" t="str">
        <f>IFERROR(INDEX('Docketed Comments'!C:C,MATCH(A336,'Docketed Comments'!H:H,0))&amp;", "&amp;INDEX('Docketed Comments'!B:B,MATCH(A336,'Docketed Comments'!H:H,0)),"")</f>
        <v>David, Crosbie</v>
      </c>
      <c r="I336" s="60" t="str">
        <f>IFERROR(INDEX('Docketed Comments'!D:D,MATCH(A336,'Docketed Comments'!H:H,0)),"")</f>
        <v>Goodyear</v>
      </c>
      <c r="J336" s="60" t="str">
        <f>IFERROR(INDEX('Docketed Comments'!I:I,MATCH(A336,'Docketed Comments'!H:H,0)),"")</f>
        <v>RTOUE47</v>
      </c>
      <c r="K336" s="60" t="str">
        <f t="shared" si="11"/>
        <v>✅ On Best Plan</v>
      </c>
      <c r="L336" s="60" t="str">
        <f>IFERROR(INDEX('Docketed Comments'!F:F,MATCH(A336,'Docketed Comments'!H:H,0)),"")</f>
        <v>Opposed</v>
      </c>
      <c r="M336" s="120" t="str">
        <f>IFERROR(INDEX('Docketed Comments'!G:G,MATCH(A336,'Docketed Comments'!H:H,0)),"")</f>
        <v>https://images.edocket.azcc.gov/docketpdf/E000046155.pdf</v>
      </c>
      <c r="N336" s="118" t="str">
        <f>IFERROR(INDEX('Docketed Comments'!N:N,MATCH(A336,'Docketed Comments'!H:H,0)),"")</f>
        <v>No</v>
      </c>
      <c r="O336" s="118" t="str">
        <f>IFERROR(INDEX('Docketed Comments'!L:L,MATCH(A336,'Docketed Comments'!H:H,0)),"")</f>
        <v>Yes</v>
      </c>
      <c r="P336" s="119">
        <f t="shared" si="10"/>
        <v>0</v>
      </c>
      <c r="Q336" s="60" t="s">
        <v>23</v>
      </c>
      <c r="R336" s="64" t="s">
        <v>24</v>
      </c>
      <c r="S336" s="64" t="s">
        <v>782</v>
      </c>
    </row>
    <row r="337" spans="1:19" ht="21.95" customHeight="1">
      <c r="A337" s="66" t="s">
        <v>783</v>
      </c>
      <c r="B337" s="64"/>
      <c r="C337" s="65"/>
      <c r="D337" s="64"/>
      <c r="E337" s="64"/>
      <c r="F337" s="60"/>
      <c r="G337" s="60" t="s">
        <v>88</v>
      </c>
      <c r="H337" s="60" t="str">
        <f>IFERROR(INDEX('Docketed Comments'!C:C,MATCH(A337,'Docketed Comments'!H:H,0))&amp;", "&amp;INDEX('Docketed Comments'!B:B,MATCH(A337,'Docketed Comments'!H:H,0)),"")</f>
        <v>Bryan, Schmidt</v>
      </c>
      <c r="I337" s="60" t="str">
        <f>IFERROR(INDEX('Docketed Comments'!D:D,MATCH(A337,'Docketed Comments'!H:H,0)),"")</f>
        <v>Goodyear</v>
      </c>
      <c r="J337" s="60" t="str">
        <f>IFERROR(INDEX('Docketed Comments'!I:I,MATCH(A337,'Docketed Comments'!H:H,0)),"")</f>
        <v>R3-47</v>
      </c>
      <c r="K337" s="60" t="str">
        <f t="shared" si="11"/>
        <v>✅ On Best Plan</v>
      </c>
      <c r="L337" s="60" t="str">
        <f>IFERROR(INDEX('Docketed Comments'!F:F,MATCH(A337,'Docketed Comments'!H:H,0)),"")</f>
        <v>Opposed</v>
      </c>
      <c r="M337" s="120" t="str">
        <f>IFERROR(INDEX('Docketed Comments'!G:G,MATCH(A337,'Docketed Comments'!H:H,0)),"")</f>
        <v>https://images.edocket.azcc.gov/docketpdf/E000046155.pdf</v>
      </c>
      <c r="N337" s="118" t="str">
        <f>IFERROR(INDEX('Docketed Comments'!N:N,MATCH(A337,'Docketed Comments'!H:H,0)),"")</f>
        <v>No</v>
      </c>
      <c r="O337" s="118" t="str">
        <f>IFERROR(INDEX('Docketed Comments'!L:L,MATCH(A337,'Docketed Comments'!H:H,0)),"")</f>
        <v>Yes</v>
      </c>
      <c r="P337" s="119">
        <f t="shared" si="10"/>
        <v>0</v>
      </c>
      <c r="Q337" s="60"/>
      <c r="R337" s="64" t="s">
        <v>75</v>
      </c>
      <c r="S337" s="64" t="s">
        <v>784</v>
      </c>
    </row>
    <row r="338" spans="1:19" ht="21.95" hidden="1" customHeight="1">
      <c r="A338" s="66" t="s">
        <v>785</v>
      </c>
      <c r="B338" s="64" t="s">
        <v>20</v>
      </c>
      <c r="C338" s="65">
        <v>46067</v>
      </c>
      <c r="D338" s="64" t="s">
        <v>21</v>
      </c>
      <c r="E338" s="64" t="s">
        <v>22</v>
      </c>
      <c r="F338" s="60"/>
      <c r="G338" s="60"/>
      <c r="H338" s="60" t="str">
        <f>IFERROR(INDEX('Docketed Comments'!C:C,MATCH(A338,'Docketed Comments'!H:H,0))&amp;", "&amp;INDEX('Docketed Comments'!B:B,MATCH(A338,'Docketed Comments'!H:H,0)),"")</f>
        <v>Patrick, Bernardi</v>
      </c>
      <c r="I338" s="60" t="str">
        <f>IFERROR(INDEX('Docketed Comments'!D:D,MATCH(A338,'Docketed Comments'!H:H,0)),"")</f>
        <v xml:space="preserve">Prescott  </v>
      </c>
      <c r="J338" s="60" t="str">
        <f>IFERROR(INDEX('Docketed Comments'!I:I,MATCH(A338,'Docketed Comments'!H:H,0)),"")</f>
        <v>R-BASIC</v>
      </c>
      <c r="K338" s="60" t="str">
        <f t="shared" si="11"/>
        <v>✅ On Best Plan</v>
      </c>
      <c r="L338" s="60" t="str">
        <f>IFERROR(INDEX('Docketed Comments'!F:F,MATCH(A338,'Docketed Comments'!H:H,0)),"")</f>
        <v>Opposed</v>
      </c>
      <c r="M338" s="120" t="str">
        <f>IFERROR(INDEX('Docketed Comments'!G:G,MATCH(A338,'Docketed Comments'!H:H,0)),"")</f>
        <v>https://images.edocket.azcc.gov/docketpdf/E000046155.pdf</v>
      </c>
      <c r="N338" s="118" t="str">
        <f>IFERROR(INDEX('Docketed Comments'!N:N,MATCH(A338,'Docketed Comments'!H:H,0)),"")</f>
        <v>No</v>
      </c>
      <c r="O338" s="118" t="str">
        <f>IFERROR(INDEX('Docketed Comments'!L:L,MATCH(A338,'Docketed Comments'!H:H,0)),"")</f>
        <v>Yes</v>
      </c>
      <c r="P338" s="119">
        <f t="shared" si="10"/>
        <v>0</v>
      </c>
      <c r="Q338" s="60" t="s">
        <v>23</v>
      </c>
      <c r="R338" s="64" t="s">
        <v>24</v>
      </c>
      <c r="S338" s="64" t="s">
        <v>786</v>
      </c>
    </row>
    <row r="339" spans="1:19" ht="21.95" customHeight="1">
      <c r="A339" s="66" t="s">
        <v>787</v>
      </c>
      <c r="B339" s="64"/>
      <c r="C339" s="65"/>
      <c r="D339" s="64"/>
      <c r="E339" s="64"/>
      <c r="F339" s="60"/>
      <c r="G339" s="60" t="s">
        <v>88</v>
      </c>
      <c r="H339" s="60" t="str">
        <f>IFERROR(INDEX('Docketed Comments'!C:C,MATCH(A339,'Docketed Comments'!H:H,0))&amp;", "&amp;INDEX('Docketed Comments'!B:B,MATCH(A339,'Docketed Comments'!H:H,0)),"")</f>
        <v>Chelsea, Mangerie</v>
      </c>
      <c r="I339" s="60" t="str">
        <f>IFERROR(INDEX('Docketed Comments'!D:D,MATCH(A339,'Docketed Comments'!H:H,0)),"")</f>
        <v>Surprise</v>
      </c>
      <c r="J339" s="60" t="str">
        <f>IFERROR(INDEX('Docketed Comments'!I:I,MATCH(A339,'Docketed Comments'!H:H,0)),"")</f>
        <v>EPR-6w/ET-2</v>
      </c>
      <c r="K339" s="60" t="str">
        <f t="shared" si="11"/>
        <v>⚠ Frozen Rate</v>
      </c>
      <c r="L339" s="60" t="str">
        <f>IFERROR(INDEX('Docketed Comments'!F:F,MATCH(A339,'Docketed Comments'!H:H,0)),"")</f>
        <v>Opposed</v>
      </c>
      <c r="M339" s="120" t="str">
        <f>IFERROR(INDEX('Docketed Comments'!G:G,MATCH(A339,'Docketed Comments'!H:H,0)),"")</f>
        <v>https://images.edocket.azcc.gov/docketpdf/E000046155.pdf</v>
      </c>
      <c r="N339" s="118" t="str">
        <f>IFERROR(INDEX('Docketed Comments'!N:N,MATCH(A339,'Docketed Comments'!H:H,0)),"")</f>
        <v>No</v>
      </c>
      <c r="O339" s="118" t="str">
        <f>IFERROR(INDEX('Docketed Comments'!L:L,MATCH(A339,'Docketed Comments'!H:H,0)),"")</f>
        <v>Frozen Rate</v>
      </c>
      <c r="P339" s="119">
        <f t="shared" si="10"/>
        <v>0</v>
      </c>
      <c r="Q339" s="60"/>
      <c r="R339" s="64" t="s">
        <v>75</v>
      </c>
      <c r="S339" s="64" t="s">
        <v>788</v>
      </c>
    </row>
    <row r="340" spans="1:19" ht="21.95" customHeight="1">
      <c r="A340" s="66" t="s">
        <v>789</v>
      </c>
      <c r="B340" s="64"/>
      <c r="C340" s="65"/>
      <c r="D340" s="64"/>
      <c r="E340" s="64"/>
      <c r="F340" s="60"/>
      <c r="G340" s="60" t="s">
        <v>88</v>
      </c>
      <c r="H340" s="60" t="str">
        <f>IFERROR(INDEX('Docketed Comments'!C:C,MATCH(A340,'Docketed Comments'!H:H,0))&amp;", "&amp;INDEX('Docketed Comments'!B:B,MATCH(A340,'Docketed Comments'!H:H,0)),"")</f>
        <v>John, Strauss</v>
      </c>
      <c r="I340" s="60" t="str">
        <f>IFERROR(INDEX('Docketed Comments'!D:D,MATCH(A340,'Docketed Comments'!H:H,0)),"")</f>
        <v>Phoenix</v>
      </c>
      <c r="J340" s="60" t="str">
        <f>IFERROR(INDEX('Docketed Comments'!I:I,MATCH(A340,'Docketed Comments'!H:H,0)),"")</f>
        <v>R3-47</v>
      </c>
      <c r="K340" s="60" t="str">
        <f t="shared" si="11"/>
        <v>✅ On Best Plan</v>
      </c>
      <c r="L340" s="60" t="str">
        <f>IFERROR(INDEX('Docketed Comments'!F:F,MATCH(A340,'Docketed Comments'!H:H,0)),"")</f>
        <v>Form letter</v>
      </c>
      <c r="M340" s="120" t="str">
        <f>IFERROR(INDEX('Docketed Comments'!G:G,MATCH(A340,'Docketed Comments'!H:H,0)),"")</f>
        <v>https://images.edocket.azcc.gov/docketpdf/E000046155.pdf</v>
      </c>
      <c r="N340" s="118" t="str">
        <f>IFERROR(INDEX('Docketed Comments'!N:N,MATCH(A340,'Docketed Comments'!H:H,0)),"")</f>
        <v>No</v>
      </c>
      <c r="O340" s="118" t="str">
        <f>IFERROR(INDEX('Docketed Comments'!L:L,MATCH(A340,'Docketed Comments'!H:H,0)),"")</f>
        <v>Yes</v>
      </c>
      <c r="P340" s="119">
        <f t="shared" si="10"/>
        <v>0</v>
      </c>
      <c r="Q340" s="60"/>
      <c r="R340" s="64" t="s">
        <v>75</v>
      </c>
      <c r="S340" s="64" t="s">
        <v>790</v>
      </c>
    </row>
    <row r="341" spans="1:19" ht="21.95" hidden="1" customHeight="1">
      <c r="A341" s="66" t="s">
        <v>791</v>
      </c>
      <c r="B341" s="64" t="s">
        <v>20</v>
      </c>
      <c r="C341" s="65">
        <v>46067</v>
      </c>
      <c r="D341" s="64" t="s">
        <v>21</v>
      </c>
      <c r="E341" s="64" t="s">
        <v>22</v>
      </c>
      <c r="F341" s="60"/>
      <c r="G341" s="60"/>
      <c r="H341" s="60" t="str">
        <f>IFERROR(INDEX('Docketed Comments'!C:C,MATCH(A341,'Docketed Comments'!H:H,0))&amp;", "&amp;INDEX('Docketed Comments'!B:B,MATCH(A341,'Docketed Comments'!H:H,0)),"")</f>
        <v>Raymie, Bauman</v>
      </c>
      <c r="I341" s="60" t="str">
        <f>IFERROR(INDEX('Docketed Comments'!D:D,MATCH(A341,'Docketed Comments'!H:H,0)),"")</f>
        <v>Chino Valley</v>
      </c>
      <c r="J341" s="60" t="str">
        <f>IFERROR(INDEX('Docketed Comments'!I:I,MATCH(A341,'Docketed Comments'!H:H,0)),"")</f>
        <v xml:space="preserve">R-XS </v>
      </c>
      <c r="K341" s="60" t="str">
        <f t="shared" si="11"/>
        <v>✅ On Best Plan</v>
      </c>
      <c r="L341" s="60" t="str">
        <f>IFERROR(INDEX('Docketed Comments'!F:F,MATCH(A341,'Docketed Comments'!H:H,0)),"")</f>
        <v>Opposed</v>
      </c>
      <c r="M341" s="120" t="str">
        <f>IFERROR(INDEX('Docketed Comments'!G:G,MATCH(A341,'Docketed Comments'!H:H,0)),"")</f>
        <v>https://images.edocket.azcc.gov/docketpdf/E000046155.pdf</v>
      </c>
      <c r="N341" s="118" t="str">
        <f>IFERROR(INDEX('Docketed Comments'!N:N,MATCH(A341,'Docketed Comments'!H:H,0)),"")</f>
        <v>No</v>
      </c>
      <c r="O341" s="118" t="str">
        <f>IFERROR(INDEX('Docketed Comments'!L:L,MATCH(A341,'Docketed Comments'!H:H,0)),"")</f>
        <v>Yes</v>
      </c>
      <c r="P341" s="119">
        <f t="shared" si="10"/>
        <v>0</v>
      </c>
      <c r="Q341" s="60" t="s">
        <v>23</v>
      </c>
      <c r="R341" s="64" t="s">
        <v>24</v>
      </c>
      <c r="S341" s="64" t="s">
        <v>792</v>
      </c>
    </row>
    <row r="342" spans="1:19" ht="21.95" customHeight="1">
      <c r="A342" s="66" t="s">
        <v>793</v>
      </c>
      <c r="B342" s="64"/>
      <c r="C342" s="65"/>
      <c r="D342" s="64"/>
      <c r="E342" s="64"/>
      <c r="F342" s="60"/>
      <c r="G342" s="60" t="s">
        <v>88</v>
      </c>
      <c r="H342" s="60" t="str">
        <f>IFERROR(INDEX('Docketed Comments'!C:C,MATCH(A342,'Docketed Comments'!H:H,0))&amp;", "&amp;INDEX('Docketed Comments'!B:B,MATCH(A342,'Docketed Comments'!H:H,0)),"")</f>
        <v>Steven, Bradley</v>
      </c>
      <c r="I342" s="60" t="str">
        <f>IFERROR(INDEX('Docketed Comments'!D:D,MATCH(A342,'Docketed Comments'!H:H,0)),"")</f>
        <v>Surprise</v>
      </c>
      <c r="J342" s="60" t="str">
        <f>IFERROR(INDEX('Docketed Comments'!I:I,MATCH(A342,'Docketed Comments'!H:H,0)),"")</f>
        <v>R-BASIC</v>
      </c>
      <c r="K342" s="60" t="str">
        <f t="shared" si="11"/>
        <v>✅ On Best Plan</v>
      </c>
      <c r="L342" s="60" t="str">
        <f>IFERROR(INDEX('Docketed Comments'!F:F,MATCH(A342,'Docketed Comments'!H:H,0)),"")</f>
        <v>Form letter</v>
      </c>
      <c r="M342" s="120" t="str">
        <f>IFERROR(INDEX('Docketed Comments'!G:G,MATCH(A342,'Docketed Comments'!H:H,0)),"")</f>
        <v>https://images.edocket.azcc.gov/docketpdf/E000046155.pdf</v>
      </c>
      <c r="N342" s="118" t="str">
        <f>IFERROR(INDEX('Docketed Comments'!N:N,MATCH(A342,'Docketed Comments'!H:H,0)),"")</f>
        <v>No</v>
      </c>
      <c r="O342" s="118" t="str">
        <f>IFERROR(INDEX('Docketed Comments'!L:L,MATCH(A342,'Docketed Comments'!H:H,0)),"")</f>
        <v>Yes</v>
      </c>
      <c r="P342" s="119">
        <f t="shared" si="10"/>
        <v>0</v>
      </c>
      <c r="Q342" s="60"/>
      <c r="R342" s="64" t="s">
        <v>75</v>
      </c>
      <c r="S342" s="64" t="s">
        <v>794</v>
      </c>
    </row>
    <row r="343" spans="1:19" ht="21.95" customHeight="1">
      <c r="A343" s="66" t="s">
        <v>795</v>
      </c>
      <c r="B343" s="64"/>
      <c r="C343" s="65"/>
      <c r="D343" s="64"/>
      <c r="E343" s="64"/>
      <c r="F343" s="60"/>
      <c r="G343" s="60" t="s">
        <v>88</v>
      </c>
      <c r="H343" s="60" t="str">
        <f>IFERROR(INDEX('Docketed Comments'!C:C,MATCH(A343,'Docketed Comments'!H:H,0))&amp;", "&amp;INDEX('Docketed Comments'!B:B,MATCH(A343,'Docketed Comments'!H:H,0)),"")</f>
        <v>Catherine, Hale</v>
      </c>
      <c r="I343" s="60" t="str">
        <f>IFERROR(INDEX('Docketed Comments'!D:D,MATCH(A343,'Docketed Comments'!H:H,0)),"")</f>
        <v>Scottsdale</v>
      </c>
      <c r="J343" s="60" t="str">
        <f>IFERROR(INDEX('Docketed Comments'!I:I,MATCH(A343,'Docketed Comments'!H:H,0)),"")</f>
        <v>R3-47</v>
      </c>
      <c r="K343" s="60" t="str">
        <f t="shared" si="11"/>
        <v>✅ On Best Plan</v>
      </c>
      <c r="L343" s="60" t="str">
        <f>IFERROR(INDEX('Docketed Comments'!F:F,MATCH(A343,'Docketed Comments'!H:H,0)),"")</f>
        <v>Form letter</v>
      </c>
      <c r="M343" s="120" t="str">
        <f>IFERROR(INDEX('Docketed Comments'!G:G,MATCH(A343,'Docketed Comments'!H:H,0)),"")</f>
        <v>https://images.edocket.azcc.gov/docketpdf/E000046155.pdf</v>
      </c>
      <c r="N343" s="118" t="str">
        <f>IFERROR(INDEX('Docketed Comments'!N:N,MATCH(A343,'Docketed Comments'!H:H,0)),"")</f>
        <v>No</v>
      </c>
      <c r="O343" s="118" t="str">
        <f>IFERROR(INDEX('Docketed Comments'!L:L,MATCH(A343,'Docketed Comments'!H:H,0)),"")</f>
        <v>Yes</v>
      </c>
      <c r="P343" s="119">
        <f t="shared" si="10"/>
        <v>0</v>
      </c>
      <c r="Q343" s="60"/>
      <c r="R343" s="64" t="s">
        <v>75</v>
      </c>
      <c r="S343" s="64" t="s">
        <v>796</v>
      </c>
    </row>
    <row r="344" spans="1:19" ht="21.95" customHeight="1">
      <c r="A344" s="66" t="s">
        <v>797</v>
      </c>
      <c r="B344" s="64"/>
      <c r="C344" s="65"/>
      <c r="D344" s="64"/>
      <c r="E344" s="64"/>
      <c r="F344" s="60"/>
      <c r="G344" s="60" t="s">
        <v>88</v>
      </c>
      <c r="H344" s="60" t="str">
        <f>IFERROR(INDEX('Docketed Comments'!C:C,MATCH(A344,'Docketed Comments'!H:H,0))&amp;", "&amp;INDEX('Docketed Comments'!B:B,MATCH(A344,'Docketed Comments'!H:H,0)),"")</f>
        <v>Alexander, Lindsey</v>
      </c>
      <c r="I344" s="60" t="str">
        <f>IFERROR(INDEX('Docketed Comments'!D:D,MATCH(A344,'Docketed Comments'!H:H,0)),"")</f>
        <v>Scottsdale</v>
      </c>
      <c r="J344" s="60" t="str">
        <f>IFERROR(INDEX('Docketed Comments'!I:I,MATCH(A344,'Docketed Comments'!H:H,0)),"")</f>
        <v>R-BASIC</v>
      </c>
      <c r="K344" s="60" t="str">
        <f t="shared" si="11"/>
        <v>✅ On Best Plan</v>
      </c>
      <c r="L344" s="60" t="str">
        <f>IFERROR(INDEX('Docketed Comments'!F:F,MATCH(A344,'Docketed Comments'!H:H,0)),"")</f>
        <v>Form letter</v>
      </c>
      <c r="M344" s="120" t="str">
        <f>IFERROR(INDEX('Docketed Comments'!G:G,MATCH(A344,'Docketed Comments'!H:H,0)),"")</f>
        <v>https://images.edocket.azcc.gov/docketpdf/E000046155.pdf</v>
      </c>
      <c r="N344" s="118" t="str">
        <f>IFERROR(INDEX('Docketed Comments'!N:N,MATCH(A344,'Docketed Comments'!H:H,0)),"")</f>
        <v>No</v>
      </c>
      <c r="O344" s="118" t="str">
        <f>IFERROR(INDEX('Docketed Comments'!L:L,MATCH(A344,'Docketed Comments'!H:H,0)),"")</f>
        <v>Yes</v>
      </c>
      <c r="P344" s="119">
        <f t="shared" si="10"/>
        <v>0</v>
      </c>
      <c r="Q344" s="60"/>
      <c r="R344" s="64" t="s">
        <v>75</v>
      </c>
      <c r="S344" s="64" t="s">
        <v>798</v>
      </c>
    </row>
    <row r="345" spans="1:19" ht="21.95" hidden="1" customHeight="1">
      <c r="A345" s="66" t="s">
        <v>799</v>
      </c>
      <c r="B345" s="64" t="s">
        <v>20</v>
      </c>
      <c r="C345" s="65">
        <v>46067</v>
      </c>
      <c r="D345" s="64" t="s">
        <v>21</v>
      </c>
      <c r="E345" s="64" t="s">
        <v>22</v>
      </c>
      <c r="F345" s="60"/>
      <c r="G345" s="60"/>
      <c r="H345" s="60" t="str">
        <f>IFERROR(INDEX('Docketed Comments'!C:C,MATCH(A345,'Docketed Comments'!H:H,0))&amp;", "&amp;INDEX('Docketed Comments'!B:B,MATCH(A345,'Docketed Comments'!H:H,0)),"")</f>
        <v>Divya, Koduri</v>
      </c>
      <c r="I345" s="60" t="str">
        <f>IFERROR(INDEX('Docketed Comments'!D:D,MATCH(A345,'Docketed Comments'!H:H,0)),"")</f>
        <v>Scottsdale</v>
      </c>
      <c r="J345" s="60" t="str">
        <f>IFERROR(INDEX('Docketed Comments'!I:I,MATCH(A345,'Docketed Comments'!H:H,0)),"")</f>
        <v xml:space="preserve">R-XS </v>
      </c>
      <c r="K345" s="60" t="str">
        <f t="shared" si="11"/>
        <v>✅ On Best Plan</v>
      </c>
      <c r="L345" s="60" t="str">
        <f>IFERROR(INDEX('Docketed Comments'!F:F,MATCH(A345,'Docketed Comments'!H:H,0)),"")</f>
        <v>Form letter</v>
      </c>
      <c r="M345" s="120" t="str">
        <f>IFERROR(INDEX('Docketed Comments'!G:G,MATCH(A345,'Docketed Comments'!H:H,0)),"")</f>
        <v>https://images.edocket.azcc.gov/docketpdf/E000046155.pdf</v>
      </c>
      <c r="N345" s="118" t="str">
        <f>IFERROR(INDEX('Docketed Comments'!N:N,MATCH(A345,'Docketed Comments'!H:H,0)),"")</f>
        <v>No</v>
      </c>
      <c r="O345" s="118" t="str">
        <f>IFERROR(INDEX('Docketed Comments'!L:L,MATCH(A345,'Docketed Comments'!H:H,0)),"")</f>
        <v>Yes</v>
      </c>
      <c r="P345" s="119">
        <f t="shared" si="10"/>
        <v>0</v>
      </c>
      <c r="Q345" s="60" t="s">
        <v>23</v>
      </c>
      <c r="R345" s="64" t="s">
        <v>24</v>
      </c>
      <c r="S345" s="64" t="s">
        <v>800</v>
      </c>
    </row>
    <row r="346" spans="1:19" ht="21.95" customHeight="1">
      <c r="A346" s="66" t="s">
        <v>791</v>
      </c>
      <c r="B346" s="64"/>
      <c r="C346" s="65"/>
      <c r="D346" s="64"/>
      <c r="E346" s="64"/>
      <c r="F346" s="60"/>
      <c r="G346" s="60" t="s">
        <v>88</v>
      </c>
      <c r="H346" s="60" t="str">
        <f>IFERROR(INDEX('Docketed Comments'!C:C,MATCH(A346,'Docketed Comments'!H:H,0))&amp;", "&amp;INDEX('Docketed Comments'!B:B,MATCH(A346,'Docketed Comments'!H:H,0)),"")</f>
        <v>Raymie, Bauman</v>
      </c>
      <c r="I346" s="60" t="str">
        <f>IFERROR(INDEX('Docketed Comments'!D:D,MATCH(A346,'Docketed Comments'!H:H,0)),"")</f>
        <v>Chino Valley</v>
      </c>
      <c r="J346" s="60" t="str">
        <f>IFERROR(INDEX('Docketed Comments'!I:I,MATCH(A346,'Docketed Comments'!H:H,0)),"")</f>
        <v xml:space="preserve">R-XS </v>
      </c>
      <c r="K346" s="60" t="str">
        <f t="shared" si="11"/>
        <v>✅ On Best Plan</v>
      </c>
      <c r="L346" s="60" t="str">
        <f>IFERROR(INDEX('Docketed Comments'!F:F,MATCH(A346,'Docketed Comments'!H:H,0)),"")</f>
        <v>Opposed</v>
      </c>
      <c r="M346" s="120" t="str">
        <f>IFERROR(INDEX('Docketed Comments'!G:G,MATCH(A346,'Docketed Comments'!H:H,0)),"")</f>
        <v>https://images.edocket.azcc.gov/docketpdf/E000046155.pdf</v>
      </c>
      <c r="N346" s="118" t="str">
        <f>IFERROR(INDEX('Docketed Comments'!N:N,MATCH(A346,'Docketed Comments'!H:H,0)),"")</f>
        <v>No</v>
      </c>
      <c r="O346" s="118" t="str">
        <f>IFERROR(INDEX('Docketed Comments'!L:L,MATCH(A346,'Docketed Comments'!H:H,0)),"")</f>
        <v>Yes</v>
      </c>
      <c r="P346" s="119">
        <f t="shared" si="10"/>
        <v>0</v>
      </c>
      <c r="Q346" s="60"/>
      <c r="R346" s="64" t="s">
        <v>75</v>
      </c>
      <c r="S346" s="64" t="s">
        <v>801</v>
      </c>
    </row>
    <row r="347" spans="1:19" ht="21.95" hidden="1" customHeight="1">
      <c r="A347" s="66" t="s">
        <v>802</v>
      </c>
      <c r="B347" s="64" t="s">
        <v>20</v>
      </c>
      <c r="C347" s="65">
        <v>46067</v>
      </c>
      <c r="D347" s="64" t="s">
        <v>21</v>
      </c>
      <c r="E347" s="64" t="s">
        <v>22</v>
      </c>
      <c r="F347" s="60"/>
      <c r="G347" s="60"/>
      <c r="H347" s="60" t="str">
        <f>IFERROR(INDEX('Docketed Comments'!C:C,MATCH(A347,'Docketed Comments'!H:H,0))&amp;", "&amp;INDEX('Docketed Comments'!B:B,MATCH(A347,'Docketed Comments'!H:H,0)),"")</f>
        <v>Owen, Lyngaas</v>
      </c>
      <c r="I347" s="60" t="str">
        <f>IFERROR(INDEX('Docketed Comments'!D:D,MATCH(A347,'Docketed Comments'!H:H,0)),"")</f>
        <v>Scottsdale</v>
      </c>
      <c r="J347" s="60" t="str">
        <f>IFERROR(INDEX('Docketed Comments'!I:I,MATCH(A347,'Docketed Comments'!H:H,0)),"")</f>
        <v xml:space="preserve">R-XS </v>
      </c>
      <c r="K347" s="60" t="str">
        <f t="shared" si="11"/>
        <v>✅ On Best Plan</v>
      </c>
      <c r="L347" s="60" t="str">
        <f>IFERROR(INDEX('Docketed Comments'!F:F,MATCH(A347,'Docketed Comments'!H:H,0)),"")</f>
        <v>Form letter</v>
      </c>
      <c r="M347" s="120" t="str">
        <f>IFERROR(INDEX('Docketed Comments'!G:G,MATCH(A347,'Docketed Comments'!H:H,0)),"")</f>
        <v>https://images.edocket.azcc.gov/docketpdf/E000046155.pdf</v>
      </c>
      <c r="N347" s="118" t="str">
        <f>IFERROR(INDEX('Docketed Comments'!N:N,MATCH(A347,'Docketed Comments'!H:H,0)),"")</f>
        <v>No</v>
      </c>
      <c r="O347" s="118" t="str">
        <f>IFERROR(INDEX('Docketed Comments'!L:L,MATCH(A347,'Docketed Comments'!H:H,0)),"")</f>
        <v>Yes</v>
      </c>
      <c r="P347" s="119">
        <f t="shared" si="10"/>
        <v>0</v>
      </c>
      <c r="Q347" s="60" t="s">
        <v>23</v>
      </c>
      <c r="R347" s="64" t="s">
        <v>24</v>
      </c>
      <c r="S347" s="64" t="s">
        <v>803</v>
      </c>
    </row>
    <row r="348" spans="1:19" ht="21.95" customHeight="1">
      <c r="A348" s="66" t="s">
        <v>804</v>
      </c>
      <c r="B348" s="64"/>
      <c r="C348" s="65"/>
      <c r="D348" s="64"/>
      <c r="E348" s="64"/>
      <c r="F348" s="60"/>
      <c r="G348" s="60" t="s">
        <v>88</v>
      </c>
      <c r="H348" s="60" t="str">
        <f>IFERROR(INDEX('Docketed Comments'!C:C,MATCH(A348,'Docketed Comments'!H:H,0))&amp;", "&amp;INDEX('Docketed Comments'!B:B,MATCH(A348,'Docketed Comments'!H:H,0)),"")</f>
        <v>Colin, Peluso</v>
      </c>
      <c r="I348" s="60" t="str">
        <f>IFERROR(INDEX('Docketed Comments'!D:D,MATCH(A348,'Docketed Comments'!H:H,0)),"")</f>
        <v>Scottsdale</v>
      </c>
      <c r="J348" s="60" t="str">
        <f>IFERROR(INDEX('Docketed Comments'!I:I,MATCH(A348,'Docketed Comments'!H:H,0)),"")</f>
        <v>R3-47</v>
      </c>
      <c r="K348" s="60" t="str">
        <f t="shared" si="11"/>
        <v>✅ On Best Plan</v>
      </c>
      <c r="L348" s="60" t="str">
        <f>IFERROR(INDEX('Docketed Comments'!F:F,MATCH(A348,'Docketed Comments'!H:H,0)),"")</f>
        <v>Form letter</v>
      </c>
      <c r="M348" s="120" t="str">
        <f>IFERROR(INDEX('Docketed Comments'!G:G,MATCH(A348,'Docketed Comments'!H:H,0)),"")</f>
        <v>https://images.edocket.azcc.gov/docketpdf/E000046155.pdf</v>
      </c>
      <c r="N348" s="118" t="str">
        <f>IFERROR(INDEX('Docketed Comments'!N:N,MATCH(A348,'Docketed Comments'!H:H,0)),"")</f>
        <v>No</v>
      </c>
      <c r="O348" s="118" t="str">
        <f>IFERROR(INDEX('Docketed Comments'!L:L,MATCH(A348,'Docketed Comments'!H:H,0)),"")</f>
        <v>Yes</v>
      </c>
      <c r="P348" s="119">
        <f t="shared" si="10"/>
        <v>0</v>
      </c>
      <c r="Q348" s="60"/>
      <c r="R348" s="64" t="s">
        <v>75</v>
      </c>
      <c r="S348" s="64" t="s">
        <v>805</v>
      </c>
    </row>
    <row r="349" spans="1:19" ht="21.95" hidden="1" customHeight="1">
      <c r="A349" s="66" t="s">
        <v>806</v>
      </c>
      <c r="B349" s="64" t="s">
        <v>20</v>
      </c>
      <c r="C349" s="65">
        <v>46067</v>
      </c>
      <c r="D349" s="64" t="s">
        <v>21</v>
      </c>
      <c r="E349" s="64" t="s">
        <v>22</v>
      </c>
      <c r="F349" s="60" t="s">
        <v>99</v>
      </c>
      <c r="G349" s="60"/>
      <c r="H349" s="60" t="str">
        <f>IFERROR(INDEX('Docketed Comments'!C:C,MATCH(A349,'Docketed Comments'!H:H,0))&amp;", "&amp;INDEX('Docketed Comments'!B:B,MATCH(A349,'Docketed Comments'!H:H,0)),"")</f>
        <v>Todd, Scaminaci</v>
      </c>
      <c r="I349" s="60" t="str">
        <f>IFERROR(INDEX('Docketed Comments'!D:D,MATCH(A349,'Docketed Comments'!H:H,0)),"")</f>
        <v>Phoenix</v>
      </c>
      <c r="J349" s="60" t="str">
        <f>IFERROR(INDEX('Docketed Comments'!I:I,MATCH(A349,'Docketed Comments'!H:H,0)),"")</f>
        <v>EPR-6w/ET-2</v>
      </c>
      <c r="K349" s="60" t="str">
        <f t="shared" si="11"/>
        <v>⚠ Frozen Rate</v>
      </c>
      <c r="L349" s="60" t="str">
        <f>IFERROR(INDEX('Docketed Comments'!F:F,MATCH(A349,'Docketed Comments'!H:H,0)),"")</f>
        <v>Form letter</v>
      </c>
      <c r="M349" s="120" t="str">
        <f>IFERROR(INDEX('Docketed Comments'!G:G,MATCH(A349,'Docketed Comments'!H:H,0)),"")</f>
        <v>https://images.edocket.azcc.gov/docketpdf/E000046155.pdf</v>
      </c>
      <c r="N349" s="118" t="str">
        <f>IFERROR(INDEX('Docketed Comments'!N:N,MATCH(A349,'Docketed Comments'!H:H,0)),"")</f>
        <v>No</v>
      </c>
      <c r="O349" s="118" t="str">
        <f>IFERROR(INDEX('Docketed Comments'!L:L,MATCH(A349,'Docketed Comments'!H:H,0)),"")</f>
        <v>Frozen Rate</v>
      </c>
      <c r="P349" s="119">
        <f t="shared" si="10"/>
        <v>0</v>
      </c>
      <c r="Q349" s="60" t="s">
        <v>23</v>
      </c>
      <c r="R349" s="64" t="s">
        <v>24</v>
      </c>
      <c r="S349" s="64" t="s">
        <v>807</v>
      </c>
    </row>
    <row r="350" spans="1:19" ht="21.95" customHeight="1">
      <c r="A350" s="66" t="s">
        <v>808</v>
      </c>
      <c r="B350" s="64"/>
      <c r="C350" s="65"/>
      <c r="D350" s="64"/>
      <c r="E350" s="64"/>
      <c r="F350" s="60"/>
      <c r="G350" s="60" t="s">
        <v>88</v>
      </c>
      <c r="H350" s="60" t="str">
        <f>IFERROR(INDEX('Docketed Comments'!C:C,MATCH(A350,'Docketed Comments'!H:H,0))&amp;", "&amp;INDEX('Docketed Comments'!B:B,MATCH(A350,'Docketed Comments'!H:H,0)),"")</f>
        <v>Isaiah, Bailey</v>
      </c>
      <c r="I350" s="60" t="str">
        <f>IFERROR(INDEX('Docketed Comments'!D:D,MATCH(A350,'Docketed Comments'!H:H,0)),"")</f>
        <v>Phoenix</v>
      </c>
      <c r="J350" s="60" t="str">
        <f>IFERROR(INDEX('Docketed Comments'!I:I,MATCH(A350,'Docketed Comments'!H:H,0)),"")</f>
        <v>R3-47</v>
      </c>
      <c r="K350" s="60" t="str">
        <f t="shared" si="11"/>
        <v>✅ On Best Plan</v>
      </c>
      <c r="L350" s="60" t="str">
        <f>IFERROR(INDEX('Docketed Comments'!F:F,MATCH(A350,'Docketed Comments'!H:H,0)),"")</f>
        <v>Form letter</v>
      </c>
      <c r="M350" s="120" t="str">
        <f>IFERROR(INDEX('Docketed Comments'!G:G,MATCH(A350,'Docketed Comments'!H:H,0)),"")</f>
        <v>https://images.edocket.azcc.gov/docketpdf/E000046155.pdf</v>
      </c>
      <c r="N350" s="118" t="str">
        <f>IFERROR(INDEX('Docketed Comments'!N:N,MATCH(A350,'Docketed Comments'!H:H,0)),"")</f>
        <v>No</v>
      </c>
      <c r="O350" s="118" t="str">
        <f>IFERROR(INDEX('Docketed Comments'!L:L,MATCH(A350,'Docketed Comments'!H:H,0)),"")</f>
        <v>Yes</v>
      </c>
      <c r="P350" s="119">
        <f t="shared" si="10"/>
        <v>0</v>
      </c>
      <c r="Q350" s="60"/>
      <c r="R350" s="64" t="s">
        <v>75</v>
      </c>
      <c r="S350" s="64" t="s">
        <v>809</v>
      </c>
    </row>
    <row r="351" spans="1:19" ht="21.95" hidden="1" customHeight="1">
      <c r="A351" s="66" t="s">
        <v>810</v>
      </c>
      <c r="B351" s="64" t="s">
        <v>20</v>
      </c>
      <c r="C351" s="65">
        <v>46067</v>
      </c>
      <c r="D351" s="64" t="s">
        <v>27</v>
      </c>
      <c r="E351" s="64" t="s">
        <v>35</v>
      </c>
      <c r="F351" s="60"/>
      <c r="G351" s="60"/>
      <c r="H351" s="60" t="str">
        <f>IFERROR(INDEX('Docketed Comments'!C:C,MATCH(A351,'Docketed Comments'!H:H,0))&amp;", "&amp;INDEX('Docketed Comments'!B:B,MATCH(A351,'Docketed Comments'!H:H,0)),"")</f>
        <v>Andrew, Nadolski</v>
      </c>
      <c r="I351" s="60" t="str">
        <f>IFERROR(INDEX('Docketed Comments'!D:D,MATCH(A351,'Docketed Comments'!H:H,0)),"")</f>
        <v>Phoenix</v>
      </c>
      <c r="J351" s="60" t="str">
        <f>IFERROR(INDEX('Docketed Comments'!I:I,MATCH(A351,'Docketed Comments'!H:H,0)),"")</f>
        <v xml:space="preserve">R-XS </v>
      </c>
      <c r="K351" s="60" t="str">
        <f t="shared" si="11"/>
        <v>✅ On Best Plan</v>
      </c>
      <c r="L351" s="60" t="str">
        <f>IFERROR(INDEX('Docketed Comments'!F:F,MATCH(A351,'Docketed Comments'!H:H,0)),"")</f>
        <v>Form letter</v>
      </c>
      <c r="M351" s="120" t="str">
        <f>IFERROR(INDEX('Docketed Comments'!G:G,MATCH(A351,'Docketed Comments'!H:H,0)),"")</f>
        <v>https://images.edocket.azcc.gov/docketpdf/E000046155.pdf</v>
      </c>
      <c r="N351" s="118" t="str">
        <f>IFERROR(INDEX('Docketed Comments'!N:N,MATCH(A351,'Docketed Comments'!H:H,0)),"")</f>
        <v>No</v>
      </c>
      <c r="O351" s="118" t="str">
        <f>IFERROR(INDEX('Docketed Comments'!L:L,MATCH(A351,'Docketed Comments'!H:H,0)),"")</f>
        <v>Yes</v>
      </c>
      <c r="P351" s="119">
        <f t="shared" si="10"/>
        <v>0</v>
      </c>
      <c r="Q351" s="60" t="s">
        <v>23</v>
      </c>
      <c r="R351" s="64" t="s">
        <v>24</v>
      </c>
      <c r="S351" s="64" t="s">
        <v>811</v>
      </c>
    </row>
    <row r="352" spans="1:19" ht="21.95" customHeight="1">
      <c r="A352" s="66" t="s">
        <v>812</v>
      </c>
      <c r="B352" s="64"/>
      <c r="C352" s="65"/>
      <c r="D352" s="64"/>
      <c r="E352" s="64"/>
      <c r="F352" s="60"/>
      <c r="G352" s="60" t="s">
        <v>88</v>
      </c>
      <c r="H352" s="60" t="str">
        <f>IFERROR(INDEX('Docketed Comments'!C:C,MATCH(A352,'Docketed Comments'!H:H,0))&amp;", "&amp;INDEX('Docketed Comments'!B:B,MATCH(A352,'Docketed Comments'!H:H,0)),"")</f>
        <v>Daniel , Vargo</v>
      </c>
      <c r="I352" s="60" t="str">
        <f>IFERROR(INDEX('Docketed Comments'!D:D,MATCH(A352,'Docketed Comments'!H:H,0)),"")</f>
        <v>Phoenix</v>
      </c>
      <c r="J352" s="60" t="str">
        <f>IFERROR(INDEX('Docketed Comments'!I:I,MATCH(A352,'Docketed Comments'!H:H,0)),"")</f>
        <v>R3-47</v>
      </c>
      <c r="K352" s="60" t="str">
        <f t="shared" si="11"/>
        <v>✅ On Best Plan</v>
      </c>
      <c r="L352" s="60" t="str">
        <f>IFERROR(INDEX('Docketed Comments'!F:F,MATCH(A352,'Docketed Comments'!H:H,0)),"")</f>
        <v>Opposed</v>
      </c>
      <c r="M352" s="120" t="str">
        <f>IFERROR(INDEX('Docketed Comments'!G:G,MATCH(A352,'Docketed Comments'!H:H,0)),"")</f>
        <v>https://images.edocket.azcc.gov/docketpdf/E000046155.pdf</v>
      </c>
      <c r="N352" s="118" t="str">
        <f>IFERROR(INDEX('Docketed Comments'!N:N,MATCH(A352,'Docketed Comments'!H:H,0)),"")</f>
        <v>No</v>
      </c>
      <c r="O352" s="118" t="str">
        <f>IFERROR(INDEX('Docketed Comments'!L:L,MATCH(A352,'Docketed Comments'!H:H,0)),"")</f>
        <v>Yes</v>
      </c>
      <c r="P352" s="119">
        <f t="shared" si="10"/>
        <v>0</v>
      </c>
      <c r="Q352" s="60"/>
      <c r="R352" s="64" t="s">
        <v>75</v>
      </c>
      <c r="S352" s="64" t="s">
        <v>813</v>
      </c>
    </row>
    <row r="353" spans="1:19" ht="21.95" customHeight="1">
      <c r="A353" s="66" t="s">
        <v>814</v>
      </c>
      <c r="B353" s="64"/>
      <c r="C353" s="65"/>
      <c r="D353" s="64"/>
      <c r="E353" s="64"/>
      <c r="F353" s="60"/>
      <c r="G353" s="60" t="s">
        <v>88</v>
      </c>
      <c r="H353" s="60" t="str">
        <f>IFERROR(INDEX('Docketed Comments'!C:C,MATCH(A353,'Docketed Comments'!H:H,0))&amp;", "&amp;INDEX('Docketed Comments'!B:B,MATCH(A353,'Docketed Comments'!H:H,0)),"")</f>
        <v>Marcella, Nicosia</v>
      </c>
      <c r="I353" s="60" t="str">
        <f>IFERROR(INDEX('Docketed Comments'!D:D,MATCH(A353,'Docketed Comments'!H:H,0)),"")</f>
        <v>Phoenix</v>
      </c>
      <c r="J353" s="60" t="str">
        <f>IFERROR(INDEX('Docketed Comments'!I:I,MATCH(A353,'Docketed Comments'!H:H,0)),"")</f>
        <v>R-BASIC</v>
      </c>
      <c r="K353" s="60" t="str">
        <f t="shared" si="11"/>
        <v>✅ On Best Plan</v>
      </c>
      <c r="L353" s="60" t="str">
        <f>IFERROR(INDEX('Docketed Comments'!F:F,MATCH(A353,'Docketed Comments'!H:H,0)),"")</f>
        <v>Form letter</v>
      </c>
      <c r="M353" s="120" t="str">
        <f>IFERROR(INDEX('Docketed Comments'!G:G,MATCH(A353,'Docketed Comments'!H:H,0)),"")</f>
        <v>https://images.edocket.azcc.gov/docketpdf/E000046155.pdf</v>
      </c>
      <c r="N353" s="118" t="str">
        <f>IFERROR(INDEX('Docketed Comments'!N:N,MATCH(A353,'Docketed Comments'!H:H,0)),"")</f>
        <v>No</v>
      </c>
      <c r="O353" s="118" t="str">
        <f>IFERROR(INDEX('Docketed Comments'!L:L,MATCH(A353,'Docketed Comments'!H:H,0)),"")</f>
        <v>Yes</v>
      </c>
      <c r="P353" s="119">
        <f t="shared" si="10"/>
        <v>0</v>
      </c>
      <c r="Q353" s="60"/>
      <c r="R353" s="64" t="s">
        <v>75</v>
      </c>
      <c r="S353" s="64" t="s">
        <v>815</v>
      </c>
    </row>
    <row r="354" spans="1:19" ht="21.95" hidden="1" customHeight="1">
      <c r="A354" s="66" t="s">
        <v>816</v>
      </c>
      <c r="B354" s="64" t="s">
        <v>20</v>
      </c>
      <c r="C354" s="65">
        <v>46067</v>
      </c>
      <c r="D354" s="64" t="s">
        <v>27</v>
      </c>
      <c r="E354" s="64" t="s">
        <v>35</v>
      </c>
      <c r="F354" s="60"/>
      <c r="G354" s="60"/>
      <c r="H354" s="60" t="str">
        <f>IFERROR(INDEX('Docketed Comments'!C:C,MATCH(A354,'Docketed Comments'!H:H,0))&amp;", "&amp;INDEX('Docketed Comments'!B:B,MATCH(A354,'Docketed Comments'!H:H,0)),"")</f>
        <v>Sandy, Assaraf</v>
      </c>
      <c r="I354" s="60" t="str">
        <f>IFERROR(INDEX('Docketed Comments'!D:D,MATCH(A354,'Docketed Comments'!H:H,0)),"")</f>
        <v>Unknown</v>
      </c>
      <c r="J354" s="60" t="str">
        <f>IFERROR(INDEX('Docketed Comments'!I:I,MATCH(A354,'Docketed Comments'!H:H,0)),"")</f>
        <v>R-BASIC</v>
      </c>
      <c r="K354" s="60" t="str">
        <f t="shared" si="11"/>
        <v>✅ On Best Plan</v>
      </c>
      <c r="L354" s="60" t="str">
        <f>IFERROR(INDEX('Docketed Comments'!F:F,MATCH(A354,'Docketed Comments'!H:H,0)),"")</f>
        <v>Opposed</v>
      </c>
      <c r="M354" s="120" t="str">
        <f>IFERROR(INDEX('Docketed Comments'!G:G,MATCH(A354,'Docketed Comments'!H:H,0)),"")</f>
        <v>https://images.edocket.azcc.gov/docketpdf/E000046155.pdf</v>
      </c>
      <c r="N354" s="118" t="str">
        <f>IFERROR(INDEX('Docketed Comments'!N:N,MATCH(A354,'Docketed Comments'!H:H,0)),"")</f>
        <v>No</v>
      </c>
      <c r="O354" s="118" t="str">
        <f>IFERROR(INDEX('Docketed Comments'!L:L,MATCH(A354,'Docketed Comments'!H:H,0)),"")</f>
        <v>Yes</v>
      </c>
      <c r="P354" s="119">
        <f t="shared" si="10"/>
        <v>0</v>
      </c>
      <c r="Q354" s="60" t="s">
        <v>23</v>
      </c>
      <c r="R354" s="64" t="s">
        <v>24</v>
      </c>
      <c r="S354" s="64" t="s">
        <v>817</v>
      </c>
    </row>
    <row r="355" spans="1:19" ht="21.95" hidden="1" customHeight="1">
      <c r="A355" s="66" t="s">
        <v>818</v>
      </c>
      <c r="B355" s="64" t="s">
        <v>20</v>
      </c>
      <c r="C355" s="65">
        <v>46067</v>
      </c>
      <c r="D355" s="64" t="s">
        <v>21</v>
      </c>
      <c r="E355" s="64" t="s">
        <v>22</v>
      </c>
      <c r="F355" s="60" t="s">
        <v>99</v>
      </c>
      <c r="G355" s="60"/>
      <c r="H355" s="60" t="str">
        <f>IFERROR(INDEX('Docketed Comments'!C:C,MATCH(A355,'Docketed Comments'!H:H,0))&amp;", "&amp;INDEX('Docketed Comments'!B:B,MATCH(A355,'Docketed Comments'!H:H,0)),"")</f>
        <v>Jacob, Esho</v>
      </c>
      <c r="I355" s="60" t="str">
        <f>IFERROR(INDEX('Docketed Comments'!D:D,MATCH(A355,'Docketed Comments'!H:H,0)),"")</f>
        <v>Unknown</v>
      </c>
      <c r="J355" s="60" t="str">
        <f>IFERROR(INDEX('Docketed Comments'!I:I,MATCH(A355,'Docketed Comments'!H:H,0)),"")</f>
        <v>R3-47</v>
      </c>
      <c r="K355" s="60" t="str">
        <f t="shared" si="11"/>
        <v>✅ On Best Plan</v>
      </c>
      <c r="L355" s="60" t="str">
        <f>IFERROR(INDEX('Docketed Comments'!F:F,MATCH(A355,'Docketed Comments'!H:H,0)),"")</f>
        <v>Opposed</v>
      </c>
      <c r="M355" s="120" t="str">
        <f>IFERROR(INDEX('Docketed Comments'!G:G,MATCH(A355,'Docketed Comments'!H:H,0)),"")</f>
        <v>https://images.edocket.azcc.gov/docketpdf/0000215113.pdf</v>
      </c>
      <c r="N355" s="118" t="str">
        <f>IFERROR(INDEX('Docketed Comments'!N:N,MATCH(A355,'Docketed Comments'!H:H,0)),"")</f>
        <v>No</v>
      </c>
      <c r="O355" s="118" t="str">
        <f>IFERROR(INDEX('Docketed Comments'!L:L,MATCH(A355,'Docketed Comments'!H:H,0)),"")</f>
        <v>Yes</v>
      </c>
      <c r="P355" s="119">
        <f t="shared" si="10"/>
        <v>0</v>
      </c>
      <c r="Q355" s="60" t="s">
        <v>23</v>
      </c>
      <c r="R355" s="64" t="s">
        <v>24</v>
      </c>
      <c r="S355" s="64" t="s">
        <v>819</v>
      </c>
    </row>
    <row r="356" spans="1:19" ht="21.95" customHeight="1">
      <c r="A356" s="66" t="s">
        <v>820</v>
      </c>
      <c r="B356" s="64"/>
      <c r="C356" s="65"/>
      <c r="D356" s="64"/>
      <c r="E356" s="64"/>
      <c r="F356" s="60"/>
      <c r="G356" s="60" t="s">
        <v>88</v>
      </c>
      <c r="H356" s="60" t="str">
        <f>IFERROR(INDEX('Docketed Comments'!C:C,MATCH(A356,'Docketed Comments'!H:H,0))&amp;", "&amp;INDEX('Docketed Comments'!B:B,MATCH(A356,'Docketed Comments'!H:H,0)),"")</f>
        <v>Ken, Shuck</v>
      </c>
      <c r="I356" s="60" t="str">
        <f>IFERROR(INDEX('Docketed Comments'!D:D,MATCH(A356,'Docketed Comments'!H:H,0)),"")</f>
        <v>Flagstaff</v>
      </c>
      <c r="J356" s="60" t="str">
        <f>IFERROR(INDEX('Docketed Comments'!I:I,MATCH(A356,'Docketed Comments'!H:H,0)),"")</f>
        <v>R-XS</v>
      </c>
      <c r="K356" s="60" t="str">
        <f t="shared" si="11"/>
        <v>✅ On Best Plan</v>
      </c>
      <c r="L356" s="60" t="str">
        <f>IFERROR(INDEX('Docketed Comments'!F:F,MATCH(A356,'Docketed Comments'!H:H,0)),"")</f>
        <v>Would be a hardship</v>
      </c>
      <c r="M356" s="120" t="str">
        <f>IFERROR(INDEX('Docketed Comments'!G:G,MATCH(A356,'Docketed Comments'!H:H,0)),"")</f>
        <v>https://images.edocket.azcc.gov/docketpdf/E000046190.pdf</v>
      </c>
      <c r="N356" s="118" t="str">
        <f>IFERROR(INDEX('Docketed Comments'!N:N,MATCH(A356,'Docketed Comments'!H:H,0)),"")</f>
        <v>No</v>
      </c>
      <c r="O356" s="118" t="str">
        <f>IFERROR(INDEX('Docketed Comments'!L:L,MATCH(A356,'Docketed Comments'!H:H,0)),"")</f>
        <v>Yes</v>
      </c>
      <c r="P356" s="119">
        <f t="shared" si="10"/>
        <v>0</v>
      </c>
      <c r="Q356" s="60"/>
      <c r="R356" s="64" t="s">
        <v>75</v>
      </c>
      <c r="S356" s="64" t="s">
        <v>821</v>
      </c>
    </row>
    <row r="357" spans="1:19" ht="21.95" customHeight="1">
      <c r="A357" s="66" t="s">
        <v>822</v>
      </c>
      <c r="B357" s="64"/>
      <c r="C357" s="65"/>
      <c r="D357" s="64"/>
      <c r="E357" s="64"/>
      <c r="F357" s="60"/>
      <c r="G357" s="60" t="s">
        <v>88</v>
      </c>
      <c r="H357" s="60" t="str">
        <f>IFERROR(INDEX('Docketed Comments'!C:C,MATCH(A357,'Docketed Comments'!H:H,0))&amp;", "&amp;INDEX('Docketed Comments'!B:B,MATCH(A357,'Docketed Comments'!H:H,0)),"")</f>
        <v>Destiny, Hampton</v>
      </c>
      <c r="I357" s="60" t="str">
        <f>IFERROR(INDEX('Docketed Comments'!D:D,MATCH(A357,'Docketed Comments'!H:H,0)),"")</f>
        <v>Phoenix</v>
      </c>
      <c r="J357" s="60" t="str">
        <f>IFERROR(INDEX('Docketed Comments'!I:I,MATCH(A357,'Docketed Comments'!H:H,0)),"")</f>
        <v>R-BASIC</v>
      </c>
      <c r="K357" s="60" t="str">
        <f t="shared" si="11"/>
        <v>✅ On Best Plan</v>
      </c>
      <c r="L357" s="60" t="str">
        <f>IFERROR(INDEX('Docketed Comments'!F:F,MATCH(A357,'Docketed Comments'!H:H,0)),"")</f>
        <v>Form letter</v>
      </c>
      <c r="M357" s="120" t="str">
        <f>IFERROR(INDEX('Docketed Comments'!G:G,MATCH(A357,'Docketed Comments'!H:H,0)),"")</f>
        <v>https://images.edocket.azcc.gov/docketpdf/E000046190.pdf</v>
      </c>
      <c r="N357" s="118" t="str">
        <f>IFERROR(INDEX('Docketed Comments'!N:N,MATCH(A357,'Docketed Comments'!H:H,0)),"")</f>
        <v>No</v>
      </c>
      <c r="O357" s="118" t="str">
        <f>IFERROR(INDEX('Docketed Comments'!L:L,MATCH(A357,'Docketed Comments'!H:H,0)),"")</f>
        <v>Yes</v>
      </c>
      <c r="P357" s="119">
        <f t="shared" si="10"/>
        <v>0</v>
      </c>
      <c r="Q357" s="60"/>
      <c r="R357" s="64" t="s">
        <v>75</v>
      </c>
      <c r="S357" s="64" t="s">
        <v>823</v>
      </c>
    </row>
    <row r="358" spans="1:19" ht="21.95" customHeight="1">
      <c r="A358" s="66" t="s">
        <v>824</v>
      </c>
      <c r="B358" s="64"/>
      <c r="C358" s="65"/>
      <c r="D358" s="64"/>
      <c r="E358" s="64"/>
      <c r="F358" s="60"/>
      <c r="G358" s="60" t="s">
        <v>88</v>
      </c>
      <c r="H358" s="60" t="str">
        <f>IFERROR(INDEX('Docketed Comments'!C:C,MATCH(A358,'Docketed Comments'!H:H,0))&amp;", "&amp;INDEX('Docketed Comments'!B:B,MATCH(A358,'Docketed Comments'!H:H,0)),"")</f>
        <v>Ramon, Soledad</v>
      </c>
      <c r="I358" s="60" t="str">
        <f>IFERROR(INDEX('Docketed Comments'!D:D,MATCH(A358,'Docketed Comments'!H:H,0)),"")</f>
        <v>Avondale</v>
      </c>
      <c r="J358" s="60" t="str">
        <f>IFERROR(INDEX('Docketed Comments'!I:I,MATCH(A358,'Docketed Comments'!H:H,0)),"")</f>
        <v>R3-47</v>
      </c>
      <c r="K358" s="60" t="str">
        <f t="shared" si="11"/>
        <v>✅ On Best Plan</v>
      </c>
      <c r="L358" s="60" t="str">
        <f>IFERROR(INDEX('Docketed Comments'!F:F,MATCH(A358,'Docketed Comments'!H:H,0)),"")</f>
        <v>Opposed</v>
      </c>
      <c r="M358" s="120" t="str">
        <f>IFERROR(INDEX('Docketed Comments'!G:G,MATCH(A358,'Docketed Comments'!H:H,0)),"")</f>
        <v>https://images.edocket.azcc.gov/docketpdf/E000046190.pdf</v>
      </c>
      <c r="N358" s="118" t="str">
        <f>IFERROR(INDEX('Docketed Comments'!N:N,MATCH(A358,'Docketed Comments'!H:H,0)),"")</f>
        <v>No</v>
      </c>
      <c r="O358" s="118" t="str">
        <f>IFERROR(INDEX('Docketed Comments'!L:L,MATCH(A358,'Docketed Comments'!H:H,0)),"")</f>
        <v>Yes</v>
      </c>
      <c r="P358" s="119">
        <f t="shared" si="10"/>
        <v>0</v>
      </c>
      <c r="Q358" s="60"/>
      <c r="R358" s="64" t="s">
        <v>75</v>
      </c>
      <c r="S358" s="64" t="s">
        <v>825</v>
      </c>
    </row>
    <row r="359" spans="1:19" ht="21.95" hidden="1" customHeight="1">
      <c r="A359" s="66" t="s">
        <v>826</v>
      </c>
      <c r="B359" s="64" t="s">
        <v>20</v>
      </c>
      <c r="C359" s="65">
        <v>46067</v>
      </c>
      <c r="D359" s="64" t="s">
        <v>21</v>
      </c>
      <c r="E359" s="64" t="s">
        <v>22</v>
      </c>
      <c r="F359" s="60" t="s">
        <v>99</v>
      </c>
      <c r="G359" s="60"/>
      <c r="H359" s="60" t="str">
        <f>IFERROR(INDEX('Docketed Comments'!C:C,MATCH(A359,'Docketed Comments'!H:H,0))&amp;", "&amp;INDEX('Docketed Comments'!B:B,MATCH(A359,'Docketed Comments'!H:H,0)),"")</f>
        <v>Adam, Simpson</v>
      </c>
      <c r="I359" s="60" t="str">
        <f>IFERROR(INDEX('Docketed Comments'!D:D,MATCH(A359,'Docketed Comments'!H:H,0)),"")</f>
        <v>Glendale</v>
      </c>
      <c r="J359" s="60" t="str">
        <f>IFERROR(INDEX('Docketed Comments'!I:I,MATCH(A359,'Docketed Comments'!H:H,0)),"")</f>
        <v>RTOUE47</v>
      </c>
      <c r="K359" s="60" t="str">
        <f t="shared" si="11"/>
        <v>✅ On Best Plan</v>
      </c>
      <c r="L359" s="60" t="str">
        <f>IFERROR(INDEX('Docketed Comments'!F:F,MATCH(A359,'Docketed Comments'!H:H,0)),"")</f>
        <v>Form letter</v>
      </c>
      <c r="M359" s="120" t="str">
        <f>IFERROR(INDEX('Docketed Comments'!G:G,MATCH(A359,'Docketed Comments'!H:H,0)),"")</f>
        <v>https://images.edocket.azcc.gov/docketpdf/E000046190.pdf</v>
      </c>
      <c r="N359" s="118" t="str">
        <f>IFERROR(INDEX('Docketed Comments'!N:N,MATCH(A359,'Docketed Comments'!H:H,0)),"")</f>
        <v>No</v>
      </c>
      <c r="O359" s="118" t="str">
        <f>IFERROR(INDEX('Docketed Comments'!L:L,MATCH(A359,'Docketed Comments'!H:H,0)),"")</f>
        <v>Yes</v>
      </c>
      <c r="P359" s="119">
        <f t="shared" si="10"/>
        <v>0</v>
      </c>
      <c r="Q359" s="60" t="s">
        <v>23</v>
      </c>
      <c r="R359" s="64" t="s">
        <v>24</v>
      </c>
      <c r="S359" s="64" t="s">
        <v>827</v>
      </c>
    </row>
    <row r="360" spans="1:19" ht="21.95" customHeight="1">
      <c r="A360" s="66" t="s">
        <v>828</v>
      </c>
      <c r="B360" s="64"/>
      <c r="C360" s="65"/>
      <c r="D360" s="64"/>
      <c r="E360" s="64"/>
      <c r="F360" s="60"/>
      <c r="G360" s="60" t="s">
        <v>88</v>
      </c>
      <c r="H360" s="60" t="str">
        <f>IFERROR(INDEX('Docketed Comments'!C:C,MATCH(A360,'Docketed Comments'!H:H,0))&amp;", "&amp;INDEX('Docketed Comments'!B:B,MATCH(A360,'Docketed Comments'!H:H,0)),"")</f>
        <v>Michaela, Marr</v>
      </c>
      <c r="I360" s="60" t="str">
        <f>IFERROR(INDEX('Docketed Comments'!D:D,MATCH(A360,'Docketed Comments'!H:H,0)),"")</f>
        <v>Goodyear</v>
      </c>
      <c r="J360" s="60" t="str">
        <f>IFERROR(INDEX('Docketed Comments'!I:I,MATCH(A360,'Docketed Comments'!H:H,0)),"")</f>
        <v>R3-47</v>
      </c>
      <c r="K360" s="60" t="str">
        <f t="shared" si="11"/>
        <v>✅ On Best Plan</v>
      </c>
      <c r="L360" s="60" t="str">
        <f>IFERROR(INDEX('Docketed Comments'!F:F,MATCH(A360,'Docketed Comments'!H:H,0)),"")</f>
        <v>Opposed</v>
      </c>
      <c r="M360" s="120" t="str">
        <f>IFERROR(INDEX('Docketed Comments'!G:G,MATCH(A360,'Docketed Comments'!H:H,0)),"")</f>
        <v>https://images.edocket.azcc.gov/docketpdf/E000046190.pdf</v>
      </c>
      <c r="N360" s="118" t="str">
        <f>IFERROR(INDEX('Docketed Comments'!N:N,MATCH(A360,'Docketed Comments'!H:H,0)),"")</f>
        <v>No</v>
      </c>
      <c r="O360" s="118" t="str">
        <f>IFERROR(INDEX('Docketed Comments'!L:L,MATCH(A360,'Docketed Comments'!H:H,0)),"")</f>
        <v>Yes</v>
      </c>
      <c r="P360" s="119">
        <f t="shared" si="10"/>
        <v>0</v>
      </c>
      <c r="Q360" s="60"/>
      <c r="R360" s="64" t="s">
        <v>75</v>
      </c>
      <c r="S360" s="64" t="s">
        <v>829</v>
      </c>
    </row>
    <row r="361" spans="1:19" ht="21.95" hidden="1" customHeight="1">
      <c r="A361" s="66" t="s">
        <v>830</v>
      </c>
      <c r="B361" s="64" t="s">
        <v>20</v>
      </c>
      <c r="C361" s="65">
        <v>46067</v>
      </c>
      <c r="D361" s="64" t="s">
        <v>27</v>
      </c>
      <c r="E361" s="64" t="s">
        <v>22</v>
      </c>
      <c r="F361" s="60" t="s">
        <v>99</v>
      </c>
      <c r="G361" s="60"/>
      <c r="H361" s="60" t="str">
        <f>IFERROR(INDEX('Docketed Comments'!C:C,MATCH(A361,'Docketed Comments'!H:H,0))&amp;", "&amp;INDEX('Docketed Comments'!B:B,MATCH(A361,'Docketed Comments'!H:H,0)),"")</f>
        <v>Geoffrey, Hatch</v>
      </c>
      <c r="I361" s="60" t="str">
        <f>IFERROR(INDEX('Docketed Comments'!D:D,MATCH(A361,'Docketed Comments'!H:H,0)),"")</f>
        <v>Avondale</v>
      </c>
      <c r="J361" s="60" t="str">
        <f>IFERROR(INDEX('Docketed Comments'!I:I,MATCH(A361,'Docketed Comments'!H:H,0)),"")</f>
        <v>EPR-6w/ET-2</v>
      </c>
      <c r="K361" s="60" t="str">
        <f t="shared" si="11"/>
        <v>⚠ Frozen Rate</v>
      </c>
      <c r="L361" s="60" t="str">
        <f>IFERROR(INDEX('Docketed Comments'!F:F,MATCH(A361,'Docketed Comments'!H:H,0)),"")</f>
        <v>Opposed</v>
      </c>
      <c r="M361" s="120" t="str">
        <f>IFERROR(INDEX('Docketed Comments'!G:G,MATCH(A361,'Docketed Comments'!H:H,0)),"")</f>
        <v>https://images.edocket.azcc.gov/docketpdf/E000046190.pdf</v>
      </c>
      <c r="N361" s="118" t="str">
        <f>IFERROR(INDEX('Docketed Comments'!N:N,MATCH(A361,'Docketed Comments'!H:H,0)),"")</f>
        <v>No</v>
      </c>
      <c r="O361" s="118" t="str">
        <f>IFERROR(INDEX('Docketed Comments'!L:L,MATCH(A361,'Docketed Comments'!H:H,0)),"")</f>
        <v>Frozen Rate</v>
      </c>
      <c r="P361" s="119">
        <f t="shared" si="10"/>
        <v>0</v>
      </c>
      <c r="Q361" s="60" t="s">
        <v>23</v>
      </c>
      <c r="R361" s="64" t="s">
        <v>24</v>
      </c>
      <c r="S361" s="64" t="s">
        <v>831</v>
      </c>
    </row>
    <row r="362" spans="1:19" ht="21.95" customHeight="1">
      <c r="A362" s="66" t="s">
        <v>832</v>
      </c>
      <c r="B362" s="64"/>
      <c r="C362" s="65"/>
      <c r="D362" s="64"/>
      <c r="E362" s="64"/>
      <c r="F362" s="60"/>
      <c r="G362" s="60" t="s">
        <v>88</v>
      </c>
      <c r="H362" s="60" t="str">
        <f>IFERROR(INDEX('Docketed Comments'!C:C,MATCH(A362,'Docketed Comments'!H:H,0))&amp;", "&amp;INDEX('Docketed Comments'!B:B,MATCH(A362,'Docketed Comments'!H:H,0)),"")</f>
        <v>Terry, Sutton</v>
      </c>
      <c r="I362" s="60" t="str">
        <f>IFERROR(INDEX('Docketed Comments'!D:D,MATCH(A362,'Docketed Comments'!H:H,0)),"")</f>
        <v>Casa Grande</v>
      </c>
      <c r="J362" s="60" t="str">
        <f>IFERROR(INDEX('Docketed Comments'!I:I,MATCH(A362,'Docketed Comments'!H:H,0)),"")</f>
        <v>R-2</v>
      </c>
      <c r="K362" s="60" t="str">
        <f t="shared" si="11"/>
        <v>⚠ Frozen Rate</v>
      </c>
      <c r="L362" s="60" t="str">
        <f>IFERROR(INDEX('Docketed Comments'!F:F,MATCH(A362,'Docketed Comments'!H:H,0)),"")</f>
        <v>Form letter</v>
      </c>
      <c r="M362" s="120" t="str">
        <f>IFERROR(INDEX('Docketed Comments'!G:G,MATCH(A362,'Docketed Comments'!H:H,0)),"")</f>
        <v>https://images.edocket.azcc.gov/docketpdf/E000046190.pdf</v>
      </c>
      <c r="N362" s="118" t="str">
        <f>IFERROR(INDEX('Docketed Comments'!N:N,MATCH(A362,'Docketed Comments'!H:H,0)),"")</f>
        <v>No</v>
      </c>
      <c r="O362" s="118" t="str">
        <f>IFERROR(INDEX('Docketed Comments'!L:L,MATCH(A362,'Docketed Comments'!H:H,0)),"")</f>
        <v>Frozen Rate</v>
      </c>
      <c r="P362" s="119">
        <f t="shared" si="10"/>
        <v>0</v>
      </c>
      <c r="Q362" s="60"/>
      <c r="R362" s="64" t="s">
        <v>75</v>
      </c>
      <c r="S362" s="64" t="s">
        <v>833</v>
      </c>
    </row>
    <row r="363" spans="1:19" ht="21.95" hidden="1" customHeight="1">
      <c r="A363" s="66" t="s">
        <v>834</v>
      </c>
      <c r="B363" s="64" t="s">
        <v>20</v>
      </c>
      <c r="C363" s="65">
        <v>46067</v>
      </c>
      <c r="D363" s="64" t="s">
        <v>21</v>
      </c>
      <c r="E363" s="64" t="s">
        <v>22</v>
      </c>
      <c r="F363" s="60"/>
      <c r="G363" s="60"/>
      <c r="H363" s="60" t="str">
        <f>IFERROR(INDEX('Docketed Comments'!C:C,MATCH(A363,'Docketed Comments'!H:H,0))&amp;", "&amp;INDEX('Docketed Comments'!B:B,MATCH(A363,'Docketed Comments'!H:H,0)),"")</f>
        <v>Christian, Klein</v>
      </c>
      <c r="I363" s="60" t="str">
        <f>IFERROR(INDEX('Docketed Comments'!D:D,MATCH(A363,'Docketed Comments'!H:H,0)),"")</f>
        <v>Phoenix</v>
      </c>
      <c r="J363" s="60" t="str">
        <f>IFERROR(INDEX('Docketed Comments'!I:I,MATCH(A363,'Docketed Comments'!H:H,0)),"")</f>
        <v>R3-47</v>
      </c>
      <c r="K363" s="60" t="str">
        <f t="shared" si="11"/>
        <v>✅ On Best Plan</v>
      </c>
      <c r="L363" s="60" t="str">
        <f>IFERROR(INDEX('Docketed Comments'!F:F,MATCH(A363,'Docketed Comments'!H:H,0)),"")</f>
        <v>Form letter</v>
      </c>
      <c r="M363" s="120" t="str">
        <f>IFERROR(INDEX('Docketed Comments'!G:G,MATCH(A363,'Docketed Comments'!H:H,0)),"")</f>
        <v>https://images.edocket.azcc.gov/docketpdf/E000046190.pdf</v>
      </c>
      <c r="N363" s="118" t="str">
        <f>IFERROR(INDEX('Docketed Comments'!N:N,MATCH(A363,'Docketed Comments'!H:H,0)),"")</f>
        <v>No</v>
      </c>
      <c r="O363" s="118" t="str">
        <f>IFERROR(INDEX('Docketed Comments'!L:L,MATCH(A363,'Docketed Comments'!H:H,0)),"")</f>
        <v>Yes</v>
      </c>
      <c r="P363" s="119">
        <f t="shared" si="10"/>
        <v>0</v>
      </c>
      <c r="Q363" s="60" t="s">
        <v>23</v>
      </c>
      <c r="R363" s="64" t="s">
        <v>24</v>
      </c>
      <c r="S363" s="64" t="s">
        <v>835</v>
      </c>
    </row>
    <row r="364" spans="1:19" ht="21.95" customHeight="1">
      <c r="A364" s="66" t="s">
        <v>836</v>
      </c>
      <c r="B364" s="64"/>
      <c r="C364" s="65"/>
      <c r="D364" s="64"/>
      <c r="E364" s="64"/>
      <c r="F364" s="60"/>
      <c r="G364" s="60" t="s">
        <v>88</v>
      </c>
      <c r="H364" s="60" t="str">
        <f>IFERROR(INDEX('Docketed Comments'!C:C,MATCH(A364,'Docketed Comments'!H:H,0))&amp;", "&amp;INDEX('Docketed Comments'!B:B,MATCH(A364,'Docketed Comments'!H:H,0)),"")</f>
        <v>Nicholas, Becker</v>
      </c>
      <c r="I364" s="60" t="str">
        <f>IFERROR(INDEX('Docketed Comments'!D:D,MATCH(A364,'Docketed Comments'!H:H,0)),"")</f>
        <v>Goodyear</v>
      </c>
      <c r="J364" s="60" t="str">
        <f>IFERROR(INDEX('Docketed Comments'!I:I,MATCH(A364,'Docketed Comments'!H:H,0)),"")</f>
        <v>R3-47</v>
      </c>
      <c r="K364" s="60" t="str">
        <f t="shared" si="11"/>
        <v>✅ On Best Plan</v>
      </c>
      <c r="L364" s="60" t="str">
        <f>IFERROR(INDEX('Docketed Comments'!F:F,MATCH(A364,'Docketed Comments'!H:H,0)),"")</f>
        <v>Opposed</v>
      </c>
      <c r="M364" s="120" t="str">
        <f>IFERROR(INDEX('Docketed Comments'!G:G,MATCH(A364,'Docketed Comments'!H:H,0)),"")</f>
        <v>https://images.edocket.azcc.gov/docketpdf/E000046190.pdf</v>
      </c>
      <c r="N364" s="118" t="str">
        <f>IFERROR(INDEX('Docketed Comments'!N:N,MATCH(A364,'Docketed Comments'!H:H,0)),"")</f>
        <v>No</v>
      </c>
      <c r="O364" s="118" t="str">
        <f>IFERROR(INDEX('Docketed Comments'!L:L,MATCH(A364,'Docketed Comments'!H:H,0)),"")</f>
        <v>Yes</v>
      </c>
      <c r="P364" s="119">
        <f t="shared" si="10"/>
        <v>0</v>
      </c>
      <c r="Q364" s="60"/>
      <c r="R364" s="64" t="s">
        <v>75</v>
      </c>
      <c r="S364" s="64" t="s">
        <v>837</v>
      </c>
    </row>
    <row r="365" spans="1:19" ht="21.95" hidden="1" customHeight="1">
      <c r="A365" s="66" t="s">
        <v>838</v>
      </c>
      <c r="B365" s="64" t="s">
        <v>20</v>
      </c>
      <c r="C365" s="65">
        <v>46067</v>
      </c>
      <c r="D365" s="64" t="s">
        <v>21</v>
      </c>
      <c r="E365" s="64" t="s">
        <v>22</v>
      </c>
      <c r="F365" s="60"/>
      <c r="G365" s="60"/>
      <c r="H365" s="60" t="str">
        <f>IFERROR(INDEX('Docketed Comments'!C:C,MATCH(A365,'Docketed Comments'!H:H,0))&amp;", "&amp;INDEX('Docketed Comments'!B:B,MATCH(A365,'Docketed Comments'!H:H,0)),"")</f>
        <v>Jordan, Shoop</v>
      </c>
      <c r="I365" s="60" t="str">
        <f>IFERROR(INDEX('Docketed Comments'!D:D,MATCH(A365,'Docketed Comments'!H:H,0)),"")</f>
        <v>Phoenix</v>
      </c>
      <c r="J365" s="60" t="str">
        <f>IFERROR(INDEX('Docketed Comments'!I:I,MATCH(A365,'Docketed Comments'!H:H,0)),"")</f>
        <v>R3-47</v>
      </c>
      <c r="K365" s="60" t="str">
        <f t="shared" si="11"/>
        <v>✅ On Best Plan</v>
      </c>
      <c r="L365" s="60" t="str">
        <f>IFERROR(INDEX('Docketed Comments'!F:F,MATCH(A365,'Docketed Comments'!H:H,0)),"")</f>
        <v>Form letter</v>
      </c>
      <c r="M365" s="120" t="str">
        <f>IFERROR(INDEX('Docketed Comments'!G:G,MATCH(A365,'Docketed Comments'!H:H,0)),"")</f>
        <v>https://images.edocket.azcc.gov/docketpdf/E000046190.pdf</v>
      </c>
      <c r="N365" s="118" t="str">
        <f>IFERROR(INDEX('Docketed Comments'!N:N,MATCH(A365,'Docketed Comments'!H:H,0)),"")</f>
        <v>No</v>
      </c>
      <c r="O365" s="118" t="str">
        <f>IFERROR(INDEX('Docketed Comments'!L:L,MATCH(A365,'Docketed Comments'!H:H,0)),"")</f>
        <v>Yes</v>
      </c>
      <c r="P365" s="119">
        <f t="shared" si="10"/>
        <v>0</v>
      </c>
      <c r="Q365" s="60" t="s">
        <v>23</v>
      </c>
      <c r="R365" s="64" t="s">
        <v>24</v>
      </c>
      <c r="S365" s="64" t="s">
        <v>839</v>
      </c>
    </row>
    <row r="366" spans="1:19" ht="21.95" hidden="1" customHeight="1">
      <c r="A366" s="66" t="s">
        <v>840</v>
      </c>
      <c r="B366" s="64" t="s">
        <v>20</v>
      </c>
      <c r="C366" s="65">
        <v>46067</v>
      </c>
      <c r="D366" s="64" t="s">
        <v>27</v>
      </c>
      <c r="E366" s="64" t="s">
        <v>22</v>
      </c>
      <c r="F366" s="60" t="s">
        <v>841</v>
      </c>
      <c r="G366" s="60"/>
      <c r="H366" s="60" t="str">
        <f>IFERROR(INDEX('Docketed Comments'!C:C,MATCH(A366,'Docketed Comments'!H:H,0))&amp;", "&amp;INDEX('Docketed Comments'!B:B,MATCH(A366,'Docketed Comments'!H:H,0)),"")</f>
        <v>Paul, Kovar</v>
      </c>
      <c r="I366" s="60" t="str">
        <f>IFERROR(INDEX('Docketed Comments'!D:D,MATCH(A366,'Docketed Comments'!H:H,0)),"")</f>
        <v>Phoenix</v>
      </c>
      <c r="J366" s="60" t="str">
        <f>IFERROR(INDEX('Docketed Comments'!I:I,MATCH(A366,'Docketed Comments'!H:H,0)),"")</f>
        <v>R3-47</v>
      </c>
      <c r="K366" s="60" t="str">
        <f t="shared" si="11"/>
        <v>✅ On Best Plan</v>
      </c>
      <c r="L366" s="60" t="str">
        <f>IFERROR(INDEX('Docketed Comments'!F:F,MATCH(A366,'Docketed Comments'!H:H,0)),"")</f>
        <v>No rate hikes</v>
      </c>
      <c r="M366" s="120" t="str">
        <f>IFERROR(INDEX('Docketed Comments'!G:G,MATCH(A366,'Docketed Comments'!H:H,0)),"")</f>
        <v>https://images.edocket.azcc.gov/docketpdf/E000046190.pdf</v>
      </c>
      <c r="N366" s="118" t="str">
        <f>IFERROR(INDEX('Docketed Comments'!N:N,MATCH(A366,'Docketed Comments'!H:H,0)),"")</f>
        <v>No</v>
      </c>
      <c r="O366" s="118" t="str">
        <f>IFERROR(INDEX('Docketed Comments'!L:L,MATCH(A366,'Docketed Comments'!H:H,0)),"")</f>
        <v>Yes</v>
      </c>
      <c r="P366" s="119">
        <f t="shared" si="10"/>
        <v>0</v>
      </c>
      <c r="Q366" s="60" t="s">
        <v>23</v>
      </c>
      <c r="R366" s="64" t="s">
        <v>24</v>
      </c>
      <c r="S366" s="64" t="s">
        <v>842</v>
      </c>
    </row>
    <row r="367" spans="1:19" ht="21.95" customHeight="1">
      <c r="A367" s="66" t="s">
        <v>843</v>
      </c>
      <c r="B367" s="64"/>
      <c r="C367" s="65"/>
      <c r="D367" s="64"/>
      <c r="E367" s="64"/>
      <c r="F367" s="60"/>
      <c r="G367" s="60" t="s">
        <v>88</v>
      </c>
      <c r="H367" s="60" t="str">
        <f>IFERROR(INDEX('Docketed Comments'!C:C,MATCH(A367,'Docketed Comments'!H:H,0))&amp;", "&amp;INDEX('Docketed Comments'!B:B,MATCH(A367,'Docketed Comments'!H:H,0)),"")</f>
        <v>Sarah, Lamb</v>
      </c>
      <c r="I367" s="60" t="str">
        <f>IFERROR(INDEX('Docketed Comments'!D:D,MATCH(A367,'Docketed Comments'!H:H,0)),"")</f>
        <v>Phoenix</v>
      </c>
      <c r="J367" s="60" t="str">
        <f>IFERROR(INDEX('Docketed Comments'!I:I,MATCH(A367,'Docketed Comments'!H:H,0)),"")</f>
        <v>RTOUE47</v>
      </c>
      <c r="K367" s="60" t="str">
        <f t="shared" si="11"/>
        <v>✅ On Best Plan</v>
      </c>
      <c r="L367" s="60" t="str">
        <f>IFERROR(INDEX('Docketed Comments'!F:F,MATCH(A367,'Docketed Comments'!H:H,0)),"")</f>
        <v>Form letter</v>
      </c>
      <c r="M367" s="120" t="str">
        <f>IFERROR(INDEX('Docketed Comments'!G:G,MATCH(A367,'Docketed Comments'!H:H,0)),"")</f>
        <v>https://images.edocket.azcc.gov/docketpdf/E000046190.pdf</v>
      </c>
      <c r="N367" s="118" t="str">
        <f>IFERROR(INDEX('Docketed Comments'!N:N,MATCH(A367,'Docketed Comments'!H:H,0)),"")</f>
        <v>No</v>
      </c>
      <c r="O367" s="118" t="str">
        <f>IFERROR(INDEX('Docketed Comments'!L:L,MATCH(A367,'Docketed Comments'!H:H,0)),"")</f>
        <v>Yes</v>
      </c>
      <c r="P367" s="119">
        <f t="shared" si="10"/>
        <v>0</v>
      </c>
      <c r="Q367" s="60"/>
      <c r="R367" s="64" t="s">
        <v>75</v>
      </c>
      <c r="S367" s="64" t="s">
        <v>844</v>
      </c>
    </row>
    <row r="368" spans="1:19" ht="21.95" hidden="1" customHeight="1">
      <c r="A368" s="66" t="s">
        <v>845</v>
      </c>
      <c r="B368" s="64" t="s">
        <v>20</v>
      </c>
      <c r="C368" s="65">
        <v>46067</v>
      </c>
      <c r="D368" s="64" t="s">
        <v>27</v>
      </c>
      <c r="E368" s="64" t="s">
        <v>22</v>
      </c>
      <c r="F368" s="60" t="s">
        <v>846</v>
      </c>
      <c r="G368" s="60"/>
      <c r="H368" s="60" t="str">
        <f>IFERROR(INDEX('Docketed Comments'!C:C,MATCH(A368,'Docketed Comments'!H:H,0))&amp;", "&amp;INDEX('Docketed Comments'!B:B,MATCH(A368,'Docketed Comments'!H:H,0)),"")</f>
        <v>Dinesh, Munuswamy</v>
      </c>
      <c r="I368" s="60" t="str">
        <f>IFERROR(INDEX('Docketed Comments'!D:D,MATCH(A368,'Docketed Comments'!H:H,0)),"")</f>
        <v>Peoria</v>
      </c>
      <c r="J368" s="60" t="str">
        <f>IFERROR(INDEX('Docketed Comments'!I:I,MATCH(A368,'Docketed Comments'!H:H,0)),"")</f>
        <v>R3-47</v>
      </c>
      <c r="K368" s="60" t="str">
        <f t="shared" si="11"/>
        <v>✅ On Best Plan</v>
      </c>
      <c r="L368" s="60" t="str">
        <f>IFERROR(INDEX('Docketed Comments'!F:F,MATCH(A368,'Docketed Comments'!H:H,0)),"")</f>
        <v>Form letter</v>
      </c>
      <c r="M368" s="120" t="str">
        <f>IFERROR(INDEX('Docketed Comments'!G:G,MATCH(A368,'Docketed Comments'!H:H,0)),"")</f>
        <v>https://images.edocket.azcc.gov/docketpdf/E000046190.pdf</v>
      </c>
      <c r="N368" s="118" t="str">
        <f>IFERROR(INDEX('Docketed Comments'!N:N,MATCH(A368,'Docketed Comments'!H:H,0)),"")</f>
        <v>No</v>
      </c>
      <c r="O368" s="118" t="str">
        <f>IFERROR(INDEX('Docketed Comments'!L:L,MATCH(A368,'Docketed Comments'!H:H,0)),"")</f>
        <v>Yes</v>
      </c>
      <c r="P368" s="119">
        <f t="shared" si="10"/>
        <v>0</v>
      </c>
      <c r="Q368" s="60" t="s">
        <v>23</v>
      </c>
      <c r="R368" s="64" t="s">
        <v>24</v>
      </c>
      <c r="S368" s="64" t="s">
        <v>847</v>
      </c>
    </row>
    <row r="369" spans="1:19" ht="21.95" hidden="1" customHeight="1">
      <c r="A369" s="66" t="s">
        <v>848</v>
      </c>
      <c r="B369" s="64" t="s">
        <v>20</v>
      </c>
      <c r="C369" s="65">
        <v>46067</v>
      </c>
      <c r="D369" s="64" t="s">
        <v>21</v>
      </c>
      <c r="E369" s="64" t="s">
        <v>22</v>
      </c>
      <c r="F369" s="60"/>
      <c r="G369" s="60"/>
      <c r="H369" s="60" t="str">
        <f>IFERROR(INDEX('Docketed Comments'!C:C,MATCH(A369,'Docketed Comments'!H:H,0))&amp;", "&amp;INDEX('Docketed Comments'!B:B,MATCH(A369,'Docketed Comments'!H:H,0)),"")</f>
        <v>Wilson, Kelly</v>
      </c>
      <c r="I369" s="60" t="str">
        <f>IFERROR(INDEX('Docketed Comments'!D:D,MATCH(A369,'Docketed Comments'!H:H,0)),"")</f>
        <v>Phoenix</v>
      </c>
      <c r="J369" s="60" t="str">
        <f>IFERROR(INDEX('Docketed Comments'!I:I,MATCH(A369,'Docketed Comments'!H:H,0)),"")</f>
        <v>R-XS</v>
      </c>
      <c r="K369" s="60" t="str">
        <f t="shared" si="11"/>
        <v>✅ On Best Plan</v>
      </c>
      <c r="L369" s="60" t="str">
        <f>IFERROR(INDEX('Docketed Comments'!F:F,MATCH(A369,'Docketed Comments'!H:H,0)),"")</f>
        <v>Form letter</v>
      </c>
      <c r="M369" s="120" t="str">
        <f>IFERROR(INDEX('Docketed Comments'!G:G,MATCH(A369,'Docketed Comments'!H:H,0)),"")</f>
        <v>https://images.edocket.azcc.gov/docketpdf/E000046190.pdf</v>
      </c>
      <c r="N369" s="118" t="str">
        <f>IFERROR(INDEX('Docketed Comments'!N:N,MATCH(A369,'Docketed Comments'!H:H,0)),"")</f>
        <v>No</v>
      </c>
      <c r="O369" s="118" t="str">
        <f>IFERROR(INDEX('Docketed Comments'!L:L,MATCH(A369,'Docketed Comments'!H:H,0)),"")</f>
        <v>Yes</v>
      </c>
      <c r="P369" s="119">
        <f t="shared" si="10"/>
        <v>0</v>
      </c>
      <c r="Q369" s="60" t="s">
        <v>23</v>
      </c>
      <c r="R369" s="64" t="s">
        <v>24</v>
      </c>
      <c r="S369" s="64" t="s">
        <v>849</v>
      </c>
    </row>
    <row r="370" spans="1:19" ht="21.95" customHeight="1">
      <c r="A370" s="66" t="s">
        <v>850</v>
      </c>
      <c r="B370" s="64"/>
      <c r="C370" s="65"/>
      <c r="D370" s="64"/>
      <c r="E370" s="64"/>
      <c r="F370" s="60"/>
      <c r="G370" s="60" t="s">
        <v>88</v>
      </c>
      <c r="H370" s="60" t="str">
        <f>IFERROR(INDEX('Docketed Comments'!C:C,MATCH(A370,'Docketed Comments'!H:H,0))&amp;", "&amp;INDEX('Docketed Comments'!B:B,MATCH(A370,'Docketed Comments'!H:H,0)),"")</f>
        <v>Prakash, Sahoo</v>
      </c>
      <c r="I370" s="60" t="str">
        <f>IFERROR(INDEX('Docketed Comments'!D:D,MATCH(A370,'Docketed Comments'!H:H,0)),"")</f>
        <v>Scottsdale</v>
      </c>
      <c r="J370" s="60" t="str">
        <f>IFERROR(INDEX('Docketed Comments'!I:I,MATCH(A370,'Docketed Comments'!H:H,0)),"")</f>
        <v>RTOUE47</v>
      </c>
      <c r="K370" s="60" t="str">
        <f t="shared" si="11"/>
        <v>✅ On Best Plan</v>
      </c>
      <c r="L370" s="60" t="str">
        <f>IFERROR(INDEX('Docketed Comments'!F:F,MATCH(A370,'Docketed Comments'!H:H,0)),"")</f>
        <v>Does not support</v>
      </c>
      <c r="M370" s="120" t="str">
        <f>IFERROR(INDEX('Docketed Comments'!G:G,MATCH(A370,'Docketed Comments'!H:H,0)),"")</f>
        <v>https://images.edocket.azcc.gov/docketpdf/E000046190.pdf</v>
      </c>
      <c r="N370" s="118" t="str">
        <f>IFERROR(INDEX('Docketed Comments'!N:N,MATCH(A370,'Docketed Comments'!H:H,0)),"")</f>
        <v>No</v>
      </c>
      <c r="O370" s="118" t="str">
        <f>IFERROR(INDEX('Docketed Comments'!L:L,MATCH(A370,'Docketed Comments'!H:H,0)),"")</f>
        <v>Yes</v>
      </c>
      <c r="P370" s="119">
        <f t="shared" si="10"/>
        <v>0</v>
      </c>
      <c r="Q370" s="60"/>
      <c r="R370" s="64" t="s">
        <v>75</v>
      </c>
      <c r="S370" s="64" t="s">
        <v>851</v>
      </c>
    </row>
    <row r="371" spans="1:19" ht="21.95" customHeight="1">
      <c r="A371" s="66" t="s">
        <v>852</v>
      </c>
      <c r="B371" s="64"/>
      <c r="C371" s="65"/>
      <c r="D371" s="64"/>
      <c r="E371" s="64"/>
      <c r="F371" s="60"/>
      <c r="G371" s="60" t="s">
        <v>88</v>
      </c>
      <c r="H371" s="60" t="str">
        <f>IFERROR(INDEX('Docketed Comments'!C:C,MATCH(A371,'Docketed Comments'!H:H,0))&amp;", "&amp;INDEX('Docketed Comments'!B:B,MATCH(A371,'Docketed Comments'!H:H,0)),"")</f>
        <v>Allison, Pela</v>
      </c>
      <c r="I371" s="60" t="str">
        <f>IFERROR(INDEX('Docketed Comments'!D:D,MATCH(A371,'Docketed Comments'!H:H,0)),"")</f>
        <v>Phoenix</v>
      </c>
      <c r="J371" s="60" t="str">
        <f>IFERROR(INDEX('Docketed Comments'!I:I,MATCH(A371,'Docketed Comments'!H:H,0)),"")</f>
        <v>R3-47</v>
      </c>
      <c r="K371" s="60" t="str">
        <f t="shared" si="11"/>
        <v>✅ On Best Plan</v>
      </c>
      <c r="L371" s="60" t="str">
        <f>IFERROR(INDEX('Docketed Comments'!F:F,MATCH(A371,'Docketed Comments'!H:H,0)),"")</f>
        <v>Punishing solar customers</v>
      </c>
      <c r="M371" s="120" t="str">
        <f>IFERROR(INDEX('Docketed Comments'!G:G,MATCH(A371,'Docketed Comments'!H:H,0)),"")</f>
        <v>https://images.edocket.azcc.gov/docketpdf/E000046190.pdf</v>
      </c>
      <c r="N371" s="118" t="str">
        <f>IFERROR(INDEX('Docketed Comments'!N:N,MATCH(A371,'Docketed Comments'!H:H,0)),"")</f>
        <v>No</v>
      </c>
      <c r="O371" s="118" t="str">
        <f>IFERROR(INDEX('Docketed Comments'!L:L,MATCH(A371,'Docketed Comments'!H:H,0)),"")</f>
        <v>Yes</v>
      </c>
      <c r="P371" s="119">
        <f t="shared" si="10"/>
        <v>0</v>
      </c>
      <c r="Q371" s="60"/>
      <c r="R371" s="64" t="s">
        <v>75</v>
      </c>
      <c r="S371" s="64" t="s">
        <v>853</v>
      </c>
    </row>
    <row r="372" spans="1:19" ht="21.95" hidden="1" customHeight="1">
      <c r="A372" s="66" t="s">
        <v>854</v>
      </c>
      <c r="B372" s="64" t="s">
        <v>20</v>
      </c>
      <c r="C372" s="65">
        <v>46074</v>
      </c>
      <c r="D372" s="64" t="s">
        <v>21</v>
      </c>
      <c r="E372" s="64" t="s">
        <v>22</v>
      </c>
      <c r="F372" s="60"/>
      <c r="G372" s="60"/>
      <c r="H372" s="60" t="str">
        <f>IFERROR(INDEX('Docketed Comments'!C:C,MATCH(A372,'Docketed Comments'!H:H,0))&amp;", "&amp;INDEX('Docketed Comments'!B:B,MATCH(A372,'Docketed Comments'!H:H,0)),"")</f>
        <v>Juanita, Elliston</v>
      </c>
      <c r="I372" s="60" t="str">
        <f>IFERROR(INDEX('Docketed Comments'!D:D,MATCH(A372,'Docketed Comments'!H:H,0)),"")</f>
        <v>Litchfield Park</v>
      </c>
      <c r="J372" s="60" t="str">
        <f>IFERROR(INDEX('Docketed Comments'!I:I,MATCH(A372,'Docketed Comments'!H:H,0)),"")</f>
        <v>R3-47</v>
      </c>
      <c r="K372" s="60" t="str">
        <f t="shared" si="11"/>
        <v>✅ On Best Plan</v>
      </c>
      <c r="L372" s="60" t="str">
        <f>IFERROR(INDEX('Docketed Comments'!F:F,MATCH(A372,'Docketed Comments'!H:H,0)),"")</f>
        <v>Opposed</v>
      </c>
      <c r="M372" s="120" t="str">
        <f>IFERROR(INDEX('Docketed Comments'!G:G,MATCH(A372,'Docketed Comments'!H:H,0)),"")</f>
        <v>https://images.edocket.azcc.gov/docketpdf/E000046190.pdf</v>
      </c>
      <c r="N372" s="118" t="str">
        <f>IFERROR(INDEX('Docketed Comments'!N:N,MATCH(A372,'Docketed Comments'!H:H,0)),"")</f>
        <v>No</v>
      </c>
      <c r="O372" s="118" t="str">
        <f>IFERROR(INDEX('Docketed Comments'!L:L,MATCH(A372,'Docketed Comments'!H:H,0)),"")</f>
        <v>Yes</v>
      </c>
      <c r="P372" s="119">
        <f t="shared" si="10"/>
        <v>0</v>
      </c>
      <c r="Q372" s="60" t="s">
        <v>23</v>
      </c>
      <c r="R372" s="64" t="s">
        <v>24</v>
      </c>
      <c r="S372" s="64" t="s">
        <v>855</v>
      </c>
    </row>
    <row r="373" spans="1:19" ht="21.95" customHeight="1">
      <c r="A373" s="66" t="s">
        <v>856</v>
      </c>
      <c r="B373" s="64"/>
      <c r="C373" s="65"/>
      <c r="D373" s="64"/>
      <c r="E373" s="64"/>
      <c r="F373" s="60"/>
      <c r="G373" s="60" t="s">
        <v>88</v>
      </c>
      <c r="H373" s="60" t="str">
        <f>IFERROR(INDEX('Docketed Comments'!C:C,MATCH(A373,'Docketed Comments'!H:H,0))&amp;", "&amp;INDEX('Docketed Comments'!B:B,MATCH(A373,'Docketed Comments'!H:H,0)),"")</f>
        <v>Eli, Kroytoro</v>
      </c>
      <c r="I373" s="60" t="str">
        <f>IFERROR(INDEX('Docketed Comments'!D:D,MATCH(A373,'Docketed Comments'!H:H,0)),"")</f>
        <v>Phoenix</v>
      </c>
      <c r="J373" s="60" t="str">
        <f>IFERROR(INDEX('Docketed Comments'!I:I,MATCH(A373,'Docketed Comments'!H:H,0)),"")</f>
        <v>R3-47</v>
      </c>
      <c r="K373" s="60" t="str">
        <f t="shared" si="11"/>
        <v>✅ On Best Plan</v>
      </c>
      <c r="L373" s="60" t="str">
        <f>IFERROR(INDEX('Docketed Comments'!F:F,MATCH(A373,'Docketed Comments'!H:H,0)),"")</f>
        <v>Form letter</v>
      </c>
      <c r="M373" s="120" t="str">
        <f>IFERROR(INDEX('Docketed Comments'!G:G,MATCH(A373,'Docketed Comments'!H:H,0)),"")</f>
        <v>https://images.edocket.azcc.gov/docketpdf/E000046190.pdf</v>
      </c>
      <c r="N373" s="118" t="str">
        <f>IFERROR(INDEX('Docketed Comments'!N:N,MATCH(A373,'Docketed Comments'!H:H,0)),"")</f>
        <v>No</v>
      </c>
      <c r="O373" s="118" t="str">
        <f>IFERROR(INDEX('Docketed Comments'!L:L,MATCH(A373,'Docketed Comments'!H:H,0)),"")</f>
        <v>Yes</v>
      </c>
      <c r="P373" s="119">
        <f t="shared" si="10"/>
        <v>0</v>
      </c>
      <c r="Q373" s="60"/>
      <c r="R373" s="64" t="s">
        <v>75</v>
      </c>
      <c r="S373" s="64" t="s">
        <v>857</v>
      </c>
    </row>
    <row r="374" spans="1:19" ht="21.95" hidden="1" customHeight="1">
      <c r="A374" s="66" t="s">
        <v>858</v>
      </c>
      <c r="B374" s="64" t="s">
        <v>20</v>
      </c>
      <c r="C374" s="65">
        <v>46074</v>
      </c>
      <c r="D374" s="64" t="s">
        <v>21</v>
      </c>
      <c r="E374" s="64" t="s">
        <v>22</v>
      </c>
      <c r="F374" s="60"/>
      <c r="G374" s="60"/>
      <c r="H374" s="60" t="str">
        <f>IFERROR(INDEX('Docketed Comments'!C:C,MATCH(A374,'Docketed Comments'!H:H,0))&amp;", "&amp;INDEX('Docketed Comments'!B:B,MATCH(A374,'Docketed Comments'!H:H,0)),"")</f>
        <v>Robert, McCallum</v>
      </c>
      <c r="I374" s="60" t="str">
        <f>IFERROR(INDEX('Docketed Comments'!D:D,MATCH(A374,'Docketed Comments'!H:H,0)),"")</f>
        <v>Litchfield Park</v>
      </c>
      <c r="J374" s="60" t="str">
        <f>IFERROR(INDEX('Docketed Comments'!I:I,MATCH(A374,'Docketed Comments'!H:H,0)),"")</f>
        <v>R-BASIC</v>
      </c>
      <c r="K374" s="60" t="str">
        <f t="shared" si="11"/>
        <v>✅ On Best Plan</v>
      </c>
      <c r="L374" s="60" t="str">
        <f>IFERROR(INDEX('Docketed Comments'!F:F,MATCH(A374,'Docketed Comments'!H:H,0)),"")</f>
        <v xml:space="preserve">Cannot afford/retired </v>
      </c>
      <c r="M374" s="120" t="str">
        <f>IFERROR(INDEX('Docketed Comments'!G:G,MATCH(A374,'Docketed Comments'!H:H,0)),"")</f>
        <v>https://images.edocket.azcc.gov/docketpdf/E000046190.pdf</v>
      </c>
      <c r="N374" s="118" t="str">
        <f>IFERROR(INDEX('Docketed Comments'!N:N,MATCH(A374,'Docketed Comments'!H:H,0)),"")</f>
        <v>No</v>
      </c>
      <c r="O374" s="118" t="str">
        <f>IFERROR(INDEX('Docketed Comments'!L:L,MATCH(A374,'Docketed Comments'!H:H,0)),"")</f>
        <v>Yes</v>
      </c>
      <c r="P374" s="119">
        <f t="shared" si="10"/>
        <v>0</v>
      </c>
      <c r="Q374" s="60" t="s">
        <v>23</v>
      </c>
      <c r="R374" s="64" t="s">
        <v>24</v>
      </c>
      <c r="S374" s="64" t="s">
        <v>859</v>
      </c>
    </row>
    <row r="375" spans="1:19" ht="21.95" customHeight="1">
      <c r="A375" s="66" t="s">
        <v>860</v>
      </c>
      <c r="B375" s="64"/>
      <c r="C375" s="65"/>
      <c r="D375" s="64"/>
      <c r="E375" s="64"/>
      <c r="F375" s="60"/>
      <c r="G375" s="60" t="s">
        <v>88</v>
      </c>
      <c r="H375" s="60" t="str">
        <f>IFERROR(INDEX('Docketed Comments'!C:C,MATCH(A375,'Docketed Comments'!H:H,0))&amp;", "&amp;INDEX('Docketed Comments'!B:B,MATCH(A375,'Docketed Comments'!H:H,0)),"")</f>
        <v>Jordan, Weaver</v>
      </c>
      <c r="I375" s="60" t="str">
        <f>IFERROR(INDEX('Docketed Comments'!D:D,MATCH(A375,'Docketed Comments'!H:H,0)),"")</f>
        <v>Phoenix</v>
      </c>
      <c r="J375" s="60" t="str">
        <f>IFERROR(INDEX('Docketed Comments'!I:I,MATCH(A375,'Docketed Comments'!H:H,0)),"")</f>
        <v>R-XS</v>
      </c>
      <c r="K375" s="60" t="str">
        <f t="shared" si="11"/>
        <v>✅ On Best Plan</v>
      </c>
      <c r="L375" s="60" t="str">
        <f>IFERROR(INDEX('Docketed Comments'!F:F,MATCH(A375,'Docketed Comments'!H:H,0)),"")</f>
        <v>Make data centers pay more not people who are struggling</v>
      </c>
      <c r="M375" s="120" t="str">
        <f>IFERROR(INDEX('Docketed Comments'!G:G,MATCH(A375,'Docketed Comments'!H:H,0)),"")</f>
        <v>https://images.edocket.azcc.gov/docketpdf/E000046190.pdf</v>
      </c>
      <c r="N375" s="118" t="str">
        <f>IFERROR(INDEX('Docketed Comments'!N:N,MATCH(A375,'Docketed Comments'!H:H,0)),"")</f>
        <v>No</v>
      </c>
      <c r="O375" s="118" t="str">
        <f>IFERROR(INDEX('Docketed Comments'!L:L,MATCH(A375,'Docketed Comments'!H:H,0)),"")</f>
        <v>Yes</v>
      </c>
      <c r="P375" s="119">
        <f t="shared" si="10"/>
        <v>0</v>
      </c>
      <c r="Q375" s="60"/>
      <c r="R375" s="64" t="s">
        <v>75</v>
      </c>
      <c r="S375" s="64" t="s">
        <v>861</v>
      </c>
    </row>
    <row r="376" spans="1:19" ht="21.95" customHeight="1">
      <c r="A376" s="66" t="s">
        <v>862</v>
      </c>
      <c r="B376" s="64"/>
      <c r="C376" s="65"/>
      <c r="D376" s="64"/>
      <c r="E376" s="64"/>
      <c r="F376" s="60"/>
      <c r="G376" s="60" t="s">
        <v>88</v>
      </c>
      <c r="H376" s="60" t="str">
        <f>IFERROR(INDEX('Docketed Comments'!C:C,MATCH(A376,'Docketed Comments'!H:H,0))&amp;", "&amp;INDEX('Docketed Comments'!B:B,MATCH(A376,'Docketed Comments'!H:H,0)),"")</f>
        <v>Shyam Sundar, Ramakrishnan</v>
      </c>
      <c r="I376" s="60" t="str">
        <f>IFERROR(INDEX('Docketed Comments'!D:D,MATCH(A376,'Docketed Comments'!H:H,0)),"")</f>
        <v>Phoenix</v>
      </c>
      <c r="J376" s="60" t="str">
        <f>IFERROR(INDEX('Docketed Comments'!I:I,MATCH(A376,'Docketed Comments'!H:H,0)),"")</f>
        <v>R3-47</v>
      </c>
      <c r="K376" s="60" t="str">
        <f t="shared" si="11"/>
        <v>✅ On Best Plan</v>
      </c>
      <c r="L376" s="60" t="str">
        <f>IFERROR(INDEX('Docketed Comments'!F:F,MATCH(A376,'Docketed Comments'!H:H,0)),"")</f>
        <v>Unnecessary financial strain</v>
      </c>
      <c r="M376" s="120" t="str">
        <f>IFERROR(INDEX('Docketed Comments'!G:G,MATCH(A376,'Docketed Comments'!H:H,0)),"")</f>
        <v>https://images.edocket.azcc.gov/docketpdf/E000046190.pdf</v>
      </c>
      <c r="N376" s="118" t="str">
        <f>IFERROR(INDEX('Docketed Comments'!N:N,MATCH(A376,'Docketed Comments'!H:H,0)),"")</f>
        <v>No</v>
      </c>
      <c r="O376" s="118" t="str">
        <f>IFERROR(INDEX('Docketed Comments'!L:L,MATCH(A376,'Docketed Comments'!H:H,0)),"")</f>
        <v>Yes</v>
      </c>
      <c r="P376" s="119">
        <f t="shared" si="10"/>
        <v>0</v>
      </c>
      <c r="Q376" s="60"/>
      <c r="R376" s="64" t="s">
        <v>75</v>
      </c>
      <c r="S376" s="64" t="s">
        <v>863</v>
      </c>
    </row>
    <row r="377" spans="1:19" ht="21.95" hidden="1" customHeight="1">
      <c r="A377" s="66" t="s">
        <v>864</v>
      </c>
      <c r="B377" s="64" t="s">
        <v>20</v>
      </c>
      <c r="C377" s="65">
        <v>46074</v>
      </c>
      <c r="D377" s="64" t="s">
        <v>21</v>
      </c>
      <c r="E377" s="64" t="s">
        <v>22</v>
      </c>
      <c r="F377" s="60"/>
      <c r="G377" s="60"/>
      <c r="H377" s="60" t="str">
        <f>IFERROR(INDEX('Docketed Comments'!C:C,MATCH(A377,'Docketed Comments'!H:H,0))&amp;", "&amp;INDEX('Docketed Comments'!B:B,MATCH(A377,'Docketed Comments'!H:H,0)),"")</f>
        <v>Kaneshea, Vandiver</v>
      </c>
      <c r="I377" s="60" t="str">
        <f>IFERROR(INDEX('Docketed Comments'!D:D,MATCH(A377,'Docketed Comments'!H:H,0)),"")</f>
        <v>Avondale</v>
      </c>
      <c r="J377" s="60" t="str">
        <f>IFERROR(INDEX('Docketed Comments'!I:I,MATCH(A377,'Docketed Comments'!H:H,0)),"")</f>
        <v>R-BASIC</v>
      </c>
      <c r="K377" s="60" t="str">
        <f t="shared" si="11"/>
        <v>✅ On Best Plan</v>
      </c>
      <c r="L377" s="60" t="str">
        <f>IFERROR(INDEX('Docketed Comments'!F:F,MATCH(A377,'Docketed Comments'!H:H,0)),"")</f>
        <v>Already having a hard time affording electric bill</v>
      </c>
      <c r="M377" s="120" t="str">
        <f>IFERROR(INDEX('Docketed Comments'!G:G,MATCH(A377,'Docketed Comments'!H:H,0)),"")</f>
        <v>https://images.edocket.azcc.gov/docketpdf/E000046190.pdf</v>
      </c>
      <c r="N377" s="118" t="str">
        <f>IFERROR(INDEX('Docketed Comments'!N:N,MATCH(A377,'Docketed Comments'!H:H,0)),"")</f>
        <v>No</v>
      </c>
      <c r="O377" s="118" t="str">
        <f>IFERROR(INDEX('Docketed Comments'!L:L,MATCH(A377,'Docketed Comments'!H:H,0)),"")</f>
        <v>Yes</v>
      </c>
      <c r="P377" s="119">
        <f t="shared" si="10"/>
        <v>0</v>
      </c>
      <c r="Q377" s="60" t="s">
        <v>23</v>
      </c>
      <c r="R377" s="64" t="s">
        <v>24</v>
      </c>
      <c r="S377" s="64" t="s">
        <v>865</v>
      </c>
    </row>
    <row r="378" spans="1:19" ht="21.95" customHeight="1">
      <c r="A378" s="66" t="s">
        <v>866</v>
      </c>
      <c r="B378" s="64"/>
      <c r="C378" s="65"/>
      <c r="D378" s="64"/>
      <c r="E378" s="64"/>
      <c r="F378" s="60"/>
      <c r="G378" s="60" t="s">
        <v>88</v>
      </c>
      <c r="H378" s="60" t="str">
        <f>IFERROR(INDEX('Docketed Comments'!C:C,MATCH(A378,'Docketed Comments'!H:H,0))&amp;", "&amp;INDEX('Docketed Comments'!B:B,MATCH(A378,'Docketed Comments'!H:H,0)),"")</f>
        <v>Adam, Fajardo</v>
      </c>
      <c r="I378" s="60" t="str">
        <f>IFERROR(INDEX('Docketed Comments'!D:D,MATCH(A378,'Docketed Comments'!H:H,0)),"")</f>
        <v>Flagstaff</v>
      </c>
      <c r="J378" s="60" t="str">
        <f>IFERROR(INDEX('Docketed Comments'!I:I,MATCH(A378,'Docketed Comments'!H:H,0)),"")</f>
        <v>R-XS</v>
      </c>
      <c r="K378" s="60" t="str">
        <f t="shared" si="11"/>
        <v>✅ On Best Plan</v>
      </c>
      <c r="L378" s="60" t="str">
        <f>IFERROR(INDEX('Docketed Comments'!F:F,MATCH(A378,'Docketed Comments'!H:H,0)),"")</f>
        <v>Form letter</v>
      </c>
      <c r="M378" s="120" t="str">
        <f>IFERROR(INDEX('Docketed Comments'!G:G,MATCH(A378,'Docketed Comments'!H:H,0)),"")</f>
        <v>https://images.edocket.azcc.gov/docketpdf/E000046190.pdf</v>
      </c>
      <c r="N378" s="118" t="str">
        <f>IFERROR(INDEX('Docketed Comments'!N:N,MATCH(A378,'Docketed Comments'!H:H,0)),"")</f>
        <v>No</v>
      </c>
      <c r="O378" s="118" t="str">
        <f>IFERROR(INDEX('Docketed Comments'!L:L,MATCH(A378,'Docketed Comments'!H:H,0)),"")</f>
        <v>Yes</v>
      </c>
      <c r="P378" s="119">
        <f t="shared" si="10"/>
        <v>0</v>
      </c>
      <c r="Q378" s="60"/>
      <c r="R378" s="64" t="s">
        <v>75</v>
      </c>
      <c r="S378" s="64" t="s">
        <v>867</v>
      </c>
    </row>
    <row r="379" spans="1:19" ht="21.95" customHeight="1">
      <c r="A379" s="66" t="s">
        <v>868</v>
      </c>
      <c r="B379" s="64"/>
      <c r="C379" s="65"/>
      <c r="D379" s="64"/>
      <c r="E379" s="64"/>
      <c r="F379" s="60"/>
      <c r="G379" s="60" t="s">
        <v>88</v>
      </c>
      <c r="H379" s="60" t="str">
        <f>IFERROR(INDEX('Docketed Comments'!C:C,MATCH(A379,'Docketed Comments'!H:H,0))&amp;", "&amp;INDEX('Docketed Comments'!B:B,MATCH(A379,'Docketed Comments'!H:H,0)),"")</f>
        <v>Amit Kumar, Purohit</v>
      </c>
      <c r="I379" s="60" t="str">
        <f>IFERROR(INDEX('Docketed Comments'!D:D,MATCH(A379,'Docketed Comments'!H:H,0)),"")</f>
        <v>Scottsdale</v>
      </c>
      <c r="J379" s="60" t="str">
        <f>IFERROR(INDEX('Docketed Comments'!I:I,MATCH(A379,'Docketed Comments'!H:H,0)),"")</f>
        <v>R3-47</v>
      </c>
      <c r="K379" s="60" t="str">
        <f t="shared" si="11"/>
        <v>✅ On Best Plan</v>
      </c>
      <c r="L379" s="60" t="str">
        <f>IFERROR(INDEX('Docketed Comments'!F:F,MATCH(A379,'Docketed Comments'!H:H,0)),"")</f>
        <v>Form letter</v>
      </c>
      <c r="M379" s="120" t="str">
        <f>IFERROR(INDEX('Docketed Comments'!G:G,MATCH(A379,'Docketed Comments'!H:H,0)),"")</f>
        <v>https://images.edocket.azcc.gov/docketpdf/E000046190.pdf</v>
      </c>
      <c r="N379" s="118" t="str">
        <f>IFERROR(INDEX('Docketed Comments'!N:N,MATCH(A379,'Docketed Comments'!H:H,0)),"")</f>
        <v>No</v>
      </c>
      <c r="O379" s="118" t="str">
        <f>IFERROR(INDEX('Docketed Comments'!L:L,MATCH(A379,'Docketed Comments'!H:H,0)),"")</f>
        <v>Yes</v>
      </c>
      <c r="P379" s="119">
        <f t="shared" si="10"/>
        <v>0</v>
      </c>
      <c r="Q379" s="60"/>
      <c r="R379" s="64" t="s">
        <v>75</v>
      </c>
      <c r="S379" s="124" t="s">
        <v>869</v>
      </c>
    </row>
    <row r="380" spans="1:19" ht="21.95" hidden="1" customHeight="1">
      <c r="A380" s="66" t="s">
        <v>870</v>
      </c>
      <c r="B380" s="64" t="s">
        <v>20</v>
      </c>
      <c r="C380" s="65">
        <v>46074</v>
      </c>
      <c r="D380" s="64" t="s">
        <v>21</v>
      </c>
      <c r="E380" s="64" t="s">
        <v>22</v>
      </c>
      <c r="F380" s="60"/>
      <c r="G380" s="60"/>
      <c r="H380" s="60" t="str">
        <f>IFERROR(INDEX('Docketed Comments'!C:C,MATCH(A380,'Docketed Comments'!H:H,0))&amp;", "&amp;INDEX('Docketed Comments'!B:B,MATCH(A380,'Docketed Comments'!H:H,0)),"")</f>
        <v>Madison, Theis</v>
      </c>
      <c r="I380" s="60" t="str">
        <f>IFERROR(INDEX('Docketed Comments'!D:D,MATCH(A380,'Docketed Comments'!H:H,0)),"")</f>
        <v>Phoenix</v>
      </c>
      <c r="J380" s="60" t="str">
        <f>IFERROR(INDEX('Docketed Comments'!I:I,MATCH(A380,'Docketed Comments'!H:H,0)),"")</f>
        <v>R-XS</v>
      </c>
      <c r="K380" s="60" t="str">
        <f t="shared" si="11"/>
        <v>✅ On Best Plan</v>
      </c>
      <c r="L380" s="60" t="str">
        <f>IFERROR(INDEX('Docketed Comments'!F:F,MATCH(A380,'Docketed Comments'!H:H,0)),"")</f>
        <v>Form letter</v>
      </c>
      <c r="M380" s="120" t="str">
        <f>IFERROR(INDEX('Docketed Comments'!G:G,MATCH(A380,'Docketed Comments'!H:H,0)),"")</f>
        <v>https://images.edocket.azcc.gov/docketpdf/E000046190.pdf</v>
      </c>
      <c r="N380" s="118" t="str">
        <f>IFERROR(INDEX('Docketed Comments'!N:N,MATCH(A380,'Docketed Comments'!H:H,0)),"")</f>
        <v>No</v>
      </c>
      <c r="O380" s="118" t="str">
        <f>IFERROR(INDEX('Docketed Comments'!L:L,MATCH(A380,'Docketed Comments'!H:H,0)),"")</f>
        <v>Yes</v>
      </c>
      <c r="P380" s="119">
        <f t="shared" si="10"/>
        <v>0</v>
      </c>
      <c r="Q380" s="60" t="s">
        <v>23</v>
      </c>
      <c r="R380" s="64" t="s">
        <v>24</v>
      </c>
      <c r="S380" s="64" t="s">
        <v>871</v>
      </c>
    </row>
    <row r="381" spans="1:19" ht="21.95" customHeight="1">
      <c r="A381" s="66" t="s">
        <v>872</v>
      </c>
      <c r="B381" s="64"/>
      <c r="C381" s="65"/>
      <c r="D381" s="64"/>
      <c r="E381" s="64"/>
      <c r="F381" s="60"/>
      <c r="G381" s="60" t="s">
        <v>88</v>
      </c>
      <c r="H381" s="60" t="str">
        <f>IFERROR(INDEX('Docketed Comments'!C:C,MATCH(A381,'Docketed Comments'!H:H,0))&amp;", "&amp;INDEX('Docketed Comments'!B:B,MATCH(A381,'Docketed Comments'!H:H,0)),"")</f>
        <v>Varun, Deep</v>
      </c>
      <c r="I381" s="60" t="str">
        <f>IFERROR(INDEX('Docketed Comments'!D:D,MATCH(A381,'Docketed Comments'!H:H,0)),"")</f>
        <v>Peoria</v>
      </c>
      <c r="J381" s="60" t="str">
        <f>IFERROR(INDEX('Docketed Comments'!I:I,MATCH(A381,'Docketed Comments'!H:H,0)),"")</f>
        <v>R-XS</v>
      </c>
      <c r="K381" s="60" t="str">
        <f t="shared" si="11"/>
        <v>✅ On Best Plan</v>
      </c>
      <c r="L381" s="60" t="str">
        <f>IFERROR(INDEX('Docketed Comments'!F:F,MATCH(A381,'Docketed Comments'!H:H,0)),"")</f>
        <v>Opposed</v>
      </c>
      <c r="M381" s="120" t="str">
        <f>IFERROR(INDEX('Docketed Comments'!G:G,MATCH(A381,'Docketed Comments'!H:H,0)),"")</f>
        <v>https://images.edocket.azcc.gov/docketpdf/E000046190.pdf</v>
      </c>
      <c r="N381" s="118" t="str">
        <f>IFERROR(INDEX('Docketed Comments'!N:N,MATCH(A381,'Docketed Comments'!H:H,0)),"")</f>
        <v>No</v>
      </c>
      <c r="O381" s="118" t="str">
        <f>IFERROR(INDEX('Docketed Comments'!L:L,MATCH(A381,'Docketed Comments'!H:H,0)),"")</f>
        <v>Yes</v>
      </c>
      <c r="P381" s="119">
        <f t="shared" si="10"/>
        <v>0</v>
      </c>
      <c r="Q381" s="60"/>
      <c r="R381" s="64" t="s">
        <v>75</v>
      </c>
      <c r="S381" s="64" t="s">
        <v>873</v>
      </c>
    </row>
    <row r="382" spans="1:19" ht="21.95" hidden="1" customHeight="1">
      <c r="A382" s="66" t="s">
        <v>874</v>
      </c>
      <c r="B382" s="64" t="s">
        <v>20</v>
      </c>
      <c r="C382" s="65">
        <v>46074</v>
      </c>
      <c r="D382" s="64" t="s">
        <v>27</v>
      </c>
      <c r="E382" s="64" t="s">
        <v>35</v>
      </c>
      <c r="F382" s="60"/>
      <c r="G382" s="60"/>
      <c r="H382" s="60" t="str">
        <f>IFERROR(INDEX('Docketed Comments'!C:C,MATCH(A382,'Docketed Comments'!H:H,0))&amp;", "&amp;INDEX('Docketed Comments'!B:B,MATCH(A382,'Docketed Comments'!H:H,0)),"")</f>
        <v>Marie, Skidmore</v>
      </c>
      <c r="I382" s="60" t="str">
        <f>IFERROR(INDEX('Docketed Comments'!D:D,MATCH(A382,'Docketed Comments'!H:H,0)),"")</f>
        <v>Avondale</v>
      </c>
      <c r="J382" s="60" t="str">
        <f>IFERROR(INDEX('Docketed Comments'!I:I,MATCH(A382,'Docketed Comments'!H:H,0)),"")</f>
        <v>R3-47</v>
      </c>
      <c r="K382" s="60" t="str">
        <f t="shared" si="11"/>
        <v>✅ On Best Plan</v>
      </c>
      <c r="L382" s="60" t="str">
        <f>IFERROR(INDEX('Docketed Comments'!F:F,MATCH(A382,'Docketed Comments'!H:H,0)),"")</f>
        <v>Not affordable</v>
      </c>
      <c r="M382" s="120" t="str">
        <f>IFERROR(INDEX('Docketed Comments'!G:G,MATCH(A382,'Docketed Comments'!H:H,0)),"")</f>
        <v>https://images.edocket.azcc.gov/docketpdf/E000046190.pdf</v>
      </c>
      <c r="N382" s="118" t="str">
        <f>IFERROR(INDEX('Docketed Comments'!N:N,MATCH(A382,'Docketed Comments'!H:H,0)),"")</f>
        <v>No</v>
      </c>
      <c r="O382" s="118" t="str">
        <f>IFERROR(INDEX('Docketed Comments'!L:L,MATCH(A382,'Docketed Comments'!H:H,0)),"")</f>
        <v>Yes</v>
      </c>
      <c r="P382" s="119">
        <f t="shared" si="10"/>
        <v>0</v>
      </c>
      <c r="Q382" s="60" t="s">
        <v>23</v>
      </c>
      <c r="R382" s="64" t="s">
        <v>24</v>
      </c>
      <c r="S382" s="64" t="s">
        <v>875</v>
      </c>
    </row>
    <row r="383" spans="1:19" ht="21.95" customHeight="1">
      <c r="A383" s="66" t="s">
        <v>876</v>
      </c>
      <c r="B383" s="64"/>
      <c r="C383" s="65"/>
      <c r="D383" s="64"/>
      <c r="E383" s="64"/>
      <c r="F383" s="60"/>
      <c r="G383" s="60" t="s">
        <v>88</v>
      </c>
      <c r="H383" s="60" t="str">
        <f>IFERROR(INDEX('Docketed Comments'!C:C,MATCH(A383,'Docketed Comments'!H:H,0))&amp;", "&amp;INDEX('Docketed Comments'!B:B,MATCH(A383,'Docketed Comments'!H:H,0)),"")</f>
        <v>Casey, Floyd</v>
      </c>
      <c r="I383" s="60" t="str">
        <f>IFERROR(INDEX('Docketed Comments'!D:D,MATCH(A383,'Docketed Comments'!H:H,0)),"")</f>
        <v>Peoria</v>
      </c>
      <c r="J383" s="60" t="str">
        <f>IFERROR(INDEX('Docketed Comments'!I:I,MATCH(A383,'Docketed Comments'!H:H,0)),"")</f>
        <v>R3-47</v>
      </c>
      <c r="K383" s="60" t="str">
        <f t="shared" si="11"/>
        <v>✅ On Best Plan</v>
      </c>
      <c r="L383" s="60" t="str">
        <f>IFERROR(INDEX('Docketed Comments'!F:F,MATCH(A383,'Docketed Comments'!H:H,0)),"")</f>
        <v>Form letter</v>
      </c>
      <c r="M383" s="120" t="str">
        <f>IFERROR(INDEX('Docketed Comments'!G:G,MATCH(A383,'Docketed Comments'!H:H,0)),"")</f>
        <v>https://images.edocket.azcc.gov/docketpdf/E000046190.pdf</v>
      </c>
      <c r="N383" s="118" t="str">
        <f>IFERROR(INDEX('Docketed Comments'!N:N,MATCH(A383,'Docketed Comments'!H:H,0)),"")</f>
        <v>No</v>
      </c>
      <c r="O383" s="118" t="str">
        <f>IFERROR(INDEX('Docketed Comments'!L:L,MATCH(A383,'Docketed Comments'!H:H,0)),"")</f>
        <v>Yes</v>
      </c>
      <c r="P383" s="119">
        <f t="shared" si="10"/>
        <v>0</v>
      </c>
      <c r="Q383" s="60"/>
      <c r="R383" s="64" t="s">
        <v>75</v>
      </c>
      <c r="S383" s="64" t="s">
        <v>877</v>
      </c>
    </row>
    <row r="384" spans="1:19" ht="21.95" customHeight="1">
      <c r="A384" s="66" t="s">
        <v>878</v>
      </c>
      <c r="B384" s="64"/>
      <c r="C384" s="65"/>
      <c r="D384" s="64"/>
      <c r="E384" s="64"/>
      <c r="F384" s="60"/>
      <c r="G384" s="60" t="s">
        <v>88</v>
      </c>
      <c r="H384" s="60" t="str">
        <f>IFERROR(INDEX('Docketed Comments'!C:C,MATCH(A384,'Docketed Comments'!H:H,0))&amp;", "&amp;INDEX('Docketed Comments'!B:B,MATCH(A384,'Docketed Comments'!H:H,0)),"")</f>
        <v>Gary, Vogt</v>
      </c>
      <c r="I384" s="60" t="str">
        <f>IFERROR(INDEX('Docketed Comments'!D:D,MATCH(A384,'Docketed Comments'!H:H,0)),"")</f>
        <v>Sun City West</v>
      </c>
      <c r="J384" s="60" t="str">
        <f>IFERROR(INDEX('Docketed Comments'!I:I,MATCH(A384,'Docketed Comments'!H:H,0)),"")</f>
        <v>R-XS</v>
      </c>
      <c r="K384" s="60" t="str">
        <f t="shared" si="11"/>
        <v>✅ On Best Plan</v>
      </c>
      <c r="L384" s="60" t="str">
        <f>IFERROR(INDEX('Docketed Comments'!F:F,MATCH(A384,'Docketed Comments'!H:H,0)),"")</f>
        <v>APS profits high/fixed income, will strain budget</v>
      </c>
      <c r="M384" s="120" t="str">
        <f>IFERROR(INDEX('Docketed Comments'!G:G,MATCH(A384,'Docketed Comments'!H:H,0)),"")</f>
        <v>https://images.edocket.azcc.gov/docketpdf/E000046190.pdf</v>
      </c>
      <c r="N384" s="118" t="str">
        <f>IFERROR(INDEX('Docketed Comments'!N:N,MATCH(A384,'Docketed Comments'!H:H,0)),"")</f>
        <v>No</v>
      </c>
      <c r="O384" s="118" t="str">
        <f>IFERROR(INDEX('Docketed Comments'!L:L,MATCH(A384,'Docketed Comments'!H:H,0)),"")</f>
        <v>Yes</v>
      </c>
      <c r="P384" s="119">
        <f t="shared" si="10"/>
        <v>0</v>
      </c>
      <c r="Q384" s="60"/>
      <c r="R384" s="64" t="s">
        <v>75</v>
      </c>
      <c r="S384" s="64" t="s">
        <v>879</v>
      </c>
    </row>
    <row r="385" spans="1:19" ht="21.95" hidden="1" customHeight="1">
      <c r="A385" s="66" t="s">
        <v>880</v>
      </c>
      <c r="B385" s="64" t="s">
        <v>20</v>
      </c>
      <c r="C385" s="65">
        <v>46074</v>
      </c>
      <c r="D385" s="64" t="s">
        <v>21</v>
      </c>
      <c r="E385" s="64" t="s">
        <v>22</v>
      </c>
      <c r="F385" s="60"/>
      <c r="G385" s="60"/>
      <c r="H385" s="60" t="str">
        <f>IFERROR(INDEX('Docketed Comments'!C:C,MATCH(A385,'Docketed Comments'!H:H,0))&amp;", "&amp;INDEX('Docketed Comments'!B:B,MATCH(A385,'Docketed Comments'!H:H,0)),"")</f>
        <v>Traci, Heck</v>
      </c>
      <c r="I385" s="60" t="str">
        <f>IFERROR(INDEX('Docketed Comments'!D:D,MATCH(A385,'Docketed Comments'!H:H,0)),"")</f>
        <v>Surprise</v>
      </c>
      <c r="J385" s="60" t="str">
        <f>IFERROR(INDEX('Docketed Comments'!I:I,MATCH(A385,'Docketed Comments'!H:H,0)),"")</f>
        <v>R3-47</v>
      </c>
      <c r="K385" s="60" t="str">
        <f t="shared" si="11"/>
        <v>✅ On Best Plan</v>
      </c>
      <c r="L385" s="60" t="str">
        <f>IFERROR(INDEX('Docketed Comments'!F:F,MATCH(A385,'Docketed Comments'!H:H,0)),"")</f>
        <v>Paying $100s for house at 80 degrees</v>
      </c>
      <c r="M385" s="120" t="str">
        <f>IFERROR(INDEX('Docketed Comments'!G:G,MATCH(A385,'Docketed Comments'!H:H,0)),"")</f>
        <v>https://images.edocket.azcc.gov/docketpdf/E000046190.pdf</v>
      </c>
      <c r="N385" s="118" t="str">
        <f>IFERROR(INDEX('Docketed Comments'!N:N,MATCH(A385,'Docketed Comments'!H:H,0)),"")</f>
        <v>No</v>
      </c>
      <c r="O385" s="118" t="str">
        <f>IFERROR(INDEX('Docketed Comments'!L:L,MATCH(A385,'Docketed Comments'!H:H,0)),"")</f>
        <v>Yes</v>
      </c>
      <c r="P385" s="119">
        <f t="shared" si="10"/>
        <v>0</v>
      </c>
      <c r="Q385" s="60" t="s">
        <v>23</v>
      </c>
      <c r="R385" s="64" t="s">
        <v>24</v>
      </c>
      <c r="S385" s="64" t="s">
        <v>881</v>
      </c>
    </row>
    <row r="386" spans="1:19" ht="21.95" customHeight="1">
      <c r="A386" s="66" t="s">
        <v>882</v>
      </c>
      <c r="B386" s="64"/>
      <c r="C386" s="65"/>
      <c r="D386" s="64"/>
      <c r="E386" s="64"/>
      <c r="F386" s="60"/>
      <c r="G386" s="60" t="s">
        <v>88</v>
      </c>
      <c r="H386" s="60" t="str">
        <f>IFERROR(INDEX('Docketed Comments'!C:C,MATCH(A386,'Docketed Comments'!H:H,0))&amp;", "&amp;INDEX('Docketed Comments'!B:B,MATCH(A386,'Docketed Comments'!H:H,0)),"")</f>
        <v>Madhavan, Dhamotharan</v>
      </c>
      <c r="I386" s="60" t="str">
        <f>IFERROR(INDEX('Docketed Comments'!D:D,MATCH(A386,'Docketed Comments'!H:H,0)),"")</f>
        <v>Phoenix</v>
      </c>
      <c r="J386" s="60" t="str">
        <f>IFERROR(INDEX('Docketed Comments'!I:I,MATCH(A386,'Docketed Comments'!H:H,0)),"")</f>
        <v>R3-47</v>
      </c>
      <c r="K386" s="60" t="str">
        <f t="shared" si="11"/>
        <v>✅ On Best Plan</v>
      </c>
      <c r="L386" s="60" t="str">
        <f>IFERROR(INDEX('Docketed Comments'!F:F,MATCH(A386,'Docketed Comments'!H:H,0)),"")</f>
        <v>Form letter</v>
      </c>
      <c r="M386" s="120" t="str">
        <f>IFERROR(INDEX('Docketed Comments'!G:G,MATCH(A386,'Docketed Comments'!H:H,0)),"")</f>
        <v>https://images.edocket.azcc.gov/docketpdf/E000046190.pdf</v>
      </c>
      <c r="N386" s="118" t="str">
        <f>IFERROR(INDEX('Docketed Comments'!N:N,MATCH(A386,'Docketed Comments'!H:H,0)),"")</f>
        <v>No</v>
      </c>
      <c r="O386" s="118" t="str">
        <f>IFERROR(INDEX('Docketed Comments'!L:L,MATCH(A386,'Docketed Comments'!H:H,0)),"")</f>
        <v>Yes</v>
      </c>
      <c r="P386" s="119">
        <f t="shared" ref="P386:P449" si="12">IFERROR(IF(ISNUMBER(SEARCH("$",O386)),VALUE(SUBSTITUTE(SUBSTITUTE(MID(O386,FIND("$",O386)+1,FIND(")",O386)-FIND("$",O386)-1),",","")," ","")),VALUE(SUBSTITUTE(SUBSTITUTE(MID(O386,FIND("(",O386)+1,FIND(")",O386)-FIND("(",O386)-1),",","")," ",""))),0)</f>
        <v>0</v>
      </c>
      <c r="Q386" s="60"/>
      <c r="R386" s="64" t="s">
        <v>75</v>
      </c>
      <c r="S386" s="64" t="s">
        <v>883</v>
      </c>
    </row>
    <row r="387" spans="1:19" ht="21.95" hidden="1" customHeight="1">
      <c r="A387" s="66" t="s">
        <v>884</v>
      </c>
      <c r="B387" s="64" t="s">
        <v>20</v>
      </c>
      <c r="C387" s="65">
        <v>46074</v>
      </c>
      <c r="D387" s="64" t="s">
        <v>27</v>
      </c>
      <c r="E387" s="64" t="s">
        <v>885</v>
      </c>
      <c r="F387" s="60"/>
      <c r="G387" s="60"/>
      <c r="H387" s="60" t="str">
        <f>IFERROR(INDEX('Docketed Comments'!C:C,MATCH(A387,'Docketed Comments'!H:H,0))&amp;", "&amp;INDEX('Docketed Comments'!B:B,MATCH(A387,'Docketed Comments'!H:H,0)),"")</f>
        <v>Ty , Johnson</v>
      </c>
      <c r="I387" s="60" t="str">
        <f>IFERROR(INDEX('Docketed Comments'!D:D,MATCH(A387,'Docketed Comments'!H:H,0)),"")</f>
        <v>Chandler</v>
      </c>
      <c r="J387" s="60" t="str">
        <f>IFERROR(INDEX('Docketed Comments'!I:I,MATCH(A387,'Docketed Comments'!H:H,0)),"")</f>
        <v>R3-47</v>
      </c>
      <c r="K387" s="60" t="str">
        <f t="shared" ref="K387:K450" si="13">IFERROR(IF(OR(LEFT(O387,2)="No",LEFT(O387,3)="Not"),"❌ Not on Best Plan",IF(OR(O387="Yes",O387="Y",O387="Yes "),"✅ On Best Plan","⚠ "&amp;O387)),"")</f>
        <v>✅ On Best Plan</v>
      </c>
      <c r="L387" s="60" t="str">
        <f>IFERROR(INDEX('Docketed Comments'!F:F,MATCH(A387,'Docketed Comments'!H:H,0)),"")</f>
        <v>Form letter</v>
      </c>
      <c r="M387" s="120" t="str">
        <f>IFERROR(INDEX('Docketed Comments'!G:G,MATCH(A387,'Docketed Comments'!H:H,0)),"")</f>
        <v>https://images.edocket.azcc.gov/docketpdf/E000046190.pdf</v>
      </c>
      <c r="N387" s="118" t="str">
        <f>IFERROR(INDEX('Docketed Comments'!N:N,MATCH(A387,'Docketed Comments'!H:H,0)),"")</f>
        <v>No</v>
      </c>
      <c r="O387" s="118" t="str">
        <f>IFERROR(INDEX('Docketed Comments'!L:L,MATCH(A387,'Docketed Comments'!H:H,0)),"")</f>
        <v>Yes</v>
      </c>
      <c r="P387" s="119">
        <f t="shared" si="12"/>
        <v>0</v>
      </c>
      <c r="Q387" s="60" t="s">
        <v>23</v>
      </c>
      <c r="R387" s="64" t="s">
        <v>24</v>
      </c>
      <c r="S387" s="64" t="s">
        <v>886</v>
      </c>
    </row>
    <row r="388" spans="1:19" ht="21.95" customHeight="1">
      <c r="A388" s="66" t="s">
        <v>887</v>
      </c>
      <c r="B388" s="64"/>
      <c r="C388" s="65"/>
      <c r="D388" s="64"/>
      <c r="E388" s="64"/>
      <c r="F388" s="60"/>
      <c r="G388" s="60" t="s">
        <v>88</v>
      </c>
      <c r="H388" s="60" t="str">
        <f>IFERROR(INDEX('Docketed Comments'!C:C,MATCH(A388,'Docketed Comments'!H:H,0))&amp;", "&amp;INDEX('Docketed Comments'!B:B,MATCH(A388,'Docketed Comments'!H:H,0)),"")</f>
        <v>Wayne, Willett</v>
      </c>
      <c r="I388" s="60" t="str">
        <f>IFERROR(INDEX('Docketed Comments'!D:D,MATCH(A388,'Docketed Comments'!H:H,0)),"")</f>
        <v>Phoenix</v>
      </c>
      <c r="J388" s="60" t="str">
        <f>IFERROR(INDEX('Docketed Comments'!I:I,MATCH(A388,'Docketed Comments'!H:H,0)),"")</f>
        <v>R-XS</v>
      </c>
      <c r="K388" s="60" t="str">
        <f t="shared" si="13"/>
        <v>✅ On Best Plan</v>
      </c>
      <c r="L388" s="60" t="str">
        <f>IFERROR(INDEX('Docketed Comments'!F:F,MATCH(A388,'Docketed Comments'!H:H,0)),"")</f>
        <v>Form letter</v>
      </c>
      <c r="M388" s="120" t="str">
        <f>IFERROR(INDEX('Docketed Comments'!G:G,MATCH(A388,'Docketed Comments'!H:H,0)),"")</f>
        <v>https://images.edocket.azcc.gov/docketpdf/E000046190.pdf</v>
      </c>
      <c r="N388" s="118" t="str">
        <f>IFERROR(INDEX('Docketed Comments'!N:N,MATCH(A388,'Docketed Comments'!H:H,0)),"")</f>
        <v>No</v>
      </c>
      <c r="O388" s="118" t="str">
        <f>IFERROR(INDEX('Docketed Comments'!L:L,MATCH(A388,'Docketed Comments'!H:H,0)),"")</f>
        <v>Yes</v>
      </c>
      <c r="P388" s="119">
        <f t="shared" si="12"/>
        <v>0</v>
      </c>
      <c r="Q388" s="60"/>
      <c r="R388" s="64" t="s">
        <v>75</v>
      </c>
      <c r="S388" s="64" t="s">
        <v>888</v>
      </c>
    </row>
    <row r="389" spans="1:19" ht="21.95" hidden="1" customHeight="1">
      <c r="A389" s="66" t="s">
        <v>889</v>
      </c>
      <c r="B389" s="64" t="s">
        <v>20</v>
      </c>
      <c r="C389" s="65">
        <v>46074</v>
      </c>
      <c r="D389" s="64" t="s">
        <v>27</v>
      </c>
      <c r="E389" s="64" t="s">
        <v>22</v>
      </c>
      <c r="F389" s="60" t="s">
        <v>99</v>
      </c>
      <c r="G389" s="60"/>
      <c r="H389" s="60" t="str">
        <f>IFERROR(INDEX('Docketed Comments'!C:C,MATCH(A389,'Docketed Comments'!H:H,0))&amp;", "&amp;INDEX('Docketed Comments'!B:B,MATCH(A389,'Docketed Comments'!H:H,0)),"")</f>
        <v>Alan, Schwartz</v>
      </c>
      <c r="I389" s="60" t="str">
        <f>IFERROR(INDEX('Docketed Comments'!D:D,MATCH(A389,'Docketed Comments'!H:H,0)),"")</f>
        <v>Surprise</v>
      </c>
      <c r="J389" s="60" t="str">
        <f>IFERROR(INDEX('Docketed Comments'!I:I,MATCH(A389,'Docketed Comments'!H:H,0)),"")</f>
        <v>RCPw/RTOUE47</v>
      </c>
      <c r="K389" s="60" t="str">
        <f t="shared" si="13"/>
        <v>✅ On Best Plan</v>
      </c>
      <c r="L389" s="60" t="str">
        <f>IFERROR(INDEX('Docketed Comments'!F:F,MATCH(A389,'Docketed Comments'!H:H,0)),"")</f>
        <v>Doesn't deserve another rate increase</v>
      </c>
      <c r="M389" s="120" t="str">
        <f>IFERROR(INDEX('Docketed Comments'!G:G,MATCH(A389,'Docketed Comments'!H:H,0)),"")</f>
        <v>https://images.edocket.azcc.gov/docketpdf/E000046190.pdf</v>
      </c>
      <c r="N389" s="118" t="str">
        <f>IFERROR(INDEX('Docketed Comments'!N:N,MATCH(A389,'Docketed Comments'!H:H,0)),"")</f>
        <v>No</v>
      </c>
      <c r="O389" s="118" t="str">
        <f>IFERROR(INDEX('Docketed Comments'!L:L,MATCH(A389,'Docketed Comments'!H:H,0)),"")</f>
        <v>Yes</v>
      </c>
      <c r="P389" s="119">
        <f t="shared" si="12"/>
        <v>0</v>
      </c>
      <c r="Q389" s="60" t="s">
        <v>23</v>
      </c>
      <c r="R389" s="64" t="s">
        <v>24</v>
      </c>
      <c r="S389" s="64" t="s">
        <v>890</v>
      </c>
    </row>
    <row r="390" spans="1:19" ht="21.95" customHeight="1">
      <c r="A390" s="66" t="s">
        <v>891</v>
      </c>
      <c r="B390" s="64"/>
      <c r="C390" s="65"/>
      <c r="D390" s="64"/>
      <c r="E390" s="64"/>
      <c r="F390" s="60"/>
      <c r="G390" s="60" t="s">
        <v>88</v>
      </c>
      <c r="H390" s="60" t="str">
        <f>IFERROR(INDEX('Docketed Comments'!C:C,MATCH(A390,'Docketed Comments'!H:H,0))&amp;", "&amp;INDEX('Docketed Comments'!B:B,MATCH(A390,'Docketed Comments'!H:H,0)),"")</f>
        <v>Stacy, Nance</v>
      </c>
      <c r="I390" s="60" t="str">
        <f>IFERROR(INDEX('Docketed Comments'!D:D,MATCH(A390,'Docketed Comments'!H:H,0)),"")</f>
        <v>Goodyear</v>
      </c>
      <c r="J390" s="60" t="str">
        <f>IFERROR(INDEX('Docketed Comments'!I:I,MATCH(A390,'Docketed Comments'!H:H,0)),"")</f>
        <v>R-XS</v>
      </c>
      <c r="K390" s="60" t="str">
        <f t="shared" si="13"/>
        <v>✅ On Best Plan</v>
      </c>
      <c r="L390" s="60" t="str">
        <f>IFERROR(INDEX('Docketed Comments'!F:F,MATCH(A390,'Docketed Comments'!H:H,0)),"")</f>
        <v>No more increases, already paycheck to paycheck</v>
      </c>
      <c r="M390" s="120" t="str">
        <f>IFERROR(INDEX('Docketed Comments'!G:G,MATCH(A390,'Docketed Comments'!H:H,0)),"")</f>
        <v>https://images.edocket.azcc.gov/docketpdf/E000046190.pdf</v>
      </c>
      <c r="N390" s="118" t="str">
        <f>IFERROR(INDEX('Docketed Comments'!N:N,MATCH(A390,'Docketed Comments'!H:H,0)),"")</f>
        <v>No</v>
      </c>
      <c r="O390" s="118" t="str">
        <f>IFERROR(INDEX('Docketed Comments'!L:L,MATCH(A390,'Docketed Comments'!H:H,0)),"")</f>
        <v>Yes</v>
      </c>
      <c r="P390" s="119">
        <f t="shared" si="12"/>
        <v>0</v>
      </c>
      <c r="Q390" s="60"/>
      <c r="R390" s="64" t="s">
        <v>75</v>
      </c>
      <c r="S390" s="64" t="s">
        <v>892</v>
      </c>
    </row>
    <row r="391" spans="1:19" ht="21.95" hidden="1" customHeight="1">
      <c r="A391" s="66" t="s">
        <v>893</v>
      </c>
      <c r="B391" s="64" t="s">
        <v>20</v>
      </c>
      <c r="C391" s="65">
        <v>46074</v>
      </c>
      <c r="D391" s="64" t="s">
        <v>21</v>
      </c>
      <c r="E391" s="64" t="s">
        <v>22</v>
      </c>
      <c r="F391" s="60"/>
      <c r="G391" s="60"/>
      <c r="H391" s="60" t="str">
        <f>IFERROR(INDEX('Docketed Comments'!C:C,MATCH(A391,'Docketed Comments'!H:H,0))&amp;", "&amp;INDEX('Docketed Comments'!B:B,MATCH(A391,'Docketed Comments'!H:H,0)),"")</f>
        <v>Austin, Beatty</v>
      </c>
      <c r="I391" s="60" t="str">
        <f>IFERROR(INDEX('Docketed Comments'!D:D,MATCH(A391,'Docketed Comments'!H:H,0)),"")</f>
        <v>Cottonwood</v>
      </c>
      <c r="J391" s="60" t="str">
        <f>IFERROR(INDEX('Docketed Comments'!I:I,MATCH(A391,'Docketed Comments'!H:H,0)),"")</f>
        <v>R-2</v>
      </c>
      <c r="K391" s="60" t="str">
        <f t="shared" si="13"/>
        <v>⚠ Frozen Rate</v>
      </c>
      <c r="L391" s="60" t="str">
        <f>IFERROR(INDEX('Docketed Comments'!F:F,MATCH(A391,'Docketed Comments'!H:H,0)),"")</f>
        <v>Unacceptable financial burden</v>
      </c>
      <c r="M391" s="120" t="str">
        <f>IFERROR(INDEX('Docketed Comments'!G:G,MATCH(A391,'Docketed Comments'!H:H,0)),"")</f>
        <v>https://images.edocket.azcc.gov/docketpdf/E000046190.pdf</v>
      </c>
      <c r="N391" s="118" t="str">
        <f>IFERROR(INDEX('Docketed Comments'!N:N,MATCH(A391,'Docketed Comments'!H:H,0)),"")</f>
        <v>No</v>
      </c>
      <c r="O391" s="118" t="str">
        <f>IFERROR(INDEX('Docketed Comments'!L:L,MATCH(A391,'Docketed Comments'!H:H,0)),"")</f>
        <v>Frozen Rate</v>
      </c>
      <c r="P391" s="119">
        <f t="shared" si="12"/>
        <v>0</v>
      </c>
      <c r="Q391" s="60" t="s">
        <v>23</v>
      </c>
      <c r="R391" s="64" t="s">
        <v>24</v>
      </c>
      <c r="S391" s="64" t="s">
        <v>894</v>
      </c>
    </row>
    <row r="392" spans="1:19" ht="21.95" customHeight="1">
      <c r="A392" s="66" t="s">
        <v>895</v>
      </c>
      <c r="B392" s="64"/>
      <c r="C392" s="65"/>
      <c r="D392" s="64"/>
      <c r="E392" s="64"/>
      <c r="F392" s="60"/>
      <c r="G392" s="60" t="s">
        <v>88</v>
      </c>
      <c r="H392" s="60" t="str">
        <f>IFERROR(INDEX('Docketed Comments'!C:C,MATCH(A392,'Docketed Comments'!H:H,0))&amp;", "&amp;INDEX('Docketed Comments'!B:B,MATCH(A392,'Docketed Comments'!H:H,0)),"")</f>
        <v>Robert, Embrey</v>
      </c>
      <c r="I392" s="60" t="str">
        <f>IFERROR(INDEX('Docketed Comments'!D:D,MATCH(A392,'Docketed Comments'!H:H,0)),"")</f>
        <v>Goodyear</v>
      </c>
      <c r="J392" s="60" t="str">
        <f>IFERROR(INDEX('Docketed Comments'!I:I,MATCH(A392,'Docketed Comments'!H:H,0)),"")</f>
        <v>R-2</v>
      </c>
      <c r="K392" s="60" t="str">
        <f t="shared" si="13"/>
        <v>⚠ Frozen Rate</v>
      </c>
      <c r="L392" s="60" t="str">
        <f>IFERROR(INDEX('Docketed Comments'!F:F,MATCH(A392,'Docketed Comments'!H:H,0)),"")</f>
        <v xml:space="preserve">Fixed income </v>
      </c>
      <c r="M392" s="120" t="str">
        <f>IFERROR(INDEX('Docketed Comments'!G:G,MATCH(A392,'Docketed Comments'!H:H,0)),"")</f>
        <v>https://images.edocket.azcc.gov/docketpdf/E000046190.pdf</v>
      </c>
      <c r="N392" s="118" t="str">
        <f>IFERROR(INDEX('Docketed Comments'!N:N,MATCH(A392,'Docketed Comments'!H:H,0)),"")</f>
        <v>No</v>
      </c>
      <c r="O392" s="118" t="str">
        <f>IFERROR(INDEX('Docketed Comments'!L:L,MATCH(A392,'Docketed Comments'!H:H,0)),"")</f>
        <v>Frozen Rate</v>
      </c>
      <c r="P392" s="119">
        <f t="shared" si="12"/>
        <v>0</v>
      </c>
      <c r="Q392" s="60"/>
      <c r="R392" s="64" t="s">
        <v>75</v>
      </c>
      <c r="S392" s="64" t="s">
        <v>896</v>
      </c>
    </row>
    <row r="393" spans="1:19" ht="21.95" hidden="1" customHeight="1">
      <c r="A393" s="66" t="s">
        <v>897</v>
      </c>
      <c r="B393" s="64" t="s">
        <v>20</v>
      </c>
      <c r="C393" s="65">
        <v>46074</v>
      </c>
      <c r="D393" s="64" t="s">
        <v>21</v>
      </c>
      <c r="E393" s="64" t="s">
        <v>22</v>
      </c>
      <c r="F393" s="60"/>
      <c r="G393" s="60"/>
      <c r="H393" s="60" t="str">
        <f>IFERROR(INDEX('Docketed Comments'!C:C,MATCH(A393,'Docketed Comments'!H:H,0))&amp;", "&amp;INDEX('Docketed Comments'!B:B,MATCH(A393,'Docketed Comments'!H:H,0)),"")</f>
        <v>Abraham, Oakley</v>
      </c>
      <c r="I393" s="60" t="str">
        <f>IFERROR(INDEX('Docketed Comments'!D:D,MATCH(A393,'Docketed Comments'!H:H,0)),"")</f>
        <v>Phoenix</v>
      </c>
      <c r="J393" s="60" t="str">
        <f>IFERROR(INDEX('Docketed Comments'!I:I,MATCH(A393,'Docketed Comments'!H:H,0)),"")</f>
        <v>R3-47</v>
      </c>
      <c r="K393" s="60" t="str">
        <f t="shared" si="13"/>
        <v>✅ On Best Plan</v>
      </c>
      <c r="L393" s="60" t="str">
        <f>IFERROR(INDEX('Docketed Comments'!F:F,MATCH(A393,'Docketed Comments'!H:H,0)),"")</f>
        <v>Form letter</v>
      </c>
      <c r="M393" s="120" t="str">
        <f>IFERROR(INDEX('Docketed Comments'!G:G,MATCH(A393,'Docketed Comments'!H:H,0)),"")</f>
        <v>https://images.edocket.azcc.gov/docketpdf/E000046190.pdf</v>
      </c>
      <c r="N393" s="118" t="str">
        <f>IFERROR(INDEX('Docketed Comments'!N:N,MATCH(A393,'Docketed Comments'!H:H,0)),"")</f>
        <v>No</v>
      </c>
      <c r="O393" s="118" t="str">
        <f>IFERROR(INDEX('Docketed Comments'!L:L,MATCH(A393,'Docketed Comments'!H:H,0)),"")</f>
        <v>Yes</v>
      </c>
      <c r="P393" s="119">
        <f t="shared" si="12"/>
        <v>0</v>
      </c>
      <c r="Q393" s="60" t="s">
        <v>23</v>
      </c>
      <c r="R393" s="64" t="s">
        <v>24</v>
      </c>
      <c r="S393" s="64" t="s">
        <v>898</v>
      </c>
    </row>
    <row r="394" spans="1:19" ht="21.95" customHeight="1">
      <c r="A394" s="66" t="s">
        <v>899</v>
      </c>
      <c r="B394" s="64"/>
      <c r="C394" s="65"/>
      <c r="D394" s="64"/>
      <c r="E394" s="64"/>
      <c r="F394" s="60"/>
      <c r="G394" s="60" t="s">
        <v>88</v>
      </c>
      <c r="H394" s="60" t="str">
        <f>IFERROR(INDEX('Docketed Comments'!C:C,MATCH(A394,'Docketed Comments'!H:H,0))&amp;", "&amp;INDEX('Docketed Comments'!B:B,MATCH(A394,'Docketed Comments'!H:H,0)),"")</f>
        <v>Scott, Grow</v>
      </c>
      <c r="I394" s="60" t="str">
        <f>IFERROR(INDEX('Docketed Comments'!D:D,MATCH(A394,'Docketed Comments'!H:H,0)),"")</f>
        <v>Peoria</v>
      </c>
      <c r="J394" s="60" t="str">
        <f>IFERROR(INDEX('Docketed Comments'!I:I,MATCH(A394,'Docketed Comments'!H:H,0)),"")</f>
        <v>R-BASIC</v>
      </c>
      <c r="K394" s="60" t="str">
        <f t="shared" si="13"/>
        <v>✅ On Best Plan</v>
      </c>
      <c r="L394" s="60" t="str">
        <f>IFERROR(INDEX('Docketed Comments'!F:F,MATCH(A394,'Docketed Comments'!H:H,0)),"")</f>
        <v>Bill has gone up every year</v>
      </c>
      <c r="M394" s="120" t="str">
        <f>IFERROR(INDEX('Docketed Comments'!G:G,MATCH(A394,'Docketed Comments'!H:H,0)),"")</f>
        <v>https://images.edocket.azcc.gov/docketpdf/E000046190.pdf</v>
      </c>
      <c r="N394" s="118" t="str">
        <f>IFERROR(INDEX('Docketed Comments'!N:N,MATCH(A394,'Docketed Comments'!H:H,0)),"")</f>
        <v>No</v>
      </c>
      <c r="O394" s="118" t="str">
        <f>IFERROR(INDEX('Docketed Comments'!L:L,MATCH(A394,'Docketed Comments'!H:H,0)),"")</f>
        <v>Yes</v>
      </c>
      <c r="P394" s="119">
        <f t="shared" si="12"/>
        <v>0</v>
      </c>
      <c r="Q394" s="60"/>
      <c r="R394" s="64" t="s">
        <v>75</v>
      </c>
      <c r="S394" s="64" t="s">
        <v>900</v>
      </c>
    </row>
    <row r="395" spans="1:19" ht="21.95" hidden="1" customHeight="1">
      <c r="A395" s="66" t="s">
        <v>901</v>
      </c>
      <c r="B395" s="64" t="s">
        <v>20</v>
      </c>
      <c r="C395" s="65">
        <v>46074</v>
      </c>
      <c r="D395" s="64" t="s">
        <v>21</v>
      </c>
      <c r="E395" s="64" t="s">
        <v>22</v>
      </c>
      <c r="F395" s="60"/>
      <c r="G395" s="60"/>
      <c r="H395" s="60" t="str">
        <f>IFERROR(INDEX('Docketed Comments'!C:C,MATCH(A395,'Docketed Comments'!H:H,0))&amp;", "&amp;INDEX('Docketed Comments'!B:B,MATCH(A395,'Docketed Comments'!H:H,0)),"")</f>
        <v>Austin, Satawa</v>
      </c>
      <c r="I395" s="60" t="str">
        <f>IFERROR(INDEX('Docketed Comments'!D:D,MATCH(A395,'Docketed Comments'!H:H,0)),"")</f>
        <v>Phoenix</v>
      </c>
      <c r="J395" s="60" t="str">
        <f>IFERROR(INDEX('Docketed Comments'!I:I,MATCH(A395,'Docketed Comments'!H:H,0)),"")</f>
        <v>R-XS</v>
      </c>
      <c r="K395" s="60" t="str">
        <f t="shared" si="13"/>
        <v>✅ On Best Plan</v>
      </c>
      <c r="L395" s="60" t="str">
        <f>IFERROR(INDEX('Docketed Comments'!F:F,MATCH(A395,'Docketed Comments'!H:H,0)),"")</f>
        <v>Form letter</v>
      </c>
      <c r="M395" s="120" t="str">
        <f>IFERROR(INDEX('Docketed Comments'!G:G,MATCH(A395,'Docketed Comments'!H:H,0)),"")</f>
        <v>https://images.edocket.azcc.gov/docketpdf/E000046190.pdf</v>
      </c>
      <c r="N395" s="118" t="str">
        <f>IFERROR(INDEX('Docketed Comments'!N:N,MATCH(A395,'Docketed Comments'!H:H,0)),"")</f>
        <v>No</v>
      </c>
      <c r="O395" s="118" t="str">
        <f>IFERROR(INDEX('Docketed Comments'!L:L,MATCH(A395,'Docketed Comments'!H:H,0)),"")</f>
        <v>Yes</v>
      </c>
      <c r="P395" s="119">
        <f t="shared" si="12"/>
        <v>0</v>
      </c>
      <c r="Q395" s="60" t="s">
        <v>23</v>
      </c>
      <c r="R395" s="64" t="s">
        <v>24</v>
      </c>
      <c r="S395" s="64" t="s">
        <v>902</v>
      </c>
    </row>
    <row r="396" spans="1:19" ht="21.95" customHeight="1">
      <c r="A396" s="66" t="s">
        <v>903</v>
      </c>
      <c r="B396" s="64"/>
      <c r="C396" s="65"/>
      <c r="D396" s="64"/>
      <c r="E396" s="64"/>
      <c r="F396" s="60"/>
      <c r="G396" s="60" t="s">
        <v>88</v>
      </c>
      <c r="H396" s="60" t="str">
        <f>IFERROR(INDEX('Docketed Comments'!C:C,MATCH(A396,'Docketed Comments'!H:H,0))&amp;", "&amp;INDEX('Docketed Comments'!B:B,MATCH(A396,'Docketed Comments'!H:H,0)),"")</f>
        <v>Matthew, Messner</v>
      </c>
      <c r="I396" s="60" t="str">
        <f>IFERROR(INDEX('Docketed Comments'!D:D,MATCH(A396,'Docketed Comments'!H:H,0)),"")</f>
        <v>Glendale</v>
      </c>
      <c r="J396" s="60" t="str">
        <f>IFERROR(INDEX('Docketed Comments'!I:I,MATCH(A396,'Docketed Comments'!H:H,0)),"")</f>
        <v>R3-47</v>
      </c>
      <c r="K396" s="60" t="str">
        <f t="shared" si="13"/>
        <v>✅ On Best Plan</v>
      </c>
      <c r="L396" s="60" t="str">
        <f>IFERROR(INDEX('Docketed Comments'!F:F,MATCH(A396,'Docketed Comments'!H:H,0)),"")</f>
        <v>Data centers shouldn't be residents cross to bear</v>
      </c>
      <c r="M396" s="120" t="str">
        <f>IFERROR(INDEX('Docketed Comments'!G:G,MATCH(A396,'Docketed Comments'!H:H,0)),"")</f>
        <v>https://images.edocket.azcc.gov/docketpdf/E000046190.pdf</v>
      </c>
      <c r="N396" s="118" t="str">
        <f>IFERROR(INDEX('Docketed Comments'!N:N,MATCH(A396,'Docketed Comments'!H:H,0)),"")</f>
        <v>No</v>
      </c>
      <c r="O396" s="118" t="str">
        <f>IFERROR(INDEX('Docketed Comments'!L:L,MATCH(A396,'Docketed Comments'!H:H,0)),"")</f>
        <v>Yes</v>
      </c>
      <c r="P396" s="119">
        <f t="shared" si="12"/>
        <v>0</v>
      </c>
      <c r="Q396" s="60"/>
      <c r="R396" s="64" t="s">
        <v>75</v>
      </c>
      <c r="S396" s="64" t="s">
        <v>904</v>
      </c>
    </row>
    <row r="397" spans="1:19" ht="21.95" customHeight="1">
      <c r="A397" s="66" t="s">
        <v>905</v>
      </c>
      <c r="B397" s="64"/>
      <c r="C397" s="65"/>
      <c r="D397" s="64"/>
      <c r="E397" s="64"/>
      <c r="F397" s="60"/>
      <c r="G397" s="60" t="s">
        <v>88</v>
      </c>
      <c r="H397" s="60" t="str">
        <f>IFERROR(INDEX('Docketed Comments'!C:C,MATCH(A397,'Docketed Comments'!H:H,0))&amp;", "&amp;INDEX('Docketed Comments'!B:B,MATCH(A397,'Docketed Comments'!H:H,0)),"")</f>
        <v>Emily, Wasylenko</v>
      </c>
      <c r="I397" s="60" t="str">
        <f>IFERROR(INDEX('Docketed Comments'!D:D,MATCH(A397,'Docketed Comments'!H:H,0)),"")</f>
        <v>Scottsdale</v>
      </c>
      <c r="J397" s="60" t="str">
        <f>IFERROR(INDEX('Docketed Comments'!I:I,MATCH(A397,'Docketed Comments'!H:H,0)),"")</f>
        <v>RTOUE47</v>
      </c>
      <c r="K397" s="60" t="str">
        <f t="shared" si="13"/>
        <v>✅ On Best Plan</v>
      </c>
      <c r="L397" s="60" t="str">
        <f>IFERROR(INDEX('Docketed Comments'!F:F,MATCH(A397,'Docketed Comments'!H:H,0)),"")</f>
        <v>Form letter</v>
      </c>
      <c r="M397" s="120" t="str">
        <f>IFERROR(INDEX('Docketed Comments'!G:G,MATCH(A397,'Docketed Comments'!H:H,0)),"")</f>
        <v>https://images.edocket.azcc.gov/docketpdf/E000046190.pdf</v>
      </c>
      <c r="N397" s="118" t="str">
        <f>IFERROR(INDEX('Docketed Comments'!N:N,MATCH(A397,'Docketed Comments'!H:H,0)),"")</f>
        <v>No</v>
      </c>
      <c r="O397" s="118" t="str">
        <f>IFERROR(INDEX('Docketed Comments'!L:L,MATCH(A397,'Docketed Comments'!H:H,0)),"")</f>
        <v>Yes</v>
      </c>
      <c r="P397" s="119">
        <f t="shared" si="12"/>
        <v>0</v>
      </c>
      <c r="Q397" s="60"/>
      <c r="R397" s="64" t="s">
        <v>75</v>
      </c>
      <c r="S397" s="64" t="s">
        <v>906</v>
      </c>
    </row>
    <row r="398" spans="1:19" ht="21.95" hidden="1" customHeight="1">
      <c r="A398" s="66" t="s">
        <v>907</v>
      </c>
      <c r="B398" s="64" t="s">
        <v>20</v>
      </c>
      <c r="C398" s="65">
        <v>46074</v>
      </c>
      <c r="D398" s="64" t="s">
        <v>21</v>
      </c>
      <c r="E398" s="64" t="s">
        <v>22</v>
      </c>
      <c r="F398" s="60" t="s">
        <v>99</v>
      </c>
      <c r="G398" s="60"/>
      <c r="H398" s="60" t="str">
        <f>IFERROR(INDEX('Docketed Comments'!C:C,MATCH(A398,'Docketed Comments'!H:H,0))&amp;", "&amp;INDEX('Docketed Comments'!B:B,MATCH(A398,'Docketed Comments'!H:H,0)),"")</f>
        <v>Lauren, Pernatozzi</v>
      </c>
      <c r="I398" s="60" t="str">
        <f>IFERROR(INDEX('Docketed Comments'!D:D,MATCH(A398,'Docketed Comments'!H:H,0)),"")</f>
        <v>Peoria</v>
      </c>
      <c r="J398" s="60" t="str">
        <f>IFERROR(INDEX('Docketed Comments'!I:I,MATCH(A398,'Docketed Comments'!H:H,0)),"")</f>
        <v>RTOUE47</v>
      </c>
      <c r="K398" s="60" t="str">
        <f t="shared" si="13"/>
        <v>✅ On Best Plan</v>
      </c>
      <c r="L398" s="60" t="str">
        <f>IFERROR(INDEX('Docketed Comments'!F:F,MATCH(A398,'Docketed Comments'!H:H,0)),"")</f>
        <v xml:space="preserve">Data centers </v>
      </c>
      <c r="M398" s="120" t="str">
        <f>IFERROR(INDEX('Docketed Comments'!G:G,MATCH(A398,'Docketed Comments'!H:H,0)),"")</f>
        <v>https://images.edocket.azcc.gov/docketpdf/E000046190.pdf</v>
      </c>
      <c r="N398" s="118" t="str">
        <f>IFERROR(INDEX('Docketed Comments'!N:N,MATCH(A398,'Docketed Comments'!H:H,0)),"")</f>
        <v>No</v>
      </c>
      <c r="O398" s="118" t="str">
        <f>IFERROR(INDEX('Docketed Comments'!L:L,MATCH(A398,'Docketed Comments'!H:H,0)),"")</f>
        <v>Yes</v>
      </c>
      <c r="P398" s="119">
        <f t="shared" si="12"/>
        <v>0</v>
      </c>
      <c r="Q398" s="60" t="s">
        <v>23</v>
      </c>
      <c r="R398" s="64" t="s">
        <v>24</v>
      </c>
      <c r="S398" s="64" t="s">
        <v>908</v>
      </c>
    </row>
    <row r="399" spans="1:19" ht="21.95" customHeight="1">
      <c r="A399" s="66" t="s">
        <v>909</v>
      </c>
      <c r="B399" s="64"/>
      <c r="C399" s="65"/>
      <c r="D399" s="64"/>
      <c r="E399" s="64"/>
      <c r="F399" s="60"/>
      <c r="G399" s="60" t="s">
        <v>88</v>
      </c>
      <c r="H399" s="60" t="str">
        <f>IFERROR(INDEX('Docketed Comments'!C:C,MATCH(A399,'Docketed Comments'!H:H,0))&amp;", "&amp;INDEX('Docketed Comments'!B:B,MATCH(A399,'Docketed Comments'!H:H,0)),"")</f>
        <v>Jennifer, Hansen</v>
      </c>
      <c r="I399" s="60" t="str">
        <f>IFERROR(INDEX('Docketed Comments'!D:D,MATCH(A399,'Docketed Comments'!H:H,0)),"")</f>
        <v>El Mirage</v>
      </c>
      <c r="J399" s="60" t="str">
        <f>IFERROR(INDEX('Docketed Comments'!I:I,MATCH(A399,'Docketed Comments'!H:H,0)),"")</f>
        <v>R3-47</v>
      </c>
      <c r="K399" s="60" t="str">
        <f t="shared" si="13"/>
        <v>✅ On Best Plan</v>
      </c>
      <c r="L399" s="60" t="str">
        <f>IFERROR(INDEX('Docketed Comments'!F:F,MATCH(A399,'Docketed Comments'!H:H,0)),"")</f>
        <v>Form letter</v>
      </c>
      <c r="M399" s="120" t="str">
        <f>IFERROR(INDEX('Docketed Comments'!G:G,MATCH(A399,'Docketed Comments'!H:H,0)),"")</f>
        <v>https://images.edocket.azcc.gov/docketpdf/E000046190.pdf</v>
      </c>
      <c r="N399" s="118" t="str">
        <f>IFERROR(INDEX('Docketed Comments'!N:N,MATCH(A399,'Docketed Comments'!H:H,0)),"")</f>
        <v>No</v>
      </c>
      <c r="O399" s="118" t="str">
        <f>IFERROR(INDEX('Docketed Comments'!L:L,MATCH(A399,'Docketed Comments'!H:H,0)),"")</f>
        <v>Yes</v>
      </c>
      <c r="P399" s="119">
        <f t="shared" si="12"/>
        <v>0</v>
      </c>
      <c r="Q399" s="60"/>
      <c r="R399" s="64" t="s">
        <v>75</v>
      </c>
      <c r="S399" s="64" t="s">
        <v>910</v>
      </c>
    </row>
    <row r="400" spans="1:19" ht="21.95" customHeight="1">
      <c r="A400" s="66" t="s">
        <v>911</v>
      </c>
      <c r="B400" s="64"/>
      <c r="C400" s="65"/>
      <c r="D400" s="64"/>
      <c r="E400" s="64"/>
      <c r="F400" s="60"/>
      <c r="G400" s="60" t="s">
        <v>88</v>
      </c>
      <c r="H400" s="60" t="str">
        <f>IFERROR(INDEX('Docketed Comments'!C:C,MATCH(A400,'Docketed Comments'!H:H,0))&amp;", "&amp;INDEX('Docketed Comments'!B:B,MATCH(A400,'Docketed Comments'!H:H,0)),"")</f>
        <v>Samira, Salameh</v>
      </c>
      <c r="I400" s="60" t="str">
        <f>IFERROR(INDEX('Docketed Comments'!D:D,MATCH(A400,'Docketed Comments'!H:H,0)),"")</f>
        <v xml:space="preserve">Peoria </v>
      </c>
      <c r="J400" s="60" t="str">
        <f>IFERROR(INDEX('Docketed Comments'!I:I,MATCH(A400,'Docketed Comments'!H:H,0)),"")</f>
        <v>R3-47</v>
      </c>
      <c r="K400" s="60" t="str">
        <f t="shared" si="13"/>
        <v>✅ On Best Plan</v>
      </c>
      <c r="L400" s="60" t="str">
        <f>IFERROR(INDEX('Docketed Comments'!F:F,MATCH(A400,'Docketed Comments'!H:H,0)),"")</f>
        <v>Form letter</v>
      </c>
      <c r="M400" s="120" t="str">
        <f>IFERROR(INDEX('Docketed Comments'!G:G,MATCH(A400,'Docketed Comments'!H:H,0)),"")</f>
        <v>https://images.edocket.azcc.gov/docketpdf/E000046190.pdf</v>
      </c>
      <c r="N400" s="118" t="str">
        <f>IFERROR(INDEX('Docketed Comments'!N:N,MATCH(A400,'Docketed Comments'!H:H,0)),"")</f>
        <v>No</v>
      </c>
      <c r="O400" s="118" t="str">
        <f>IFERROR(INDEX('Docketed Comments'!L:L,MATCH(A400,'Docketed Comments'!H:H,0)),"")</f>
        <v>Yes</v>
      </c>
      <c r="P400" s="119">
        <f t="shared" si="12"/>
        <v>0</v>
      </c>
      <c r="Q400" s="60"/>
      <c r="R400" s="64" t="s">
        <v>75</v>
      </c>
      <c r="S400" s="64" t="s">
        <v>912</v>
      </c>
    </row>
    <row r="401" spans="1:19" ht="21.95" customHeight="1">
      <c r="A401" s="66" t="s">
        <v>913</v>
      </c>
      <c r="B401" s="64"/>
      <c r="C401" s="65"/>
      <c r="D401" s="64"/>
      <c r="E401" s="64"/>
      <c r="F401" s="60"/>
      <c r="G401" s="60" t="s">
        <v>88</v>
      </c>
      <c r="H401" s="60" t="str">
        <f>IFERROR(INDEX('Docketed Comments'!C:C,MATCH(A401,'Docketed Comments'!H:H,0))&amp;", "&amp;INDEX('Docketed Comments'!B:B,MATCH(A401,'Docketed Comments'!H:H,0)),"")</f>
        <v>Paul, Benchwick</v>
      </c>
      <c r="I401" s="60" t="str">
        <f>IFERROR(INDEX('Docketed Comments'!D:D,MATCH(A401,'Docketed Comments'!H:H,0)),"")</f>
        <v>Scottsdale</v>
      </c>
      <c r="J401" s="60" t="str">
        <f>IFERROR(INDEX('Docketed Comments'!I:I,MATCH(A401,'Docketed Comments'!H:H,0)),"")</f>
        <v>R3-47</v>
      </c>
      <c r="K401" s="60" t="str">
        <f t="shared" si="13"/>
        <v>✅ On Best Plan</v>
      </c>
      <c r="L401" s="60" t="str">
        <f>IFERROR(INDEX('Docketed Comments'!F:F,MATCH(A401,'Docketed Comments'!H:H,0)),"")</f>
        <v>Outrageous</v>
      </c>
      <c r="M401" s="120" t="str">
        <f>IFERROR(INDEX('Docketed Comments'!G:G,MATCH(A401,'Docketed Comments'!H:H,0)),"")</f>
        <v>https://images.edocket.azcc.gov/docketpdf/E000046190.pdf</v>
      </c>
      <c r="N401" s="118" t="str">
        <f>IFERROR(INDEX('Docketed Comments'!N:N,MATCH(A401,'Docketed Comments'!H:H,0)),"")</f>
        <v>No</v>
      </c>
      <c r="O401" s="118" t="str">
        <f>IFERROR(INDEX('Docketed Comments'!L:L,MATCH(A401,'Docketed Comments'!H:H,0)),"")</f>
        <v>Yes</v>
      </c>
      <c r="P401" s="119">
        <f t="shared" si="12"/>
        <v>0</v>
      </c>
      <c r="Q401" s="60"/>
      <c r="R401" s="64" t="s">
        <v>75</v>
      </c>
      <c r="S401" s="64" t="s">
        <v>914</v>
      </c>
    </row>
    <row r="402" spans="1:19" ht="21.95" customHeight="1">
      <c r="A402" s="66" t="s">
        <v>915</v>
      </c>
      <c r="B402" s="64"/>
      <c r="C402" s="65"/>
      <c r="D402" s="64"/>
      <c r="E402" s="64"/>
      <c r="F402" s="60"/>
      <c r="G402" s="60" t="s">
        <v>88</v>
      </c>
      <c r="H402" s="60" t="str">
        <f>IFERROR(INDEX('Docketed Comments'!C:C,MATCH(A402,'Docketed Comments'!H:H,0))&amp;", "&amp;INDEX('Docketed Comments'!B:B,MATCH(A402,'Docketed Comments'!H:H,0)),"")</f>
        <v>Cathy, Hozian</v>
      </c>
      <c r="I402" s="60" t="str">
        <f>IFERROR(INDEX('Docketed Comments'!D:D,MATCH(A402,'Docketed Comments'!H:H,0)),"")</f>
        <v>Goodyear</v>
      </c>
      <c r="J402" s="60" t="str">
        <f>IFERROR(INDEX('Docketed Comments'!I:I,MATCH(A402,'Docketed Comments'!H:H,0)),"")</f>
        <v>R3-47</v>
      </c>
      <c r="K402" s="60" t="str">
        <f t="shared" si="13"/>
        <v>✅ On Best Plan</v>
      </c>
      <c r="L402" s="60" t="str">
        <f>IFERROR(INDEX('Docketed Comments'!F:F,MATCH(A402,'Docketed Comments'!H:H,0)),"")</f>
        <v>APS is greedy and evil</v>
      </c>
      <c r="M402" s="120" t="str">
        <f>IFERROR(INDEX('Docketed Comments'!G:G,MATCH(A402,'Docketed Comments'!H:H,0)),"")</f>
        <v>https://images.edocket.azcc.gov/docketpdf/E000046190.pdf</v>
      </c>
      <c r="N402" s="118" t="str">
        <f>IFERROR(INDEX('Docketed Comments'!N:N,MATCH(A402,'Docketed Comments'!H:H,0)),"")</f>
        <v>No</v>
      </c>
      <c r="O402" s="118" t="str">
        <f>IFERROR(INDEX('Docketed Comments'!L:L,MATCH(A402,'Docketed Comments'!H:H,0)),"")</f>
        <v>Yes</v>
      </c>
      <c r="P402" s="119">
        <f t="shared" si="12"/>
        <v>0</v>
      </c>
      <c r="Q402" s="60"/>
      <c r="R402" s="64" t="s">
        <v>75</v>
      </c>
      <c r="S402" s="64" t="s">
        <v>916</v>
      </c>
    </row>
    <row r="403" spans="1:19" ht="21.95" hidden="1" customHeight="1">
      <c r="A403" s="66" t="s">
        <v>917</v>
      </c>
      <c r="B403" s="64" t="s">
        <v>20</v>
      </c>
      <c r="C403" s="65">
        <v>46074</v>
      </c>
      <c r="D403" s="64" t="s">
        <v>21</v>
      </c>
      <c r="E403" s="64" t="s">
        <v>22</v>
      </c>
      <c r="F403" s="60"/>
      <c r="G403" s="60"/>
      <c r="H403" s="60" t="str">
        <f>IFERROR(INDEX('Docketed Comments'!C:C,MATCH(A403,'Docketed Comments'!H:H,0))&amp;", "&amp;INDEX('Docketed Comments'!B:B,MATCH(A403,'Docketed Comments'!H:H,0)),"")</f>
        <v>Ria, Hendrickson</v>
      </c>
      <c r="I403" s="60" t="str">
        <f>IFERROR(INDEX('Docketed Comments'!D:D,MATCH(A403,'Docketed Comments'!H:H,0)),"")</f>
        <v>Phoenix</v>
      </c>
      <c r="J403" s="60" t="str">
        <f>IFERROR(INDEX('Docketed Comments'!I:I,MATCH(A403,'Docketed Comments'!H:H,0)),"")</f>
        <v>R-XS</v>
      </c>
      <c r="K403" s="60" t="str">
        <f t="shared" si="13"/>
        <v>✅ On Best Plan</v>
      </c>
      <c r="L403" s="60" t="str">
        <f>IFERROR(INDEX('Docketed Comments'!F:F,MATCH(A403,'Docketed Comments'!H:H,0)),"")</f>
        <v>Form letter</v>
      </c>
      <c r="M403" s="120" t="str">
        <f>IFERROR(INDEX('Docketed Comments'!G:G,MATCH(A403,'Docketed Comments'!H:H,0)),"")</f>
        <v>https://images.edocket.azcc.gov/docketpdf/E000046190.pdf</v>
      </c>
      <c r="N403" s="118" t="str">
        <f>IFERROR(INDEX('Docketed Comments'!N:N,MATCH(A403,'Docketed Comments'!H:H,0)),"")</f>
        <v>No</v>
      </c>
      <c r="O403" s="118" t="str">
        <f>IFERROR(INDEX('Docketed Comments'!L:L,MATCH(A403,'Docketed Comments'!H:H,0)),"")</f>
        <v>Yes</v>
      </c>
      <c r="P403" s="119">
        <f t="shared" si="12"/>
        <v>0</v>
      </c>
      <c r="Q403" s="60" t="s">
        <v>23</v>
      </c>
      <c r="R403" s="64" t="s">
        <v>24</v>
      </c>
      <c r="S403" s="64" t="s">
        <v>918</v>
      </c>
    </row>
    <row r="404" spans="1:19" ht="21.95" customHeight="1">
      <c r="A404" s="66" t="s">
        <v>919</v>
      </c>
      <c r="B404" s="64"/>
      <c r="C404" s="65"/>
      <c r="D404" s="64"/>
      <c r="E404" s="64"/>
      <c r="F404" s="60"/>
      <c r="G404" s="60" t="s">
        <v>88</v>
      </c>
      <c r="H404" s="60" t="str">
        <f>IFERROR(INDEX('Docketed Comments'!C:C,MATCH(A404,'Docketed Comments'!H:H,0))&amp;", "&amp;INDEX('Docketed Comments'!B:B,MATCH(A404,'Docketed Comments'!H:H,0)),"")</f>
        <v>Victor, Meraz</v>
      </c>
      <c r="I404" s="60" t="str">
        <f>IFERROR(INDEX('Docketed Comments'!D:D,MATCH(A404,'Docketed Comments'!H:H,0)),"")</f>
        <v>Goodyear</v>
      </c>
      <c r="J404" s="60" t="str">
        <f>IFERROR(INDEX('Docketed Comments'!I:I,MATCH(A404,'Docketed Comments'!H:H,0)),"")</f>
        <v>R-XS</v>
      </c>
      <c r="K404" s="60" t="str">
        <f t="shared" si="13"/>
        <v>✅ On Best Plan</v>
      </c>
      <c r="L404" s="60" t="str">
        <f>IFERROR(INDEX('Docketed Comments'!F:F,MATCH(A404,'Docketed Comments'!H:H,0)),"")</f>
        <v>Already expensive enough</v>
      </c>
      <c r="M404" s="120" t="str">
        <f>IFERROR(INDEX('Docketed Comments'!G:G,MATCH(A404,'Docketed Comments'!H:H,0)),"")</f>
        <v>https://images.edocket.azcc.gov/docketpdf/E000046190.pdf</v>
      </c>
      <c r="N404" s="118" t="str">
        <f>IFERROR(INDEX('Docketed Comments'!N:N,MATCH(A404,'Docketed Comments'!H:H,0)),"")</f>
        <v>No</v>
      </c>
      <c r="O404" s="118" t="str">
        <f>IFERROR(INDEX('Docketed Comments'!L:L,MATCH(A404,'Docketed Comments'!H:H,0)),"")</f>
        <v>Yes</v>
      </c>
      <c r="P404" s="119">
        <f t="shared" si="12"/>
        <v>0</v>
      </c>
      <c r="Q404" s="60"/>
      <c r="R404" s="64" t="s">
        <v>75</v>
      </c>
      <c r="S404" s="64" t="s">
        <v>920</v>
      </c>
    </row>
    <row r="405" spans="1:19" ht="21.95" hidden="1" customHeight="1">
      <c r="A405" s="66" t="s">
        <v>921</v>
      </c>
      <c r="B405" s="64" t="s">
        <v>20</v>
      </c>
      <c r="C405" s="65">
        <v>46081</v>
      </c>
      <c r="D405" s="64" t="s">
        <v>27</v>
      </c>
      <c r="E405" s="64" t="s">
        <v>35</v>
      </c>
      <c r="F405" s="60"/>
      <c r="G405" s="60"/>
      <c r="H405" s="60" t="str">
        <f>IFERROR(INDEX('Docketed Comments'!C:C,MATCH(A405,'Docketed Comments'!H:H,0))&amp;", "&amp;INDEX('Docketed Comments'!B:B,MATCH(A405,'Docketed Comments'!H:H,0)),"")</f>
        <v>Jacqueline, Garrick</v>
      </c>
      <c r="I405" s="60" t="str">
        <f>IFERROR(INDEX('Docketed Comments'!D:D,MATCH(A405,'Docketed Comments'!H:H,0)),"")</f>
        <v>Litchfield Park</v>
      </c>
      <c r="J405" s="60" t="str">
        <f>IFERROR(INDEX('Docketed Comments'!I:I,MATCH(A405,'Docketed Comments'!H:H,0)),"")</f>
        <v>R-XS</v>
      </c>
      <c r="K405" s="60" t="str">
        <f t="shared" si="13"/>
        <v>✅ On Best Plan</v>
      </c>
      <c r="L405" s="60" t="str">
        <f>IFERROR(INDEX('Docketed Comments'!F:F,MATCH(A405,'Docketed Comments'!H:H,0)),"")</f>
        <v>Opposed</v>
      </c>
      <c r="M405" s="120" t="str">
        <f>IFERROR(INDEX('Docketed Comments'!G:G,MATCH(A405,'Docketed Comments'!H:H,0)),"")</f>
        <v>https://images.edocket.azcc.gov/docketpdf/E000046190.pdf</v>
      </c>
      <c r="N405" s="118" t="str">
        <f>IFERROR(INDEX('Docketed Comments'!N:N,MATCH(A405,'Docketed Comments'!H:H,0)),"")</f>
        <v>No</v>
      </c>
      <c r="O405" s="118" t="str">
        <f>IFERROR(INDEX('Docketed Comments'!L:L,MATCH(A405,'Docketed Comments'!H:H,0)),"")</f>
        <v>Yes</v>
      </c>
      <c r="P405" s="119">
        <f t="shared" si="12"/>
        <v>0</v>
      </c>
      <c r="Q405" s="60" t="s">
        <v>23</v>
      </c>
      <c r="R405" s="64" t="s">
        <v>24</v>
      </c>
      <c r="S405" s="64" t="s">
        <v>922</v>
      </c>
    </row>
    <row r="406" spans="1:19" ht="21.95" customHeight="1">
      <c r="A406" s="66" t="s">
        <v>923</v>
      </c>
      <c r="B406" s="64"/>
      <c r="C406" s="65"/>
      <c r="D406" s="64"/>
      <c r="E406" s="64"/>
      <c r="F406" s="60"/>
      <c r="G406" s="60" t="s">
        <v>88</v>
      </c>
      <c r="H406" s="60" t="str">
        <f>IFERROR(INDEX('Docketed Comments'!C:C,MATCH(A406,'Docketed Comments'!H:H,0))&amp;", "&amp;INDEX('Docketed Comments'!B:B,MATCH(A406,'Docketed Comments'!H:H,0)),"")</f>
        <v>Dante, Zuniga</v>
      </c>
      <c r="I406" s="60" t="str">
        <f>IFERROR(INDEX('Docketed Comments'!D:D,MATCH(A406,'Docketed Comments'!H:H,0)),"")</f>
        <v>Glendale</v>
      </c>
      <c r="J406" s="60" t="str">
        <f>IFERROR(INDEX('Docketed Comments'!I:I,MATCH(A406,'Docketed Comments'!H:H,0)),"")</f>
        <v>R-XS</v>
      </c>
      <c r="K406" s="60" t="str">
        <f t="shared" si="13"/>
        <v>✅ On Best Plan</v>
      </c>
      <c r="L406" s="60" t="str">
        <f>IFERROR(INDEX('Docketed Comments'!F:F,MATCH(A406,'Docketed Comments'!H:H,0)),"")</f>
        <v>Opposed</v>
      </c>
      <c r="M406" s="120" t="str">
        <f>IFERROR(INDEX('Docketed Comments'!G:G,MATCH(A406,'Docketed Comments'!H:H,0)),"")</f>
        <v>https://images.edocket.azcc.gov/docketpdf/E000046190.pdf</v>
      </c>
      <c r="N406" s="118" t="str">
        <f>IFERROR(INDEX('Docketed Comments'!N:N,MATCH(A406,'Docketed Comments'!H:H,0)),"")</f>
        <v>No</v>
      </c>
      <c r="O406" s="118" t="str">
        <f>IFERROR(INDEX('Docketed Comments'!L:L,MATCH(A406,'Docketed Comments'!H:H,0)),"")</f>
        <v>Yes</v>
      </c>
      <c r="P406" s="119">
        <f t="shared" si="12"/>
        <v>0</v>
      </c>
      <c r="Q406" s="60"/>
      <c r="R406" s="64" t="s">
        <v>75</v>
      </c>
      <c r="S406" s="64" t="s">
        <v>924</v>
      </c>
    </row>
    <row r="407" spans="1:19" ht="21.95" customHeight="1">
      <c r="A407" s="66" t="s">
        <v>925</v>
      </c>
      <c r="B407" s="64"/>
      <c r="C407" s="65"/>
      <c r="D407" s="64"/>
      <c r="E407" s="64"/>
      <c r="F407" s="60"/>
      <c r="G407" s="60" t="s">
        <v>88</v>
      </c>
      <c r="H407" s="60" t="str">
        <f>IFERROR(INDEX('Docketed Comments'!C:C,MATCH(A407,'Docketed Comments'!H:H,0))&amp;", "&amp;INDEX('Docketed Comments'!B:B,MATCH(A407,'Docketed Comments'!H:H,0)),"")</f>
        <v>Anthony, Corona</v>
      </c>
      <c r="I407" s="60" t="str">
        <f>IFERROR(INDEX('Docketed Comments'!D:D,MATCH(A407,'Docketed Comments'!H:H,0)),"")</f>
        <v>Phoenix</v>
      </c>
      <c r="J407" s="60" t="str">
        <f>IFERROR(INDEX('Docketed Comments'!I:I,MATCH(A407,'Docketed Comments'!H:H,0)),"")</f>
        <v>R-2</v>
      </c>
      <c r="K407" s="60" t="str">
        <f t="shared" si="13"/>
        <v>⚠ Frozen Rate</v>
      </c>
      <c r="L407" s="60" t="str">
        <f>IFERROR(INDEX('Docketed Comments'!F:F,MATCH(A407,'Docketed Comments'!H:H,0)),"")</f>
        <v>Opposed</v>
      </c>
      <c r="M407" s="120" t="str">
        <f>IFERROR(INDEX('Docketed Comments'!G:G,MATCH(A407,'Docketed Comments'!H:H,0)),"")</f>
        <v>https://images.edocket.azcc.gov/docketpdf/E000046190.pdf</v>
      </c>
      <c r="N407" s="118" t="str">
        <f>IFERROR(INDEX('Docketed Comments'!N:N,MATCH(A407,'Docketed Comments'!H:H,0)),"")</f>
        <v>No</v>
      </c>
      <c r="O407" s="118" t="str">
        <f>IFERROR(INDEX('Docketed Comments'!L:L,MATCH(A407,'Docketed Comments'!H:H,0)),"")</f>
        <v>Frozen Rate</v>
      </c>
      <c r="P407" s="119">
        <f t="shared" si="12"/>
        <v>0</v>
      </c>
      <c r="Q407" s="60"/>
      <c r="R407" s="64" t="s">
        <v>75</v>
      </c>
      <c r="S407" s="64" t="s">
        <v>926</v>
      </c>
    </row>
    <row r="408" spans="1:19" ht="21.95" customHeight="1">
      <c r="A408" s="66" t="s">
        <v>927</v>
      </c>
      <c r="B408" s="64"/>
      <c r="C408" s="65"/>
      <c r="D408" s="64"/>
      <c r="E408" s="64"/>
      <c r="F408" s="60"/>
      <c r="G408" s="60" t="s">
        <v>88</v>
      </c>
      <c r="H408" s="60" t="str">
        <f>IFERROR(INDEX('Docketed Comments'!C:C,MATCH(A408,'Docketed Comments'!H:H,0))&amp;", "&amp;INDEX('Docketed Comments'!B:B,MATCH(A408,'Docketed Comments'!H:H,0)),"")</f>
        <v>Jayne, Bahoura</v>
      </c>
      <c r="I408" s="60" t="str">
        <f>IFERROR(INDEX('Docketed Comments'!D:D,MATCH(A408,'Docketed Comments'!H:H,0)),"")</f>
        <v>Scottsdale</v>
      </c>
      <c r="J408" s="60" t="str">
        <f>IFERROR(INDEX('Docketed Comments'!I:I,MATCH(A408,'Docketed Comments'!H:H,0)),"")</f>
        <v>R3-47</v>
      </c>
      <c r="K408" s="60" t="str">
        <f t="shared" si="13"/>
        <v>✅ On Best Plan</v>
      </c>
      <c r="L408" s="60" t="str">
        <f>IFERROR(INDEX('Docketed Comments'!F:F,MATCH(A408,'Docketed Comments'!H:H,0)),"")</f>
        <v>Opposed</v>
      </c>
      <c r="M408" s="120" t="str">
        <f>IFERROR(INDEX('Docketed Comments'!G:G,MATCH(A408,'Docketed Comments'!H:H,0)),"")</f>
        <v>https://images.edocket.azcc.gov/docketpdf/E000046190.pdf</v>
      </c>
      <c r="N408" s="118" t="str">
        <f>IFERROR(INDEX('Docketed Comments'!N:N,MATCH(A408,'Docketed Comments'!H:H,0)),"")</f>
        <v>No</v>
      </c>
      <c r="O408" s="118" t="str">
        <f>IFERROR(INDEX('Docketed Comments'!L:L,MATCH(A408,'Docketed Comments'!H:H,0)),"")</f>
        <v>Yes</v>
      </c>
      <c r="P408" s="119">
        <f t="shared" si="12"/>
        <v>0</v>
      </c>
      <c r="Q408" s="60"/>
      <c r="R408" s="64" t="s">
        <v>75</v>
      </c>
      <c r="S408" s="64" t="s">
        <v>928</v>
      </c>
    </row>
    <row r="409" spans="1:19" ht="21.95" customHeight="1">
      <c r="A409" s="66" t="s">
        <v>929</v>
      </c>
      <c r="B409" s="64"/>
      <c r="C409" s="65"/>
      <c r="D409" s="64"/>
      <c r="E409" s="64"/>
      <c r="F409" s="60"/>
      <c r="G409" s="60" t="s">
        <v>88</v>
      </c>
      <c r="H409" s="60" t="str">
        <f>IFERROR(INDEX('Docketed Comments'!C:C,MATCH(A409,'Docketed Comments'!H:H,0))&amp;", "&amp;INDEX('Docketed Comments'!B:B,MATCH(A409,'Docketed Comments'!H:H,0)),"")</f>
        <v>Dominic, Porchia</v>
      </c>
      <c r="I409" s="60" t="str">
        <f>IFERROR(INDEX('Docketed Comments'!D:D,MATCH(A409,'Docketed Comments'!H:H,0)),"")</f>
        <v>Avondale</v>
      </c>
      <c r="J409" s="60" t="str">
        <f>IFERROR(INDEX('Docketed Comments'!I:I,MATCH(A409,'Docketed Comments'!H:H,0)),"")</f>
        <v>RTOUE47</v>
      </c>
      <c r="K409" s="60" t="str">
        <f t="shared" si="13"/>
        <v>✅ On Best Plan</v>
      </c>
      <c r="L409" s="60" t="str">
        <f>IFERROR(INDEX('Docketed Comments'!F:F,MATCH(A409,'Docketed Comments'!H:H,0)),"")</f>
        <v>Opposed</v>
      </c>
      <c r="M409" s="120" t="str">
        <f>IFERROR(INDEX('Docketed Comments'!G:G,MATCH(A409,'Docketed Comments'!H:H,0)),"")</f>
        <v>https://images.edocket.azcc.gov/docketpdf/E000046190.pdf</v>
      </c>
      <c r="N409" s="118" t="str">
        <f>IFERROR(INDEX('Docketed Comments'!N:N,MATCH(A409,'Docketed Comments'!H:H,0)),"")</f>
        <v>No</v>
      </c>
      <c r="O409" s="118" t="str">
        <f>IFERROR(INDEX('Docketed Comments'!L:L,MATCH(A409,'Docketed Comments'!H:H,0)),"")</f>
        <v>Yes</v>
      </c>
      <c r="P409" s="119">
        <f t="shared" si="12"/>
        <v>0</v>
      </c>
      <c r="Q409" s="60"/>
      <c r="R409" s="64" t="s">
        <v>75</v>
      </c>
      <c r="S409" s="64" t="s">
        <v>930</v>
      </c>
    </row>
    <row r="410" spans="1:19" ht="21.95" customHeight="1">
      <c r="A410" s="66" t="s">
        <v>931</v>
      </c>
      <c r="B410" s="64"/>
      <c r="C410" s="65"/>
      <c r="D410" s="64"/>
      <c r="E410" s="64"/>
      <c r="F410" s="60"/>
      <c r="G410" s="60" t="s">
        <v>88</v>
      </c>
      <c r="H410" s="60" t="str">
        <f>IFERROR(INDEX('Docketed Comments'!C:C,MATCH(A410,'Docketed Comments'!H:H,0))&amp;", "&amp;INDEX('Docketed Comments'!B:B,MATCH(A410,'Docketed Comments'!H:H,0)),"")</f>
        <v>Amarnath, Vivekananthan</v>
      </c>
      <c r="I410" s="60" t="str">
        <f>IFERROR(INDEX('Docketed Comments'!D:D,MATCH(A410,'Docketed Comments'!H:H,0)),"")</f>
        <v>Phoenix</v>
      </c>
      <c r="J410" s="60" t="str">
        <f>IFERROR(INDEX('Docketed Comments'!I:I,MATCH(A410,'Docketed Comments'!H:H,0)),"")</f>
        <v>RTOUE47</v>
      </c>
      <c r="K410" s="60" t="str">
        <f t="shared" si="13"/>
        <v>✅ On Best Plan</v>
      </c>
      <c r="L410" s="60" t="str">
        <f>IFERROR(INDEX('Docketed Comments'!F:F,MATCH(A410,'Docketed Comments'!H:H,0)),"")</f>
        <v>Form letter</v>
      </c>
      <c r="M410" s="120" t="str">
        <f>IFERROR(INDEX('Docketed Comments'!G:G,MATCH(A410,'Docketed Comments'!H:H,0)),"")</f>
        <v>https://images.edocket.azcc.gov/docketpdf/E000046190.pdf</v>
      </c>
      <c r="N410" s="118" t="str">
        <f>IFERROR(INDEX('Docketed Comments'!N:N,MATCH(A410,'Docketed Comments'!H:H,0)),"")</f>
        <v>No</v>
      </c>
      <c r="O410" s="118" t="str">
        <f>IFERROR(INDEX('Docketed Comments'!L:L,MATCH(A410,'Docketed Comments'!H:H,0)),"")</f>
        <v>Yes</v>
      </c>
      <c r="P410" s="119">
        <f t="shared" si="12"/>
        <v>0</v>
      </c>
      <c r="Q410" s="60"/>
      <c r="R410" s="64" t="s">
        <v>75</v>
      </c>
      <c r="S410" s="64" t="s">
        <v>932</v>
      </c>
    </row>
    <row r="411" spans="1:19" ht="21.95" customHeight="1">
      <c r="A411" s="66" t="s">
        <v>933</v>
      </c>
      <c r="B411" s="64"/>
      <c r="C411" s="65"/>
      <c r="D411" s="64"/>
      <c r="E411" s="64"/>
      <c r="F411" s="60"/>
      <c r="G411" s="60" t="s">
        <v>88</v>
      </c>
      <c r="H411" s="60" t="str">
        <f>IFERROR(INDEX('Docketed Comments'!C:C,MATCH(A411,'Docketed Comments'!H:H,0))&amp;", "&amp;INDEX('Docketed Comments'!B:B,MATCH(A411,'Docketed Comments'!H:H,0)),"")</f>
        <v>Amy, Nelson</v>
      </c>
      <c r="I411" s="60" t="str">
        <f>IFERROR(INDEX('Docketed Comments'!D:D,MATCH(A411,'Docketed Comments'!H:H,0)),"")</f>
        <v>Goodyear</v>
      </c>
      <c r="J411" s="60" t="str">
        <f>IFERROR(INDEX('Docketed Comments'!I:I,MATCH(A411,'Docketed Comments'!H:H,0)),"")</f>
        <v>R3-47</v>
      </c>
      <c r="K411" s="60" t="str">
        <f t="shared" si="13"/>
        <v>✅ On Best Plan</v>
      </c>
      <c r="L411" s="60" t="str">
        <f>IFERROR(INDEX('Docketed Comments'!F:F,MATCH(A411,'Docketed Comments'!H:H,0)),"")</f>
        <v>Opposed, struggling</v>
      </c>
      <c r="M411" s="120" t="str">
        <f>IFERROR(INDEX('Docketed Comments'!G:G,MATCH(A411,'Docketed Comments'!H:H,0)),"")</f>
        <v>https://images.edocket.azcc.gov/docketpdf/E000046190.pdf</v>
      </c>
      <c r="N411" s="118" t="str">
        <f>IFERROR(INDEX('Docketed Comments'!N:N,MATCH(A411,'Docketed Comments'!H:H,0)),"")</f>
        <v>No</v>
      </c>
      <c r="O411" s="118" t="str">
        <f>IFERROR(INDEX('Docketed Comments'!L:L,MATCH(A411,'Docketed Comments'!H:H,0)),"")</f>
        <v>Yes</v>
      </c>
      <c r="P411" s="119">
        <f t="shared" si="12"/>
        <v>0</v>
      </c>
      <c r="Q411" s="60"/>
      <c r="R411" s="64" t="s">
        <v>75</v>
      </c>
      <c r="S411" s="64" t="s">
        <v>934</v>
      </c>
    </row>
    <row r="412" spans="1:19" ht="21.95" customHeight="1">
      <c r="A412" s="66" t="s">
        <v>935</v>
      </c>
      <c r="B412" s="64"/>
      <c r="C412" s="65"/>
      <c r="D412" s="64"/>
      <c r="E412" s="64"/>
      <c r="F412" s="60"/>
      <c r="G412" s="60" t="s">
        <v>88</v>
      </c>
      <c r="H412" s="60" t="str">
        <f>IFERROR(INDEX('Docketed Comments'!C:C,MATCH(A412,'Docketed Comments'!H:H,0))&amp;", "&amp;INDEX('Docketed Comments'!B:B,MATCH(A412,'Docketed Comments'!H:H,0)),"")</f>
        <v>Stephanie, Trudell</v>
      </c>
      <c r="I412" s="60" t="str">
        <f>IFERROR(INDEX('Docketed Comments'!D:D,MATCH(A412,'Docketed Comments'!H:H,0)),"")</f>
        <v>Goodyear</v>
      </c>
      <c r="J412" s="60" t="str">
        <f>IFERROR(INDEX('Docketed Comments'!I:I,MATCH(A412,'Docketed Comments'!H:H,0)),"")</f>
        <v>R3-47</v>
      </c>
      <c r="K412" s="60" t="str">
        <f t="shared" si="13"/>
        <v>✅ On Best Plan</v>
      </c>
      <c r="L412" s="60" t="str">
        <f>IFERROR(INDEX('Docketed Comments'!F:F,MATCH(A412,'Docketed Comments'!H:H,0)),"")</f>
        <v>No rate increase</v>
      </c>
      <c r="M412" s="120" t="str">
        <f>IFERROR(INDEX('Docketed Comments'!G:G,MATCH(A412,'Docketed Comments'!H:H,0)),"")</f>
        <v>https://images.edocket.azcc.gov/docketpdf/E000046190.pdf</v>
      </c>
      <c r="N412" s="118" t="str">
        <f>IFERROR(INDEX('Docketed Comments'!N:N,MATCH(A412,'Docketed Comments'!H:H,0)),"")</f>
        <v>No</v>
      </c>
      <c r="O412" s="118" t="str">
        <f>IFERROR(INDEX('Docketed Comments'!L:L,MATCH(A412,'Docketed Comments'!H:H,0)),"")</f>
        <v>Yes</v>
      </c>
      <c r="P412" s="119">
        <f t="shared" si="12"/>
        <v>0</v>
      </c>
      <c r="Q412" s="60"/>
      <c r="R412" s="64" t="s">
        <v>75</v>
      </c>
      <c r="S412" s="64" t="s">
        <v>936</v>
      </c>
    </row>
    <row r="413" spans="1:19" ht="21.95" customHeight="1">
      <c r="A413" s="66" t="s">
        <v>937</v>
      </c>
      <c r="B413" s="64"/>
      <c r="C413" s="65"/>
      <c r="D413" s="64"/>
      <c r="E413" s="64"/>
      <c r="F413" s="60"/>
      <c r="G413" s="60" t="s">
        <v>88</v>
      </c>
      <c r="H413" s="60" t="str">
        <f>IFERROR(INDEX('Docketed Comments'!C:C,MATCH(A413,'Docketed Comments'!H:H,0))&amp;", "&amp;INDEX('Docketed Comments'!B:B,MATCH(A413,'Docketed Comments'!H:H,0)),"")</f>
        <v>Swapnil, Brahmecha</v>
      </c>
      <c r="I413" s="60" t="str">
        <f>IFERROR(INDEX('Docketed Comments'!D:D,MATCH(A413,'Docketed Comments'!H:H,0)),"")</f>
        <v>Peoria</v>
      </c>
      <c r="J413" s="60" t="str">
        <f>IFERROR(INDEX('Docketed Comments'!I:I,MATCH(A413,'Docketed Comments'!H:H,0)),"")</f>
        <v>R-2</v>
      </c>
      <c r="K413" s="60" t="str">
        <f t="shared" si="13"/>
        <v>⚠ Frozen Rate</v>
      </c>
      <c r="L413" s="60" t="str">
        <f>IFERROR(INDEX('Docketed Comments'!F:F,MATCH(A413,'Docketed Comments'!H:H,0)),"")</f>
        <v>Form letter</v>
      </c>
      <c r="M413" s="120" t="str">
        <f>IFERROR(INDEX('Docketed Comments'!G:G,MATCH(A413,'Docketed Comments'!H:H,0)),"")</f>
        <v>https://images.edocket.azcc.gov/docketpdf/E000046190.pdf</v>
      </c>
      <c r="N413" s="118" t="str">
        <f>IFERROR(INDEX('Docketed Comments'!N:N,MATCH(A413,'Docketed Comments'!H:H,0)),"")</f>
        <v>No</v>
      </c>
      <c r="O413" s="118" t="str">
        <f>IFERROR(INDEX('Docketed Comments'!L:L,MATCH(A413,'Docketed Comments'!H:H,0)),"")</f>
        <v>Frozen Rate</v>
      </c>
      <c r="P413" s="119">
        <f t="shared" si="12"/>
        <v>0</v>
      </c>
      <c r="Q413" s="60"/>
      <c r="R413" s="64" t="s">
        <v>75</v>
      </c>
      <c r="S413" s="64" t="s">
        <v>938</v>
      </c>
    </row>
    <row r="414" spans="1:19" ht="21.95" customHeight="1">
      <c r="A414" s="66" t="s">
        <v>939</v>
      </c>
      <c r="B414" s="64"/>
      <c r="C414" s="65"/>
      <c r="D414" s="64"/>
      <c r="E414" s="64"/>
      <c r="F414" s="60"/>
      <c r="G414" s="60" t="s">
        <v>88</v>
      </c>
      <c r="H414" s="60" t="str">
        <f>IFERROR(INDEX('Docketed Comments'!C:C,MATCH(A414,'Docketed Comments'!H:H,0))&amp;", "&amp;INDEX('Docketed Comments'!B:B,MATCH(A414,'Docketed Comments'!H:H,0)),"")</f>
        <v>Valerie, Sutinen</v>
      </c>
      <c r="I414" s="60" t="str">
        <f>IFERROR(INDEX('Docketed Comments'!D:D,MATCH(A414,'Docketed Comments'!H:H,0)),"")</f>
        <v>Goodyear</v>
      </c>
      <c r="J414" s="60" t="str">
        <f>IFERROR(INDEX('Docketed Comments'!I:I,MATCH(A414,'Docketed Comments'!H:H,0)),"")</f>
        <v>RTOUE47</v>
      </c>
      <c r="K414" s="60" t="str">
        <f t="shared" si="13"/>
        <v>✅ On Best Plan</v>
      </c>
      <c r="L414" s="60" t="str">
        <f>IFERROR(INDEX('Docketed Comments'!F:F,MATCH(A414,'Docketed Comments'!H:H,0)),"")</f>
        <v>Family struggling to make ends meet</v>
      </c>
      <c r="M414" s="120" t="str">
        <f>IFERROR(INDEX('Docketed Comments'!G:G,MATCH(A414,'Docketed Comments'!H:H,0)),"")</f>
        <v>https://images.edocket.azcc.gov/docketpdf/E000046190.pdf</v>
      </c>
      <c r="N414" s="118" t="str">
        <f>IFERROR(INDEX('Docketed Comments'!N:N,MATCH(A414,'Docketed Comments'!H:H,0)),"")</f>
        <v>No</v>
      </c>
      <c r="O414" s="118" t="str">
        <f>IFERROR(INDEX('Docketed Comments'!L:L,MATCH(A414,'Docketed Comments'!H:H,0)),"")</f>
        <v>Yes</v>
      </c>
      <c r="P414" s="119">
        <f t="shared" si="12"/>
        <v>0</v>
      </c>
      <c r="Q414" s="60"/>
      <c r="R414" s="64" t="s">
        <v>75</v>
      </c>
      <c r="S414" s="64" t="s">
        <v>940</v>
      </c>
    </row>
    <row r="415" spans="1:19" ht="21.95" customHeight="1">
      <c r="A415" s="66" t="s">
        <v>941</v>
      </c>
      <c r="B415" s="64"/>
      <c r="C415" s="65"/>
      <c r="D415" s="64"/>
      <c r="E415" s="64"/>
      <c r="F415" s="60"/>
      <c r="G415" s="60" t="s">
        <v>88</v>
      </c>
      <c r="H415" s="60" t="str">
        <f>IFERROR(INDEX('Docketed Comments'!C:C,MATCH(A415,'Docketed Comments'!H:H,0))&amp;", "&amp;INDEX('Docketed Comments'!B:B,MATCH(A415,'Docketed Comments'!H:H,0)),"")</f>
        <v>Juan E &amp; Helen, Osorio</v>
      </c>
      <c r="I415" s="60" t="str">
        <f>IFERROR(INDEX('Docketed Comments'!D:D,MATCH(A415,'Docketed Comments'!H:H,0)),"")</f>
        <v>Avondale</v>
      </c>
      <c r="J415" s="60" t="str">
        <f>IFERROR(INDEX('Docketed Comments'!I:I,MATCH(A415,'Docketed Comments'!H:H,0)),"")</f>
        <v>EPR-6w/ET-2</v>
      </c>
      <c r="K415" s="60" t="str">
        <f t="shared" si="13"/>
        <v>⚠ Frozen Rate</v>
      </c>
      <c r="L415" s="60" t="str">
        <f>IFERROR(INDEX('Docketed Comments'!F:F,MATCH(A415,'Docketed Comments'!H:H,0)),"")</f>
        <v>Retired/Hurt Financially</v>
      </c>
      <c r="M415" s="120" t="str">
        <f>IFERROR(INDEX('Docketed Comments'!G:G,MATCH(A415,'Docketed Comments'!H:H,0)),"")</f>
        <v>https://images.edocket.azcc.gov/docketpdf/E000046204.pdf</v>
      </c>
      <c r="N415" s="118" t="str">
        <f>IFERROR(INDEX('Docketed Comments'!N:N,MATCH(A415,'Docketed Comments'!H:H,0)),"")</f>
        <v>No</v>
      </c>
      <c r="O415" s="118" t="str">
        <f>IFERROR(INDEX('Docketed Comments'!L:L,MATCH(A415,'Docketed Comments'!H:H,0)),"")</f>
        <v>Frozen Rate</v>
      </c>
      <c r="P415" s="119">
        <f t="shared" si="12"/>
        <v>0</v>
      </c>
      <c r="Q415" s="60"/>
      <c r="R415" s="64" t="s">
        <v>75</v>
      </c>
      <c r="S415" s="64" t="s">
        <v>942</v>
      </c>
    </row>
    <row r="416" spans="1:19" ht="21.95" customHeight="1">
      <c r="A416" s="66" t="s">
        <v>943</v>
      </c>
      <c r="B416" s="64"/>
      <c r="C416" s="65"/>
      <c r="D416" s="64"/>
      <c r="E416" s="64"/>
      <c r="F416" s="60"/>
      <c r="G416" s="60" t="s">
        <v>88</v>
      </c>
      <c r="H416" s="60" t="str">
        <f>IFERROR(INDEX('Docketed Comments'!C:C,MATCH(A416,'Docketed Comments'!H:H,0))&amp;", "&amp;INDEX('Docketed Comments'!B:B,MATCH(A416,'Docketed Comments'!H:H,0)),"")</f>
        <v>Shawna, Townsend</v>
      </c>
      <c r="I416" s="60" t="str">
        <f>IFERROR(INDEX('Docketed Comments'!D:D,MATCH(A416,'Docketed Comments'!H:H,0)),"")</f>
        <v>Glendale</v>
      </c>
      <c r="J416" s="60" t="str">
        <f>IFERROR(INDEX('Docketed Comments'!I:I,MATCH(A416,'Docketed Comments'!H:H,0)),"")</f>
        <v>R3-47</v>
      </c>
      <c r="K416" s="60" t="str">
        <f t="shared" si="13"/>
        <v>✅ On Best Plan</v>
      </c>
      <c r="L416" s="60" t="str">
        <f>IFERROR(INDEX('Docketed Comments'!F:F,MATCH(A416,'Docketed Comments'!H:H,0)),"")</f>
        <v>Opposed</v>
      </c>
      <c r="M416" s="120" t="str">
        <f>IFERROR(INDEX('Docketed Comments'!G:G,MATCH(A416,'Docketed Comments'!H:H,0)),"")</f>
        <v>https://images.edocket.azcc.gov/docketpdf/E000046204.pdf</v>
      </c>
      <c r="N416" s="118" t="str">
        <f>IFERROR(INDEX('Docketed Comments'!N:N,MATCH(A416,'Docketed Comments'!H:H,0)),"")</f>
        <v>No</v>
      </c>
      <c r="O416" s="118" t="str">
        <f>IFERROR(INDEX('Docketed Comments'!L:L,MATCH(A416,'Docketed Comments'!H:H,0)),"")</f>
        <v>Yes</v>
      </c>
      <c r="P416" s="119">
        <f t="shared" si="12"/>
        <v>0</v>
      </c>
      <c r="Q416" s="60"/>
      <c r="R416" s="64" t="s">
        <v>75</v>
      </c>
      <c r="S416" s="64" t="s">
        <v>944</v>
      </c>
    </row>
    <row r="417" spans="1:19" ht="21.95" hidden="1" customHeight="1">
      <c r="A417" s="66" t="s">
        <v>945</v>
      </c>
      <c r="B417" s="64" t="s">
        <v>31</v>
      </c>
      <c r="C417" s="65">
        <v>46081</v>
      </c>
      <c r="D417" s="64" t="s">
        <v>27</v>
      </c>
      <c r="E417" s="64" t="s">
        <v>35</v>
      </c>
      <c r="F417" s="60" t="s">
        <v>946</v>
      </c>
      <c r="G417" s="60"/>
      <c r="H417" s="60" t="str">
        <f>IFERROR(INDEX('Docketed Comments'!C:C,MATCH(A417,'Docketed Comments'!H:H,0))&amp;", "&amp;INDEX('Docketed Comments'!B:B,MATCH(A417,'Docketed Comments'!H:H,0)),"")</f>
        <v>Doug , Darfus</v>
      </c>
      <c r="I417" s="60" t="str">
        <f>IFERROR(INDEX('Docketed Comments'!D:D,MATCH(A417,'Docketed Comments'!H:H,0)),"")</f>
        <v>Phoenix</v>
      </c>
      <c r="J417" s="60" t="str">
        <f>IFERROR(INDEX('Docketed Comments'!I:I,MATCH(A417,'Docketed Comments'!H:H,0)),"")</f>
        <v>R3-47</v>
      </c>
      <c r="K417" s="60" t="str">
        <f t="shared" si="13"/>
        <v>✅ On Best Plan</v>
      </c>
      <c r="L417" s="60" t="str">
        <f>IFERROR(INDEX('Docketed Comments'!F:F,MATCH(A417,'Docketed Comments'!H:H,0)),"")</f>
        <v>Strain on family</v>
      </c>
      <c r="M417" s="120" t="str">
        <f>IFERROR(INDEX('Docketed Comments'!G:G,MATCH(A417,'Docketed Comments'!H:H,0)),"")</f>
        <v>https://images.edocket.azcc.gov/docketpdf/E000046204.pdf</v>
      </c>
      <c r="N417" s="118" t="str">
        <f>IFERROR(INDEX('Docketed Comments'!N:N,MATCH(A417,'Docketed Comments'!H:H,0)),"")</f>
        <v>No</v>
      </c>
      <c r="O417" s="118" t="str">
        <f>IFERROR(INDEX('Docketed Comments'!L:L,MATCH(A417,'Docketed Comments'!H:H,0)),"")</f>
        <v>Yes</v>
      </c>
      <c r="P417" s="119">
        <f t="shared" si="12"/>
        <v>0</v>
      </c>
      <c r="Q417" s="60" t="s">
        <v>23</v>
      </c>
      <c r="R417" s="64" t="s">
        <v>24</v>
      </c>
      <c r="S417" s="64" t="s">
        <v>947</v>
      </c>
    </row>
    <row r="418" spans="1:19" ht="21.95" customHeight="1">
      <c r="A418" s="66" t="s">
        <v>948</v>
      </c>
      <c r="B418" s="64"/>
      <c r="C418" s="65"/>
      <c r="D418" s="64"/>
      <c r="E418" s="64"/>
      <c r="F418" s="60"/>
      <c r="G418" s="60" t="s">
        <v>88</v>
      </c>
      <c r="H418" s="60" t="str">
        <f>IFERROR(INDEX('Docketed Comments'!C:C,MATCH(A418,'Docketed Comments'!H:H,0))&amp;", "&amp;INDEX('Docketed Comments'!B:B,MATCH(A418,'Docketed Comments'!H:H,0)),"")</f>
        <v>Douglas, Whitney</v>
      </c>
      <c r="I418" s="60" t="str">
        <f>IFERROR(INDEX('Docketed Comments'!D:D,MATCH(A418,'Docketed Comments'!H:H,0)),"")</f>
        <v>Sedona</v>
      </c>
      <c r="J418" s="60" t="str">
        <f>IFERROR(INDEX('Docketed Comments'!I:I,MATCH(A418,'Docketed Comments'!H:H,0)),"")</f>
        <v>R-XS</v>
      </c>
      <c r="K418" s="60" t="str">
        <f t="shared" si="13"/>
        <v>✅ On Best Plan</v>
      </c>
      <c r="L418" s="60" t="str">
        <f>IFERROR(INDEX('Docketed Comments'!F:F,MATCH(A418,'Docketed Comments'!H:H,0)),"")</f>
        <v>Opposed</v>
      </c>
      <c r="M418" s="120" t="str">
        <f>IFERROR(INDEX('Docketed Comments'!G:G,MATCH(A418,'Docketed Comments'!H:H,0)),"")</f>
        <v>https://images.edocket.azcc.gov/docketpdf/E000046204.pdf</v>
      </c>
      <c r="N418" s="118" t="str">
        <f>IFERROR(INDEX('Docketed Comments'!N:N,MATCH(A418,'Docketed Comments'!H:H,0)),"")</f>
        <v>No</v>
      </c>
      <c r="O418" s="118" t="str">
        <f>IFERROR(INDEX('Docketed Comments'!L:L,MATCH(A418,'Docketed Comments'!H:H,0)),"")</f>
        <v>Yes</v>
      </c>
      <c r="P418" s="119">
        <f t="shared" si="12"/>
        <v>0</v>
      </c>
      <c r="Q418" s="60"/>
      <c r="R418" s="64" t="s">
        <v>75</v>
      </c>
      <c r="S418" s="64" t="s">
        <v>949</v>
      </c>
    </row>
    <row r="419" spans="1:19" ht="21.95" customHeight="1">
      <c r="A419" s="66" t="s">
        <v>950</v>
      </c>
      <c r="B419" s="64"/>
      <c r="C419" s="65"/>
      <c r="D419" s="64"/>
      <c r="E419" s="64"/>
      <c r="F419" s="60"/>
      <c r="G419" s="60" t="s">
        <v>88</v>
      </c>
      <c r="H419" s="60" t="str">
        <f>IFERROR(INDEX('Docketed Comments'!C:C,MATCH(A419,'Docketed Comments'!H:H,0))&amp;", "&amp;INDEX('Docketed Comments'!B:B,MATCH(A419,'Docketed Comments'!H:H,0)),"")</f>
        <v>Bryan, Haslett</v>
      </c>
      <c r="I419" s="60" t="str">
        <f>IFERROR(INDEX('Docketed Comments'!D:D,MATCH(A419,'Docketed Comments'!H:H,0)),"")</f>
        <v>Scottsdale</v>
      </c>
      <c r="J419" s="60" t="str">
        <f>IFERROR(INDEX('Docketed Comments'!I:I,MATCH(A419,'Docketed Comments'!H:H,0)),"")</f>
        <v>EPR-6w/ET-2</v>
      </c>
      <c r="K419" s="60" t="str">
        <f t="shared" si="13"/>
        <v>⚠ Frozen Rate</v>
      </c>
      <c r="L419" s="60" t="str">
        <f>IFERROR(INDEX('Docketed Comments'!F:F,MATCH(A419,'Docketed Comments'!H:H,0)),"")</f>
        <v>Opposed</v>
      </c>
      <c r="M419" s="120" t="str">
        <f>IFERROR(INDEX('Docketed Comments'!G:G,MATCH(A419,'Docketed Comments'!H:H,0)),"")</f>
        <v>https://images.edocket.azcc.gov/docketpdf/E000046204.pdf</v>
      </c>
      <c r="N419" s="118" t="str">
        <f>IFERROR(INDEX('Docketed Comments'!N:N,MATCH(A419,'Docketed Comments'!H:H,0)),"")</f>
        <v>No</v>
      </c>
      <c r="O419" s="118" t="str">
        <f>IFERROR(INDEX('Docketed Comments'!L:L,MATCH(A419,'Docketed Comments'!H:H,0)),"")</f>
        <v>Frozen Rate</v>
      </c>
      <c r="P419" s="119">
        <f t="shared" si="12"/>
        <v>0</v>
      </c>
      <c r="Q419" s="60"/>
      <c r="R419" s="64" t="s">
        <v>75</v>
      </c>
      <c r="S419" s="124" t="s">
        <v>951</v>
      </c>
    </row>
    <row r="420" spans="1:19" ht="21.95" customHeight="1">
      <c r="A420" s="66" t="s">
        <v>952</v>
      </c>
      <c r="B420" s="64"/>
      <c r="C420" s="65"/>
      <c r="D420" s="64"/>
      <c r="E420" s="64"/>
      <c r="F420" s="60"/>
      <c r="G420" s="60" t="s">
        <v>88</v>
      </c>
      <c r="H420" s="60" t="str">
        <f>IFERROR(INDEX('Docketed Comments'!C:C,MATCH(A420,'Docketed Comments'!H:H,0))&amp;", "&amp;INDEX('Docketed Comments'!B:B,MATCH(A420,'Docketed Comments'!H:H,0)),"")</f>
        <v>Christine, Cagle</v>
      </c>
      <c r="I420" s="60" t="str">
        <f>IFERROR(INDEX('Docketed Comments'!D:D,MATCH(A420,'Docketed Comments'!H:H,0)),"")</f>
        <v>Goodyear</v>
      </c>
      <c r="J420" s="60" t="str">
        <f>IFERROR(INDEX('Docketed Comments'!I:I,MATCH(A420,'Docketed Comments'!H:H,0)),"")</f>
        <v>EPR-6w/ET-2</v>
      </c>
      <c r="K420" s="60" t="str">
        <f t="shared" si="13"/>
        <v>⚠ Frozen Rate</v>
      </c>
      <c r="L420" s="60" t="str">
        <f>IFERROR(INDEX('Docketed Comments'!F:F,MATCH(A420,'Docketed Comments'!H:H,0)),"")</f>
        <v>Opposed</v>
      </c>
      <c r="M420" s="120" t="str">
        <f>IFERROR(INDEX('Docketed Comments'!G:G,MATCH(A420,'Docketed Comments'!H:H,0)),"")</f>
        <v>https://images.edocket.azcc.gov/docketpdf/E000046204.pdf</v>
      </c>
      <c r="N420" s="118" t="str">
        <f>IFERROR(INDEX('Docketed Comments'!N:N,MATCH(A420,'Docketed Comments'!H:H,0)),"")</f>
        <v>No</v>
      </c>
      <c r="O420" s="118" t="str">
        <f>IFERROR(INDEX('Docketed Comments'!L:L,MATCH(A420,'Docketed Comments'!H:H,0)),"")</f>
        <v>Frozen Rate</v>
      </c>
      <c r="P420" s="119">
        <f t="shared" si="12"/>
        <v>0</v>
      </c>
      <c r="Q420" s="60"/>
      <c r="R420" s="64" t="s">
        <v>75</v>
      </c>
      <c r="S420" s="64" t="s">
        <v>953</v>
      </c>
    </row>
    <row r="421" spans="1:19" ht="21.95" customHeight="1">
      <c r="A421" s="66" t="s">
        <v>954</v>
      </c>
      <c r="B421" s="64"/>
      <c r="C421" s="65"/>
      <c r="D421" s="64"/>
      <c r="E421" s="64"/>
      <c r="F421" s="60"/>
      <c r="G421" s="60" t="s">
        <v>88</v>
      </c>
      <c r="H421" s="60" t="str">
        <f>IFERROR(INDEX('Docketed Comments'!C:C,MATCH(A421,'Docketed Comments'!H:H,0))&amp;", "&amp;INDEX('Docketed Comments'!B:B,MATCH(A421,'Docketed Comments'!H:H,0)),"")</f>
        <v>Brad, Duell</v>
      </c>
      <c r="I421" s="60" t="str">
        <f>IFERROR(INDEX('Docketed Comments'!D:D,MATCH(A421,'Docketed Comments'!H:H,0)),"")</f>
        <v>Scottsdale</v>
      </c>
      <c r="J421" s="60" t="str">
        <f>IFERROR(INDEX('Docketed Comments'!I:I,MATCH(A421,'Docketed Comments'!H:H,0)),"")</f>
        <v>R3-47</v>
      </c>
      <c r="K421" s="60" t="str">
        <f t="shared" si="13"/>
        <v>✅ On Best Plan</v>
      </c>
      <c r="L421" s="60" t="str">
        <f>IFERROR(INDEX('Docketed Comments'!F:F,MATCH(A421,'Docketed Comments'!H:H,0)),"")</f>
        <v>Opposed</v>
      </c>
      <c r="M421" s="120" t="str">
        <f>IFERROR(INDEX('Docketed Comments'!G:G,MATCH(A421,'Docketed Comments'!H:H,0)),"")</f>
        <v>https://images.edocket.azcc.gov/docketpdf/E000046204.pdf</v>
      </c>
      <c r="N421" s="118" t="str">
        <f>IFERROR(INDEX('Docketed Comments'!N:N,MATCH(A421,'Docketed Comments'!H:H,0)),"")</f>
        <v>No</v>
      </c>
      <c r="O421" s="118" t="str">
        <f>IFERROR(INDEX('Docketed Comments'!L:L,MATCH(A421,'Docketed Comments'!H:H,0)),"")</f>
        <v>Yes</v>
      </c>
      <c r="P421" s="119">
        <f t="shared" si="12"/>
        <v>0</v>
      </c>
      <c r="Q421" s="60"/>
      <c r="R421" s="64" t="s">
        <v>75</v>
      </c>
      <c r="S421" s="64" t="s">
        <v>955</v>
      </c>
    </row>
    <row r="422" spans="1:19" ht="21.95" customHeight="1">
      <c r="A422" s="66" t="s">
        <v>956</v>
      </c>
      <c r="B422" s="64"/>
      <c r="C422" s="65"/>
      <c r="D422" s="64"/>
      <c r="E422" s="64"/>
      <c r="F422" s="60"/>
      <c r="G422" s="60" t="s">
        <v>88</v>
      </c>
      <c r="H422" s="60" t="str">
        <f>IFERROR(INDEX('Docketed Comments'!C:C,MATCH(A422,'Docketed Comments'!H:H,0))&amp;", "&amp;INDEX('Docketed Comments'!B:B,MATCH(A422,'Docketed Comments'!H:H,0)),"")</f>
        <v>Aria, Roberts</v>
      </c>
      <c r="I422" s="60" t="str">
        <f>IFERROR(INDEX('Docketed Comments'!D:D,MATCH(A422,'Docketed Comments'!H:H,0)),"")</f>
        <v>Phoenix</v>
      </c>
      <c r="J422" s="60" t="str">
        <f>IFERROR(INDEX('Docketed Comments'!I:I,MATCH(A422,'Docketed Comments'!H:H,0)),"")</f>
        <v>R-XS</v>
      </c>
      <c r="K422" s="60" t="str">
        <f t="shared" si="13"/>
        <v>✅ On Best Plan</v>
      </c>
      <c r="L422" s="60" t="str">
        <f>IFERROR(INDEX('Docketed Comments'!F:F,MATCH(A422,'Docketed Comments'!H:H,0)),"")</f>
        <v>Form letter</v>
      </c>
      <c r="M422" s="120" t="str">
        <f>IFERROR(INDEX('Docketed Comments'!G:G,MATCH(A422,'Docketed Comments'!H:H,0)),"")</f>
        <v>https://images.edocket.azcc.gov/docketpdf/E000046204.pdf</v>
      </c>
      <c r="N422" s="118" t="str">
        <f>IFERROR(INDEX('Docketed Comments'!N:N,MATCH(A422,'Docketed Comments'!H:H,0)),"")</f>
        <v>No</v>
      </c>
      <c r="O422" s="118" t="str">
        <f>IFERROR(INDEX('Docketed Comments'!L:L,MATCH(A422,'Docketed Comments'!H:H,0)),"")</f>
        <v>Yes</v>
      </c>
      <c r="P422" s="119">
        <f t="shared" si="12"/>
        <v>0</v>
      </c>
      <c r="Q422" s="60"/>
      <c r="R422" s="64" t="s">
        <v>75</v>
      </c>
      <c r="S422" s="64" t="s">
        <v>957</v>
      </c>
    </row>
    <row r="423" spans="1:19" ht="21.95" customHeight="1">
      <c r="A423" s="66" t="s">
        <v>958</v>
      </c>
      <c r="B423" s="64"/>
      <c r="C423" s="65"/>
      <c r="D423" s="64"/>
      <c r="E423" s="64"/>
      <c r="F423" s="60"/>
      <c r="G423" s="60" t="s">
        <v>88</v>
      </c>
      <c r="H423" s="60" t="str">
        <f>IFERROR(INDEX('Docketed Comments'!C:C,MATCH(A423,'Docketed Comments'!H:H,0))&amp;", "&amp;INDEX('Docketed Comments'!B:B,MATCH(A423,'Docketed Comments'!H:H,0)),"")</f>
        <v>Cathy, Schuit</v>
      </c>
      <c r="I423" s="60" t="str">
        <f>IFERROR(INDEX('Docketed Comments'!D:D,MATCH(A423,'Docketed Comments'!H:H,0)),"")</f>
        <v>Goodyear</v>
      </c>
      <c r="J423" s="60" t="str">
        <f>IFERROR(INDEX('Docketed Comments'!I:I,MATCH(A423,'Docketed Comments'!H:H,0)),"")</f>
        <v>R-2</v>
      </c>
      <c r="K423" s="60" t="str">
        <f t="shared" si="13"/>
        <v>⚠ Frozen Rate</v>
      </c>
      <c r="L423" s="60" t="str">
        <f>IFERROR(INDEX('Docketed Comments'!F:F,MATCH(A423,'Docketed Comments'!H:H,0)),"")</f>
        <v>Opposed</v>
      </c>
      <c r="M423" s="120" t="str">
        <f>IFERROR(INDEX('Docketed Comments'!G:G,MATCH(A423,'Docketed Comments'!H:H,0)),"")</f>
        <v>https://images.edocket.azcc.gov/docketpdf/E000046204.pdf</v>
      </c>
      <c r="N423" s="118" t="str">
        <f>IFERROR(INDEX('Docketed Comments'!N:N,MATCH(A423,'Docketed Comments'!H:H,0)),"")</f>
        <v>No</v>
      </c>
      <c r="O423" s="118" t="str">
        <f>IFERROR(INDEX('Docketed Comments'!L:L,MATCH(A423,'Docketed Comments'!H:H,0)),"")</f>
        <v>Frozen Rate</v>
      </c>
      <c r="P423" s="119">
        <f t="shared" si="12"/>
        <v>0</v>
      </c>
      <c r="Q423" s="60"/>
      <c r="R423" s="64" t="s">
        <v>75</v>
      </c>
      <c r="S423" s="64" t="s">
        <v>959</v>
      </c>
    </row>
    <row r="424" spans="1:19" ht="21.95" customHeight="1">
      <c r="A424" s="66" t="s">
        <v>960</v>
      </c>
      <c r="B424" s="64"/>
      <c r="C424" s="65"/>
      <c r="D424" s="64"/>
      <c r="E424" s="64"/>
      <c r="F424" s="60"/>
      <c r="G424" s="60" t="s">
        <v>88</v>
      </c>
      <c r="H424" s="60" t="str">
        <f>IFERROR(INDEX('Docketed Comments'!C:C,MATCH(A424,'Docketed Comments'!H:H,0))&amp;", "&amp;INDEX('Docketed Comments'!B:B,MATCH(A424,'Docketed Comments'!H:H,0)),"")</f>
        <v>Robert, Zinn</v>
      </c>
      <c r="I424" s="60" t="str">
        <f>IFERROR(INDEX('Docketed Comments'!D:D,MATCH(A424,'Docketed Comments'!H:H,0)),"")</f>
        <v>Goodyear</v>
      </c>
      <c r="J424" s="60" t="str">
        <f>IFERROR(INDEX('Docketed Comments'!I:I,MATCH(A424,'Docketed Comments'!H:H,0)),"")</f>
        <v>R3-47</v>
      </c>
      <c r="K424" s="60" t="str">
        <f t="shared" si="13"/>
        <v>✅ On Best Plan</v>
      </c>
      <c r="L424" s="60" t="str">
        <f>IFERROR(INDEX('Docketed Comments'!F:F,MATCH(A424,'Docketed Comments'!H:H,0)),"")</f>
        <v>Extortion/Monopoly</v>
      </c>
      <c r="M424" s="120" t="str">
        <f>IFERROR(INDEX('Docketed Comments'!G:G,MATCH(A424,'Docketed Comments'!H:H,0)),"")</f>
        <v>https://images.edocket.azcc.gov/docketpdf/E000046204.pdf</v>
      </c>
      <c r="N424" s="118" t="str">
        <f>IFERROR(INDEX('Docketed Comments'!N:N,MATCH(A424,'Docketed Comments'!H:H,0)),"")</f>
        <v>No</v>
      </c>
      <c r="O424" s="118" t="str">
        <f>IFERROR(INDEX('Docketed Comments'!L:L,MATCH(A424,'Docketed Comments'!H:H,0)),"")</f>
        <v>Yes</v>
      </c>
      <c r="P424" s="119">
        <f t="shared" si="12"/>
        <v>0</v>
      </c>
      <c r="Q424" s="60"/>
      <c r="R424" s="64" t="s">
        <v>75</v>
      </c>
      <c r="S424" s="64" t="s">
        <v>961</v>
      </c>
    </row>
    <row r="425" spans="1:19" ht="21.95" customHeight="1">
      <c r="A425" s="66" t="s">
        <v>962</v>
      </c>
      <c r="B425" s="64"/>
      <c r="C425" s="65"/>
      <c r="D425" s="64"/>
      <c r="E425" s="64"/>
      <c r="F425" s="60"/>
      <c r="G425" s="60" t="s">
        <v>88</v>
      </c>
      <c r="H425" s="60" t="str">
        <f>IFERROR(INDEX('Docketed Comments'!C:C,MATCH(A425,'Docketed Comments'!H:H,0))&amp;", "&amp;INDEX('Docketed Comments'!B:B,MATCH(A425,'Docketed Comments'!H:H,0)),"")</f>
        <v>Phillip, Wolfe</v>
      </c>
      <c r="I425" s="60" t="str">
        <f>IFERROR(INDEX('Docketed Comments'!D:D,MATCH(A425,'Docketed Comments'!H:H,0)),"")</f>
        <v>Yuma</v>
      </c>
      <c r="J425" s="60" t="str">
        <f>IFERROR(INDEX('Docketed Comments'!I:I,MATCH(A425,'Docketed Comments'!H:H,0)),"")</f>
        <v>R-2</v>
      </c>
      <c r="K425" s="60" t="str">
        <f t="shared" si="13"/>
        <v>⚠ Frozen Rate</v>
      </c>
      <c r="L425" s="60" t="str">
        <f>IFERROR(INDEX('Docketed Comments'!F:F,MATCH(A425,'Docketed Comments'!H:H,0)),"")</f>
        <v>Opposed</v>
      </c>
      <c r="M425" s="120" t="str">
        <f>IFERROR(INDEX('Docketed Comments'!G:G,MATCH(A425,'Docketed Comments'!H:H,0)),"")</f>
        <v>https://images.edocket.azcc.gov/docketpdf/E000046204.pdf</v>
      </c>
      <c r="N425" s="118" t="str">
        <f>IFERROR(INDEX('Docketed Comments'!N:N,MATCH(A425,'Docketed Comments'!H:H,0)),"")</f>
        <v>No</v>
      </c>
      <c r="O425" s="118" t="str">
        <f>IFERROR(INDEX('Docketed Comments'!L:L,MATCH(A425,'Docketed Comments'!H:H,0)),"")</f>
        <v>Frozen Rate</v>
      </c>
      <c r="P425" s="119">
        <f t="shared" si="12"/>
        <v>0</v>
      </c>
      <c r="Q425" s="60"/>
      <c r="R425" s="64" t="s">
        <v>75</v>
      </c>
      <c r="S425" s="64" t="s">
        <v>963</v>
      </c>
    </row>
    <row r="426" spans="1:19" ht="21.95" customHeight="1">
      <c r="A426" s="66" t="s">
        <v>964</v>
      </c>
      <c r="B426" s="64"/>
      <c r="C426" s="65"/>
      <c r="D426" s="64"/>
      <c r="E426" s="64"/>
      <c r="F426" s="60"/>
      <c r="G426" s="60" t="s">
        <v>88</v>
      </c>
      <c r="H426" s="60" t="str">
        <f>IFERROR(INDEX('Docketed Comments'!C:C,MATCH(A426,'Docketed Comments'!H:H,0))&amp;", "&amp;INDEX('Docketed Comments'!B:B,MATCH(A426,'Docketed Comments'!H:H,0)),"")</f>
        <v>Sangeetha, Ravikumar</v>
      </c>
      <c r="I426" s="60" t="str">
        <f>IFERROR(INDEX('Docketed Comments'!D:D,MATCH(A426,'Docketed Comments'!H:H,0)),"")</f>
        <v>Glendale</v>
      </c>
      <c r="J426" s="60" t="str">
        <f>IFERROR(INDEX('Docketed Comments'!I:I,MATCH(A426,'Docketed Comments'!H:H,0)),"")</f>
        <v>R3-47</v>
      </c>
      <c r="K426" s="60" t="str">
        <f t="shared" si="13"/>
        <v>✅ On Best Plan</v>
      </c>
      <c r="L426" s="60" t="str">
        <f>IFERROR(INDEX('Docketed Comments'!F:F,MATCH(A426,'Docketed Comments'!H:H,0)),"")</f>
        <v>Form letter</v>
      </c>
      <c r="M426" s="120" t="str">
        <f>IFERROR(INDEX('Docketed Comments'!G:G,MATCH(A426,'Docketed Comments'!H:H,0)),"")</f>
        <v>https://images.edocket.azcc.gov/docketpdf/E000046204.pdf</v>
      </c>
      <c r="N426" s="118" t="str">
        <f>IFERROR(INDEX('Docketed Comments'!N:N,MATCH(A426,'Docketed Comments'!H:H,0)),"")</f>
        <v>No</v>
      </c>
      <c r="O426" s="118" t="str">
        <f>IFERROR(INDEX('Docketed Comments'!L:L,MATCH(A426,'Docketed Comments'!H:H,0)),"")</f>
        <v>Yes</v>
      </c>
      <c r="P426" s="119">
        <f t="shared" si="12"/>
        <v>0</v>
      </c>
      <c r="Q426" s="60"/>
      <c r="R426" s="64" t="s">
        <v>75</v>
      </c>
      <c r="S426" s="64" t="s">
        <v>965</v>
      </c>
    </row>
    <row r="427" spans="1:19" ht="21.95" customHeight="1">
      <c r="A427" s="66" t="s">
        <v>966</v>
      </c>
      <c r="B427" s="64"/>
      <c r="C427" s="65"/>
      <c r="D427" s="64"/>
      <c r="E427" s="64"/>
      <c r="F427" s="60"/>
      <c r="G427" s="60" t="s">
        <v>88</v>
      </c>
      <c r="H427" s="60" t="str">
        <f>IFERROR(INDEX('Docketed Comments'!C:C,MATCH(A427,'Docketed Comments'!H:H,0))&amp;", "&amp;INDEX('Docketed Comments'!B:B,MATCH(A427,'Docketed Comments'!H:H,0)),"")</f>
        <v>Leigh, Penny</v>
      </c>
      <c r="I427" s="60" t="str">
        <f>IFERROR(INDEX('Docketed Comments'!D:D,MATCH(A427,'Docketed Comments'!H:H,0)),"")</f>
        <v>Phoenix</v>
      </c>
      <c r="J427" s="60" t="str">
        <f>IFERROR(INDEX('Docketed Comments'!I:I,MATCH(A427,'Docketed Comments'!H:H,0)),"")</f>
        <v>R-2</v>
      </c>
      <c r="K427" s="60" t="str">
        <f t="shared" si="13"/>
        <v>⚠ Frozen Rate</v>
      </c>
      <c r="L427" s="60" t="str">
        <f>IFERROR(INDEX('Docketed Comments'!F:F,MATCH(A427,'Docketed Comments'!H:H,0)),"")</f>
        <v>Form letter</v>
      </c>
      <c r="M427" s="120" t="str">
        <f>IFERROR(INDEX('Docketed Comments'!G:G,MATCH(A427,'Docketed Comments'!H:H,0)),"")</f>
        <v>https://images.edocket.azcc.gov/docketpdf/E000046204.pdf</v>
      </c>
      <c r="N427" s="118" t="str">
        <f>IFERROR(INDEX('Docketed Comments'!N:N,MATCH(A427,'Docketed Comments'!H:H,0)),"")</f>
        <v>No</v>
      </c>
      <c r="O427" s="118" t="str">
        <f>IFERROR(INDEX('Docketed Comments'!L:L,MATCH(A427,'Docketed Comments'!H:H,0)),"")</f>
        <v>Frozen Rate</v>
      </c>
      <c r="P427" s="119">
        <f t="shared" si="12"/>
        <v>0</v>
      </c>
      <c r="Q427" s="60"/>
      <c r="R427" s="64" t="s">
        <v>75</v>
      </c>
      <c r="S427" s="64" t="s">
        <v>967</v>
      </c>
    </row>
    <row r="428" spans="1:19" ht="21.95" customHeight="1">
      <c r="A428" s="66" t="s">
        <v>968</v>
      </c>
      <c r="B428" s="64"/>
      <c r="C428" s="65"/>
      <c r="D428" s="64"/>
      <c r="E428" s="64"/>
      <c r="F428" s="60"/>
      <c r="G428" s="60" t="s">
        <v>88</v>
      </c>
      <c r="H428" s="60" t="str">
        <f>IFERROR(INDEX('Docketed Comments'!C:C,MATCH(A428,'Docketed Comments'!H:H,0))&amp;", "&amp;INDEX('Docketed Comments'!B:B,MATCH(A428,'Docketed Comments'!H:H,0)),"")</f>
        <v>Ravi, Koripella</v>
      </c>
      <c r="I428" s="60" t="str">
        <f>IFERROR(INDEX('Docketed Comments'!D:D,MATCH(A428,'Docketed Comments'!H:H,0)),"")</f>
        <v>Surprise</v>
      </c>
      <c r="J428" s="60" t="str">
        <f>IFERROR(INDEX('Docketed Comments'!I:I,MATCH(A428,'Docketed Comments'!H:H,0)),"")</f>
        <v>R3-47</v>
      </c>
      <c r="K428" s="60" t="str">
        <f t="shared" si="13"/>
        <v>✅ On Best Plan</v>
      </c>
      <c r="L428" s="60" t="str">
        <f>IFERROR(INDEX('Docketed Comments'!F:F,MATCH(A428,'Docketed Comments'!H:H,0)),"")</f>
        <v>Form letter</v>
      </c>
      <c r="M428" s="120" t="str">
        <f>IFERROR(INDEX('Docketed Comments'!G:G,MATCH(A428,'Docketed Comments'!H:H,0)),"")</f>
        <v>https://images.edocket.azcc.gov/docketpdf/E000046204.pdf</v>
      </c>
      <c r="N428" s="118" t="str">
        <f>IFERROR(INDEX('Docketed Comments'!N:N,MATCH(A428,'Docketed Comments'!H:H,0)),"")</f>
        <v>No</v>
      </c>
      <c r="O428" s="118" t="str">
        <f>IFERROR(INDEX('Docketed Comments'!L:L,MATCH(A428,'Docketed Comments'!H:H,0)),"")</f>
        <v>Yes</v>
      </c>
      <c r="P428" s="119">
        <f t="shared" si="12"/>
        <v>0</v>
      </c>
      <c r="Q428" s="60"/>
      <c r="R428" s="64" t="s">
        <v>75</v>
      </c>
      <c r="S428" s="64" t="s">
        <v>969</v>
      </c>
    </row>
    <row r="429" spans="1:19" ht="21.95" customHeight="1">
      <c r="A429" s="66" t="s">
        <v>970</v>
      </c>
      <c r="B429" s="64"/>
      <c r="C429" s="65"/>
      <c r="D429" s="64"/>
      <c r="E429" s="64"/>
      <c r="F429" s="60"/>
      <c r="G429" s="60" t="s">
        <v>88</v>
      </c>
      <c r="H429" s="60" t="str">
        <f>IFERROR(INDEX('Docketed Comments'!C:C,MATCH(A429,'Docketed Comments'!H:H,0))&amp;", "&amp;INDEX('Docketed Comments'!B:B,MATCH(A429,'Docketed Comments'!H:H,0)),"")</f>
        <v>Kiran, Rajan</v>
      </c>
      <c r="I429" s="60" t="str">
        <f>IFERROR(INDEX('Docketed Comments'!D:D,MATCH(A429,'Docketed Comments'!H:H,0)),"")</f>
        <v>Phoenix</v>
      </c>
      <c r="J429" s="60" t="str">
        <f>IFERROR(INDEX('Docketed Comments'!I:I,MATCH(A429,'Docketed Comments'!H:H,0)),"")</f>
        <v>RCPw/RTOUE47</v>
      </c>
      <c r="K429" s="60" t="str">
        <f t="shared" si="13"/>
        <v>⚠ NA</v>
      </c>
      <c r="L429" s="60" t="str">
        <f>IFERROR(INDEX('Docketed Comments'!F:F,MATCH(A429,'Docketed Comments'!H:H,0)),"")</f>
        <v>Form letter</v>
      </c>
      <c r="M429" s="120" t="str">
        <f>IFERROR(INDEX('Docketed Comments'!G:G,MATCH(A429,'Docketed Comments'!H:H,0)),"")</f>
        <v>https://images.edocket.azcc.gov/docketpdf/E000046204.pdf</v>
      </c>
      <c r="N429" s="118" t="str">
        <f>IFERROR(INDEX('Docketed Comments'!N:N,MATCH(A429,'Docketed Comments'!H:H,0)),"")</f>
        <v>No</v>
      </c>
      <c r="O429" s="118" t="str">
        <f>IFERROR(INDEX('Docketed Comments'!L:L,MATCH(A429,'Docketed Comments'!H:H,0)),"")</f>
        <v>NA</v>
      </c>
      <c r="P429" s="119">
        <f t="shared" si="12"/>
        <v>0</v>
      </c>
      <c r="Q429" s="60"/>
      <c r="R429" s="64" t="s">
        <v>75</v>
      </c>
      <c r="S429" s="64" t="s">
        <v>971</v>
      </c>
    </row>
    <row r="430" spans="1:19" ht="21.95" customHeight="1">
      <c r="A430" s="66" t="s">
        <v>972</v>
      </c>
      <c r="B430" s="64"/>
      <c r="C430" s="65"/>
      <c r="D430" s="64"/>
      <c r="E430" s="64"/>
      <c r="F430" s="60"/>
      <c r="G430" s="60" t="s">
        <v>88</v>
      </c>
      <c r="H430" s="60" t="str">
        <f>IFERROR(INDEX('Docketed Comments'!C:C,MATCH(A430,'Docketed Comments'!H:H,0))&amp;", "&amp;INDEX('Docketed Comments'!B:B,MATCH(A430,'Docketed Comments'!H:H,0)),"")</f>
        <v>Kimberly, Vanos</v>
      </c>
      <c r="I430" s="60" t="str">
        <f>IFERROR(INDEX('Docketed Comments'!D:D,MATCH(A430,'Docketed Comments'!H:H,0)),"")</f>
        <v>Avondale</v>
      </c>
      <c r="J430" s="60" t="str">
        <f>IFERROR(INDEX('Docketed Comments'!I:I,MATCH(A430,'Docketed Comments'!H:H,0)),"")</f>
        <v>EPR-6w/ET-2</v>
      </c>
      <c r="K430" s="60" t="str">
        <f t="shared" si="13"/>
        <v>⚠ Frozen Rate</v>
      </c>
      <c r="L430" s="60" t="str">
        <f>IFERROR(INDEX('Docketed Comments'!F:F,MATCH(A430,'Docketed Comments'!H:H,0)),"")</f>
        <v>Opposed</v>
      </c>
      <c r="M430" s="120" t="str">
        <f>IFERROR(INDEX('Docketed Comments'!G:G,MATCH(A430,'Docketed Comments'!H:H,0)),"")</f>
        <v>https://images.edocket.azcc.gov/docketpdf/E000046204.pdf</v>
      </c>
      <c r="N430" s="118" t="str">
        <f>IFERROR(INDEX('Docketed Comments'!N:N,MATCH(A430,'Docketed Comments'!H:H,0)),"")</f>
        <v>No</v>
      </c>
      <c r="O430" s="118" t="str">
        <f>IFERROR(INDEX('Docketed Comments'!L:L,MATCH(A430,'Docketed Comments'!H:H,0)),"")</f>
        <v>Frozen Rate</v>
      </c>
      <c r="P430" s="119">
        <f t="shared" si="12"/>
        <v>0</v>
      </c>
      <c r="Q430" s="60"/>
      <c r="R430" s="64" t="s">
        <v>75</v>
      </c>
      <c r="S430" s="64" t="s">
        <v>973</v>
      </c>
    </row>
    <row r="431" spans="1:19" ht="21.95" customHeight="1">
      <c r="A431" s="66" t="s">
        <v>974</v>
      </c>
      <c r="B431" s="64"/>
      <c r="C431" s="65"/>
      <c r="D431" s="64"/>
      <c r="E431" s="64"/>
      <c r="F431" s="60"/>
      <c r="G431" s="60" t="s">
        <v>88</v>
      </c>
      <c r="H431" s="60" t="str">
        <f>IFERROR(INDEX('Docketed Comments'!C:C,MATCH(A431,'Docketed Comments'!H:H,0))&amp;", "&amp;INDEX('Docketed Comments'!B:B,MATCH(A431,'Docketed Comments'!H:H,0)),"")</f>
        <v>Ashish, Yadav</v>
      </c>
      <c r="I431" s="60" t="str">
        <f>IFERROR(INDEX('Docketed Comments'!D:D,MATCH(A431,'Docketed Comments'!H:H,0)),"")</f>
        <v>Phoenix</v>
      </c>
      <c r="J431" s="60" t="str">
        <f>IFERROR(INDEX('Docketed Comments'!I:I,MATCH(A431,'Docketed Comments'!H:H,0)),"")</f>
        <v>R3-47</v>
      </c>
      <c r="K431" s="60" t="str">
        <f t="shared" si="13"/>
        <v>✅ On Best Plan</v>
      </c>
      <c r="L431" s="60" t="str">
        <f>IFERROR(INDEX('Docketed Comments'!F:F,MATCH(A431,'Docketed Comments'!H:H,0)),"")</f>
        <v>Form letter</v>
      </c>
      <c r="M431" s="120" t="str">
        <f>IFERROR(INDEX('Docketed Comments'!G:G,MATCH(A431,'Docketed Comments'!H:H,0)),"")</f>
        <v>https://images.edocket.azcc.gov/docketpdf/E000046204.pdf</v>
      </c>
      <c r="N431" s="118" t="str">
        <f>IFERROR(INDEX('Docketed Comments'!N:N,MATCH(A431,'Docketed Comments'!H:H,0)),"")</f>
        <v>No</v>
      </c>
      <c r="O431" s="118" t="str">
        <f>IFERROR(INDEX('Docketed Comments'!L:L,MATCH(A431,'Docketed Comments'!H:H,0)),"")</f>
        <v>Yes</v>
      </c>
      <c r="P431" s="119">
        <f t="shared" si="12"/>
        <v>0</v>
      </c>
      <c r="Q431" s="60"/>
      <c r="R431" s="64" t="s">
        <v>75</v>
      </c>
      <c r="S431" s="64" t="s">
        <v>975</v>
      </c>
    </row>
    <row r="432" spans="1:19" ht="21.95" customHeight="1">
      <c r="A432" s="66" t="s">
        <v>976</v>
      </c>
      <c r="B432" s="64"/>
      <c r="C432" s="65"/>
      <c r="D432" s="64"/>
      <c r="E432" s="64"/>
      <c r="F432" s="60"/>
      <c r="G432" s="60" t="s">
        <v>88</v>
      </c>
      <c r="H432" s="60" t="str">
        <f>IFERROR(INDEX('Docketed Comments'!C:C,MATCH(A432,'Docketed Comments'!H:H,0))&amp;", "&amp;INDEX('Docketed Comments'!B:B,MATCH(A432,'Docketed Comments'!H:H,0)),"")</f>
        <v>Bhavanishankar, Chinta</v>
      </c>
      <c r="I432" s="60" t="str">
        <f>IFERROR(INDEX('Docketed Comments'!D:D,MATCH(A432,'Docketed Comments'!H:H,0)),"")</f>
        <v>Surprise</v>
      </c>
      <c r="J432" s="60" t="str">
        <f>IFERROR(INDEX('Docketed Comments'!I:I,MATCH(A432,'Docketed Comments'!H:H,0)),"")</f>
        <v>R3-47</v>
      </c>
      <c r="K432" s="60" t="str">
        <f t="shared" si="13"/>
        <v>✅ On Best Plan</v>
      </c>
      <c r="L432" s="60" t="str">
        <f>IFERROR(INDEX('Docketed Comments'!F:F,MATCH(A432,'Docketed Comments'!H:H,0)),"")</f>
        <v>Opposed</v>
      </c>
      <c r="M432" s="120" t="str">
        <f>IFERROR(INDEX('Docketed Comments'!G:G,MATCH(A432,'Docketed Comments'!H:H,0)),"")</f>
        <v>https://images.edocket.azcc.gov/docketpdf/E000046204.pdf</v>
      </c>
      <c r="N432" s="118" t="str">
        <f>IFERROR(INDEX('Docketed Comments'!N:N,MATCH(A432,'Docketed Comments'!H:H,0)),"")</f>
        <v>No</v>
      </c>
      <c r="O432" s="118" t="str">
        <f>IFERROR(INDEX('Docketed Comments'!L:L,MATCH(A432,'Docketed Comments'!H:H,0)),"")</f>
        <v>Yes</v>
      </c>
      <c r="P432" s="119">
        <f t="shared" si="12"/>
        <v>0</v>
      </c>
      <c r="Q432" s="60"/>
      <c r="R432" s="64" t="s">
        <v>75</v>
      </c>
      <c r="S432" s="64" t="s">
        <v>977</v>
      </c>
    </row>
    <row r="433" spans="1:19" ht="21.95" customHeight="1">
      <c r="A433" s="66" t="s">
        <v>978</v>
      </c>
      <c r="B433" s="64"/>
      <c r="C433" s="65"/>
      <c r="D433" s="64"/>
      <c r="E433" s="64"/>
      <c r="F433" s="60"/>
      <c r="G433" s="60" t="s">
        <v>88</v>
      </c>
      <c r="H433" s="60" t="str">
        <f>IFERROR(INDEX('Docketed Comments'!C:C,MATCH(A433,'Docketed Comments'!H:H,0))&amp;", "&amp;INDEX('Docketed Comments'!B:B,MATCH(A433,'Docketed Comments'!H:H,0)),"")</f>
        <v>Justin, Paul</v>
      </c>
      <c r="I433" s="60" t="str">
        <f>IFERROR(INDEX('Docketed Comments'!D:D,MATCH(A433,'Docketed Comments'!H:H,0)),"")</f>
        <v>Phoenix</v>
      </c>
      <c r="J433" s="60" t="str">
        <f>IFERROR(INDEX('Docketed Comments'!I:I,MATCH(A433,'Docketed Comments'!H:H,0)),"")</f>
        <v>RCPw/R3-47</v>
      </c>
      <c r="K433" s="60" t="str">
        <f t="shared" si="13"/>
        <v>✅ On Best Plan</v>
      </c>
      <c r="L433" s="60" t="str">
        <f>IFERROR(INDEX('Docketed Comments'!F:F,MATCH(A433,'Docketed Comments'!H:H,0)),"")</f>
        <v>Opposed</v>
      </c>
      <c r="M433" s="120" t="str">
        <f>IFERROR(INDEX('Docketed Comments'!G:G,MATCH(A433,'Docketed Comments'!H:H,0)),"")</f>
        <v>https://images.edocket.azcc.gov/docketpdf/E000046204.pdf</v>
      </c>
      <c r="N433" s="118" t="str">
        <f>IFERROR(INDEX('Docketed Comments'!N:N,MATCH(A433,'Docketed Comments'!H:H,0)),"")</f>
        <v>No</v>
      </c>
      <c r="O433" s="118" t="str">
        <f>IFERROR(INDEX('Docketed Comments'!L:L,MATCH(A433,'Docketed Comments'!H:H,0)),"")</f>
        <v>Yes</v>
      </c>
      <c r="P433" s="119">
        <f t="shared" si="12"/>
        <v>0</v>
      </c>
      <c r="Q433" s="60"/>
      <c r="R433" s="64" t="s">
        <v>75</v>
      </c>
      <c r="S433" s="64" t="s">
        <v>979</v>
      </c>
    </row>
    <row r="434" spans="1:19" ht="21.95" customHeight="1">
      <c r="A434" s="66" t="s">
        <v>980</v>
      </c>
      <c r="B434" s="64"/>
      <c r="C434" s="65"/>
      <c r="D434" s="64"/>
      <c r="E434" s="64"/>
      <c r="F434" s="60"/>
      <c r="G434" s="60" t="s">
        <v>88</v>
      </c>
      <c r="H434" s="60" t="str">
        <f>IFERROR(INDEX('Docketed Comments'!C:C,MATCH(A434,'Docketed Comments'!H:H,0))&amp;", "&amp;INDEX('Docketed Comments'!B:B,MATCH(A434,'Docketed Comments'!H:H,0)),"")</f>
        <v>Kirsten, Fugiel</v>
      </c>
      <c r="I434" s="60" t="str">
        <f>IFERROR(INDEX('Docketed Comments'!D:D,MATCH(A434,'Docketed Comments'!H:H,0)),"")</f>
        <v>Phoenix</v>
      </c>
      <c r="J434" s="60" t="str">
        <f>IFERROR(INDEX('Docketed Comments'!I:I,MATCH(A434,'Docketed Comments'!H:H,0)),"")</f>
        <v>RCPw/R3-47</v>
      </c>
      <c r="K434" s="60" t="str">
        <f t="shared" si="13"/>
        <v>✅ On Best Plan</v>
      </c>
      <c r="L434" s="60" t="str">
        <f>IFERROR(INDEX('Docketed Comments'!F:F,MATCH(A434,'Docketed Comments'!H:H,0)),"")</f>
        <v>Opposed</v>
      </c>
      <c r="M434" s="120" t="str">
        <f>IFERROR(INDEX('Docketed Comments'!G:G,MATCH(A434,'Docketed Comments'!H:H,0)),"")</f>
        <v>https://images.edocket.azcc.gov/docketpdf/E000046204.pdf</v>
      </c>
      <c r="N434" s="118" t="str">
        <f>IFERROR(INDEX('Docketed Comments'!N:N,MATCH(A434,'Docketed Comments'!H:H,0)),"")</f>
        <v>No</v>
      </c>
      <c r="O434" s="118" t="str">
        <f>IFERROR(INDEX('Docketed Comments'!L:L,MATCH(A434,'Docketed Comments'!H:H,0)),"")</f>
        <v>Yes</v>
      </c>
      <c r="P434" s="119">
        <f t="shared" si="12"/>
        <v>0</v>
      </c>
      <c r="Q434" s="60"/>
      <c r="R434" s="64" t="s">
        <v>75</v>
      </c>
      <c r="S434" s="64" t="s">
        <v>981</v>
      </c>
    </row>
    <row r="435" spans="1:19" ht="21.95" customHeight="1">
      <c r="A435" s="66" t="s">
        <v>982</v>
      </c>
      <c r="B435" s="64"/>
      <c r="C435" s="65"/>
      <c r="D435" s="64"/>
      <c r="E435" s="64"/>
      <c r="F435" s="60"/>
      <c r="G435" s="60" t="s">
        <v>88</v>
      </c>
      <c r="H435" s="60" t="str">
        <f>IFERROR(INDEX('Docketed Comments'!C:C,MATCH(A435,'Docketed Comments'!H:H,0))&amp;", "&amp;INDEX('Docketed Comments'!B:B,MATCH(A435,'Docketed Comments'!H:H,0)),"")</f>
        <v>Randall, Brower</v>
      </c>
      <c r="I435" s="60" t="str">
        <f>IFERROR(INDEX('Docketed Comments'!D:D,MATCH(A435,'Docketed Comments'!H:H,0)),"")</f>
        <v>Goodyear</v>
      </c>
      <c r="J435" s="60" t="str">
        <f>IFERROR(INDEX('Docketed Comments'!I:I,MATCH(A435,'Docketed Comments'!H:H,0)),"")</f>
        <v>EPR-6w/E-12</v>
      </c>
      <c r="K435" s="60" t="str">
        <f t="shared" si="13"/>
        <v>⚠ Frozen Rate</v>
      </c>
      <c r="L435" s="60" t="str">
        <f>IFERROR(INDEX('Docketed Comments'!F:F,MATCH(A435,'Docketed Comments'!H:H,0)),"")</f>
        <v>Opposed</v>
      </c>
      <c r="M435" s="120" t="str">
        <f>IFERROR(INDEX('Docketed Comments'!G:G,MATCH(A435,'Docketed Comments'!H:H,0)),"")</f>
        <v>https://images.edocket.azcc.gov/docketpdf/E000046204.pdf</v>
      </c>
      <c r="N435" s="118" t="str">
        <f>IFERROR(INDEX('Docketed Comments'!N:N,MATCH(A435,'Docketed Comments'!H:H,0)),"")</f>
        <v>No</v>
      </c>
      <c r="O435" s="118" t="str">
        <f>IFERROR(INDEX('Docketed Comments'!L:L,MATCH(A435,'Docketed Comments'!H:H,0)),"")</f>
        <v>Frozen Rate</v>
      </c>
      <c r="P435" s="119">
        <f t="shared" si="12"/>
        <v>0</v>
      </c>
      <c r="Q435" s="60"/>
      <c r="R435" s="64" t="s">
        <v>75</v>
      </c>
      <c r="S435" s="64" t="s">
        <v>983</v>
      </c>
    </row>
    <row r="436" spans="1:19" ht="21.95" customHeight="1">
      <c r="A436" s="66" t="s">
        <v>984</v>
      </c>
      <c r="B436" s="64"/>
      <c r="C436" s="65"/>
      <c r="D436" s="64"/>
      <c r="E436" s="64"/>
      <c r="F436" s="60"/>
      <c r="G436" s="60" t="s">
        <v>88</v>
      </c>
      <c r="H436" s="60" t="str">
        <f>IFERROR(INDEX('Docketed Comments'!C:C,MATCH(A436,'Docketed Comments'!H:H,0))&amp;", "&amp;INDEX('Docketed Comments'!B:B,MATCH(A436,'Docketed Comments'!H:H,0)),"")</f>
        <v>Dale, Willems</v>
      </c>
      <c r="I436" s="60" t="str">
        <f>IFERROR(INDEX('Docketed Comments'!D:D,MATCH(A436,'Docketed Comments'!H:H,0)),"")</f>
        <v>Casa Grande</v>
      </c>
      <c r="J436" s="60" t="str">
        <f>IFERROR(INDEX('Docketed Comments'!I:I,MATCH(A436,'Docketed Comments'!H:H,0)),"")</f>
        <v>R-BASIC</v>
      </c>
      <c r="K436" s="60" t="str">
        <f t="shared" si="13"/>
        <v>✅ On Best Plan</v>
      </c>
      <c r="L436" s="60" t="str">
        <f>IFERROR(INDEX('Docketed Comments'!F:F,MATCH(A436,'Docketed Comments'!H:H,0)),"")</f>
        <v>Opposed</v>
      </c>
      <c r="M436" s="120" t="str">
        <f>IFERROR(INDEX('Docketed Comments'!G:G,MATCH(A436,'Docketed Comments'!H:H,0)),"")</f>
        <v>https://images.edocket.azcc.gov/docketpdf/E000046204.pdf</v>
      </c>
      <c r="N436" s="118" t="str">
        <f>IFERROR(INDEX('Docketed Comments'!N:N,MATCH(A436,'Docketed Comments'!H:H,0)),"")</f>
        <v>No</v>
      </c>
      <c r="O436" s="118" t="str">
        <f>IFERROR(INDEX('Docketed Comments'!L:L,MATCH(A436,'Docketed Comments'!H:H,0)),"")</f>
        <v>Yes</v>
      </c>
      <c r="P436" s="119">
        <f t="shared" si="12"/>
        <v>0</v>
      </c>
      <c r="Q436" s="60"/>
      <c r="R436" s="64" t="s">
        <v>75</v>
      </c>
      <c r="S436" s="64" t="s">
        <v>985</v>
      </c>
    </row>
    <row r="437" spans="1:19" ht="21.95" customHeight="1">
      <c r="A437" s="66" t="s">
        <v>986</v>
      </c>
      <c r="B437" s="64"/>
      <c r="C437" s="65"/>
      <c r="D437" s="64"/>
      <c r="E437" s="64"/>
      <c r="F437" s="60"/>
      <c r="G437" s="60" t="s">
        <v>88</v>
      </c>
      <c r="H437" s="60" t="str">
        <f>IFERROR(INDEX('Docketed Comments'!C:C,MATCH(A437,'Docketed Comments'!H:H,0))&amp;", "&amp;INDEX('Docketed Comments'!B:B,MATCH(A437,'Docketed Comments'!H:H,0)),"")</f>
        <v>Pradeep, Anna</v>
      </c>
      <c r="I437" s="60" t="str">
        <f>IFERROR(INDEX('Docketed Comments'!D:D,MATCH(A437,'Docketed Comments'!H:H,0)),"")</f>
        <v>Phoenix</v>
      </c>
      <c r="J437" s="60" t="str">
        <f>IFERROR(INDEX('Docketed Comments'!I:I,MATCH(A437,'Docketed Comments'!H:H,0)),"")</f>
        <v>R-XS</v>
      </c>
      <c r="K437" s="60" t="str">
        <f t="shared" si="13"/>
        <v>✅ On Best Plan</v>
      </c>
      <c r="L437" s="60" t="str">
        <f>IFERROR(INDEX('Docketed Comments'!F:F,MATCH(A437,'Docketed Comments'!H:H,0)),"")</f>
        <v>Opposed</v>
      </c>
      <c r="M437" s="120" t="str">
        <f>IFERROR(INDEX('Docketed Comments'!G:G,MATCH(A437,'Docketed Comments'!H:H,0)),"")</f>
        <v>https://images.edocket.azcc.gov/docketpdf/E000046204.pdf</v>
      </c>
      <c r="N437" s="118" t="str">
        <f>IFERROR(INDEX('Docketed Comments'!N:N,MATCH(A437,'Docketed Comments'!H:H,0)),"")</f>
        <v>No</v>
      </c>
      <c r="O437" s="118" t="str">
        <f>IFERROR(INDEX('Docketed Comments'!L:L,MATCH(A437,'Docketed Comments'!H:H,0)),"")</f>
        <v>Yes</v>
      </c>
      <c r="P437" s="119">
        <f t="shared" si="12"/>
        <v>0</v>
      </c>
      <c r="Q437" s="60"/>
      <c r="R437" s="64" t="s">
        <v>75</v>
      </c>
      <c r="S437" s="64" t="s">
        <v>987</v>
      </c>
    </row>
    <row r="438" spans="1:19" ht="21.95" customHeight="1">
      <c r="A438" s="66" t="s">
        <v>988</v>
      </c>
      <c r="B438" s="64"/>
      <c r="C438" s="65"/>
      <c r="D438" s="64"/>
      <c r="E438" s="64"/>
      <c r="F438" s="60"/>
      <c r="G438" s="60" t="s">
        <v>88</v>
      </c>
      <c r="H438" s="60" t="str">
        <f>IFERROR(INDEX('Docketed Comments'!C:C,MATCH(A438,'Docketed Comments'!H:H,0))&amp;", "&amp;INDEX('Docketed Comments'!B:B,MATCH(A438,'Docketed Comments'!H:H,0)),"")</f>
        <v>Renee, Rivarde</v>
      </c>
      <c r="I438" s="60" t="str">
        <f>IFERROR(INDEX('Docketed Comments'!D:D,MATCH(A438,'Docketed Comments'!H:H,0)),"")</f>
        <v>Goodyear</v>
      </c>
      <c r="J438" s="60" t="str">
        <f>IFERROR(INDEX('Docketed Comments'!I:I,MATCH(A438,'Docketed Comments'!H:H,0)),"")</f>
        <v>R-XS</v>
      </c>
      <c r="K438" s="60" t="str">
        <f t="shared" si="13"/>
        <v>✅ On Best Plan</v>
      </c>
      <c r="L438" s="60" t="str">
        <f>IFERROR(INDEX('Docketed Comments'!F:F,MATCH(A438,'Docketed Comments'!H:H,0)),"")</f>
        <v>Opposed</v>
      </c>
      <c r="M438" s="120" t="str">
        <f>IFERROR(INDEX('Docketed Comments'!G:G,MATCH(A438,'Docketed Comments'!H:H,0)),"")</f>
        <v>https://images.edocket.azcc.gov/docketpdf/E000046204.pdf</v>
      </c>
      <c r="N438" s="118" t="str">
        <f>IFERROR(INDEX('Docketed Comments'!N:N,MATCH(A438,'Docketed Comments'!H:H,0)),"")</f>
        <v>No</v>
      </c>
      <c r="O438" s="118" t="str">
        <f>IFERROR(INDEX('Docketed Comments'!L:L,MATCH(A438,'Docketed Comments'!H:H,0)),"")</f>
        <v>Yes</v>
      </c>
      <c r="P438" s="119">
        <f t="shared" si="12"/>
        <v>0</v>
      </c>
      <c r="Q438" s="60"/>
      <c r="R438" s="64" t="s">
        <v>75</v>
      </c>
      <c r="S438" s="64" t="s">
        <v>989</v>
      </c>
    </row>
    <row r="439" spans="1:19" ht="21.95" customHeight="1">
      <c r="A439" s="66" t="s">
        <v>990</v>
      </c>
      <c r="B439" s="64"/>
      <c r="C439" s="65"/>
      <c r="D439" s="64"/>
      <c r="E439" s="64"/>
      <c r="F439" s="60"/>
      <c r="G439" s="60" t="s">
        <v>88</v>
      </c>
      <c r="H439" s="60" t="str">
        <f>IFERROR(INDEX('Docketed Comments'!C:C,MATCH(A439,'Docketed Comments'!H:H,0))&amp;", "&amp;INDEX('Docketed Comments'!B:B,MATCH(A439,'Docketed Comments'!H:H,0)),"")</f>
        <v>Patti, Boersma</v>
      </c>
      <c r="I439" s="60" t="str">
        <f>IFERROR(INDEX('Docketed Comments'!D:D,MATCH(A439,'Docketed Comments'!H:H,0)),"")</f>
        <v>Goodyear</v>
      </c>
      <c r="J439" s="60" t="str">
        <f>IFERROR(INDEX('Docketed Comments'!I:I,MATCH(A439,'Docketed Comments'!H:H,0)),"")</f>
        <v>RCPw/R3-47</v>
      </c>
      <c r="K439" s="60" t="str">
        <f t="shared" si="13"/>
        <v>✅ On Best Plan</v>
      </c>
      <c r="L439" s="60" t="str">
        <f>IFERROR(INDEX('Docketed Comments'!F:F,MATCH(A439,'Docketed Comments'!H:H,0)),"")</f>
        <v>Opposed</v>
      </c>
      <c r="M439" s="120" t="str">
        <f>IFERROR(INDEX('Docketed Comments'!G:G,MATCH(A439,'Docketed Comments'!H:H,0)),"")</f>
        <v>https://images.edocket.azcc.gov/docketpdf/E000046204.pdf</v>
      </c>
      <c r="N439" s="118" t="str">
        <f>IFERROR(INDEX('Docketed Comments'!N:N,MATCH(A439,'Docketed Comments'!H:H,0)),"")</f>
        <v>No</v>
      </c>
      <c r="O439" s="118" t="str">
        <f>IFERROR(INDEX('Docketed Comments'!L:L,MATCH(A439,'Docketed Comments'!H:H,0)),"")</f>
        <v>Yes</v>
      </c>
      <c r="P439" s="119">
        <f t="shared" si="12"/>
        <v>0</v>
      </c>
      <c r="Q439" s="60"/>
      <c r="R439" s="64" t="s">
        <v>75</v>
      </c>
      <c r="S439" s="64" t="s">
        <v>991</v>
      </c>
    </row>
    <row r="440" spans="1:19" ht="21.95" customHeight="1">
      <c r="A440" s="66" t="s">
        <v>992</v>
      </c>
      <c r="B440" s="64"/>
      <c r="C440" s="65"/>
      <c r="D440" s="64"/>
      <c r="E440" s="64"/>
      <c r="F440" s="60"/>
      <c r="G440" s="60" t="s">
        <v>88</v>
      </c>
      <c r="H440" s="60" t="str">
        <f>IFERROR(INDEX('Docketed Comments'!C:C,MATCH(A440,'Docketed Comments'!H:H,0))&amp;", "&amp;INDEX('Docketed Comments'!B:B,MATCH(A440,'Docketed Comments'!H:H,0)),"")</f>
        <v>Najaraj, Pandit</v>
      </c>
      <c r="I440" s="60" t="str">
        <f>IFERROR(INDEX('Docketed Comments'!D:D,MATCH(A440,'Docketed Comments'!H:H,0)),"")</f>
        <v>Peoria</v>
      </c>
      <c r="J440" s="60" t="str">
        <f>IFERROR(INDEX('Docketed Comments'!I:I,MATCH(A440,'Docketed Comments'!H:H,0)),"")</f>
        <v>R3-47</v>
      </c>
      <c r="K440" s="60" t="str">
        <f t="shared" si="13"/>
        <v>✅ On Best Plan</v>
      </c>
      <c r="L440" s="60" t="str">
        <f>IFERROR(INDEX('Docketed Comments'!F:F,MATCH(A440,'Docketed Comments'!H:H,0)),"")</f>
        <v>Form letter</v>
      </c>
      <c r="M440" s="120" t="str">
        <f>IFERROR(INDEX('Docketed Comments'!G:G,MATCH(A440,'Docketed Comments'!H:H,0)),"")</f>
        <v>https://images.edocket.azcc.gov/docketpdf/E000046204.pdf</v>
      </c>
      <c r="N440" s="118" t="str">
        <f>IFERROR(INDEX('Docketed Comments'!N:N,MATCH(A440,'Docketed Comments'!H:H,0)),"")</f>
        <v>No</v>
      </c>
      <c r="O440" s="118" t="str">
        <f>IFERROR(INDEX('Docketed Comments'!L:L,MATCH(A440,'Docketed Comments'!H:H,0)),"")</f>
        <v>Yes</v>
      </c>
      <c r="P440" s="119">
        <f t="shared" si="12"/>
        <v>0</v>
      </c>
      <c r="Q440" s="60"/>
      <c r="R440" s="64" t="s">
        <v>75</v>
      </c>
      <c r="S440" s="64" t="s">
        <v>993</v>
      </c>
    </row>
    <row r="441" spans="1:19" ht="21.95" customHeight="1">
      <c r="A441" s="66" t="s">
        <v>994</v>
      </c>
      <c r="B441" s="64"/>
      <c r="C441" s="65"/>
      <c r="D441" s="64"/>
      <c r="E441" s="64"/>
      <c r="F441" s="60"/>
      <c r="G441" s="60" t="s">
        <v>88</v>
      </c>
      <c r="H441" s="60" t="str">
        <f>IFERROR(INDEX('Docketed Comments'!C:C,MATCH(A441,'Docketed Comments'!H:H,0))&amp;", "&amp;INDEX('Docketed Comments'!B:B,MATCH(A441,'Docketed Comments'!H:H,0)),"")</f>
        <v>Evan, Mallory</v>
      </c>
      <c r="I441" s="60" t="str">
        <f>IFERROR(INDEX('Docketed Comments'!D:D,MATCH(A441,'Docketed Comments'!H:H,0)),"")</f>
        <v>Peoria</v>
      </c>
      <c r="J441" s="60" t="str">
        <f>IFERROR(INDEX('Docketed Comments'!I:I,MATCH(A441,'Docketed Comments'!H:H,0)),"")</f>
        <v>RCPw/R-2</v>
      </c>
      <c r="K441" s="60" t="str">
        <f t="shared" si="13"/>
        <v>⚠ Frozen Rate</v>
      </c>
      <c r="L441" s="60" t="str">
        <f>IFERROR(INDEX('Docketed Comments'!F:F,MATCH(A441,'Docketed Comments'!H:H,0)),"")</f>
        <v>Opposed</v>
      </c>
      <c r="M441" s="120" t="str">
        <f>IFERROR(INDEX('Docketed Comments'!G:G,MATCH(A441,'Docketed Comments'!H:H,0)),"")</f>
        <v>https://images.edocket.azcc.gov/docketpdf/E000046204.pdf</v>
      </c>
      <c r="N441" s="118" t="str">
        <f>IFERROR(INDEX('Docketed Comments'!N:N,MATCH(A441,'Docketed Comments'!H:H,0)),"")</f>
        <v>No</v>
      </c>
      <c r="O441" s="118" t="str">
        <f>IFERROR(INDEX('Docketed Comments'!L:L,MATCH(A441,'Docketed Comments'!H:H,0)),"")</f>
        <v>Frozen Rate</v>
      </c>
      <c r="P441" s="119">
        <f t="shared" si="12"/>
        <v>0</v>
      </c>
      <c r="Q441" s="60"/>
      <c r="R441" s="64" t="s">
        <v>75</v>
      </c>
      <c r="S441" s="64" t="s">
        <v>995</v>
      </c>
    </row>
    <row r="442" spans="1:19" ht="21.95" customHeight="1">
      <c r="A442" s="66" t="s">
        <v>996</v>
      </c>
      <c r="B442" s="64"/>
      <c r="C442" s="65"/>
      <c r="D442" s="64"/>
      <c r="E442" s="64"/>
      <c r="F442" s="60"/>
      <c r="G442" s="60" t="s">
        <v>88</v>
      </c>
      <c r="H442" s="60" t="str">
        <f>IFERROR(INDEX('Docketed Comments'!C:C,MATCH(A442,'Docketed Comments'!H:H,0))&amp;", "&amp;INDEX('Docketed Comments'!B:B,MATCH(A442,'Docketed Comments'!H:H,0)),"")</f>
        <v>Partha, Mahato</v>
      </c>
      <c r="I442" s="60" t="str">
        <f>IFERROR(INDEX('Docketed Comments'!D:D,MATCH(A442,'Docketed Comments'!H:H,0)),"")</f>
        <v>Phoenix</v>
      </c>
      <c r="J442" s="60" t="str">
        <f>IFERROR(INDEX('Docketed Comments'!I:I,MATCH(A442,'Docketed Comments'!H:H,0)),"")</f>
        <v>REV47</v>
      </c>
      <c r="K442" s="60" t="str">
        <f t="shared" si="13"/>
        <v>✅ On Best Plan</v>
      </c>
      <c r="L442" s="60" t="str">
        <f>IFERROR(INDEX('Docketed Comments'!F:F,MATCH(A442,'Docketed Comments'!H:H,0)),"")</f>
        <v>Opposed</v>
      </c>
      <c r="M442" s="120" t="str">
        <f>IFERROR(INDEX('Docketed Comments'!G:G,MATCH(A442,'Docketed Comments'!H:H,0)),"")</f>
        <v>https://images.edocket.azcc.gov/docketpdf/E000046204.pdf</v>
      </c>
      <c r="N442" s="118" t="str">
        <f>IFERROR(INDEX('Docketed Comments'!N:N,MATCH(A442,'Docketed Comments'!H:H,0)),"")</f>
        <v>No</v>
      </c>
      <c r="O442" s="118" t="str">
        <f>IFERROR(INDEX('Docketed Comments'!L:L,MATCH(A442,'Docketed Comments'!H:H,0)),"")</f>
        <v>Yes</v>
      </c>
      <c r="P442" s="119">
        <f t="shared" si="12"/>
        <v>0</v>
      </c>
      <c r="Q442" s="60"/>
      <c r="R442" s="64" t="s">
        <v>75</v>
      </c>
      <c r="S442" s="64" t="s">
        <v>997</v>
      </c>
    </row>
    <row r="443" spans="1:19" ht="21.95" customHeight="1">
      <c r="A443" s="66" t="s">
        <v>998</v>
      </c>
      <c r="B443" s="64"/>
      <c r="C443" s="65"/>
      <c r="D443" s="64"/>
      <c r="E443" s="64"/>
      <c r="F443" s="60"/>
      <c r="G443" s="60" t="s">
        <v>88</v>
      </c>
      <c r="H443" s="60" t="str">
        <f>IFERROR(INDEX('Docketed Comments'!C:C,MATCH(A443,'Docketed Comments'!H:H,0))&amp;", "&amp;INDEX('Docketed Comments'!B:B,MATCH(A443,'Docketed Comments'!H:H,0)),"")</f>
        <v>Cameron, Klug</v>
      </c>
      <c r="I443" s="60" t="str">
        <f>IFERROR(INDEX('Docketed Comments'!D:D,MATCH(A443,'Docketed Comments'!H:H,0)),"")</f>
        <v>Phoenix</v>
      </c>
      <c r="J443" s="60" t="str">
        <f>IFERROR(INDEX('Docketed Comments'!I:I,MATCH(A443,'Docketed Comments'!H:H,0)),"")</f>
        <v>R3-47</v>
      </c>
      <c r="K443" s="60" t="str">
        <f t="shared" si="13"/>
        <v>✅ On Best Plan</v>
      </c>
      <c r="L443" s="60" t="str">
        <f>IFERROR(INDEX('Docketed Comments'!F:F,MATCH(A443,'Docketed Comments'!H:H,0)),"")</f>
        <v>Form letter</v>
      </c>
      <c r="M443" s="120" t="str">
        <f>IFERROR(INDEX('Docketed Comments'!G:G,MATCH(A443,'Docketed Comments'!H:H,0)),"")</f>
        <v>https://images.edocket.azcc.gov/docketpdf/E000046204.pdf</v>
      </c>
      <c r="N443" s="118" t="str">
        <f>IFERROR(INDEX('Docketed Comments'!N:N,MATCH(A443,'Docketed Comments'!H:H,0)),"")</f>
        <v>No</v>
      </c>
      <c r="O443" s="118" t="str">
        <f>IFERROR(INDEX('Docketed Comments'!L:L,MATCH(A443,'Docketed Comments'!H:H,0)),"")</f>
        <v>Yes</v>
      </c>
      <c r="P443" s="119">
        <f t="shared" si="12"/>
        <v>0</v>
      </c>
      <c r="Q443" s="60"/>
      <c r="R443" s="64" t="s">
        <v>75</v>
      </c>
      <c r="S443" s="64" t="s">
        <v>999</v>
      </c>
    </row>
    <row r="444" spans="1:19" ht="21.95" customHeight="1">
      <c r="A444" s="66" t="s">
        <v>1000</v>
      </c>
      <c r="B444" s="64"/>
      <c r="C444" s="65"/>
      <c r="D444" s="64"/>
      <c r="E444" s="64"/>
      <c r="F444" s="60"/>
      <c r="G444" s="60" t="s">
        <v>88</v>
      </c>
      <c r="H444" s="60" t="str">
        <f>IFERROR(INDEX('Docketed Comments'!C:C,MATCH(A444,'Docketed Comments'!H:H,0))&amp;", "&amp;INDEX('Docketed Comments'!B:B,MATCH(A444,'Docketed Comments'!H:H,0)),"")</f>
        <v>Harinatha, Bedadala</v>
      </c>
      <c r="I444" s="60" t="str">
        <f>IFERROR(INDEX('Docketed Comments'!D:D,MATCH(A444,'Docketed Comments'!H:H,0)),"")</f>
        <v>Peoria</v>
      </c>
      <c r="J444" s="60" t="str">
        <f>IFERROR(INDEX('Docketed Comments'!I:I,MATCH(A444,'Docketed Comments'!H:H,0)),"")</f>
        <v>R-XS</v>
      </c>
      <c r="K444" s="60" t="str">
        <f t="shared" si="13"/>
        <v>✅ On Best Plan</v>
      </c>
      <c r="L444" s="60" t="str">
        <f>IFERROR(INDEX('Docketed Comments'!F:F,MATCH(A444,'Docketed Comments'!H:H,0)),"")</f>
        <v>Form letter</v>
      </c>
      <c r="M444" s="120" t="str">
        <f>IFERROR(INDEX('Docketed Comments'!G:G,MATCH(A444,'Docketed Comments'!H:H,0)),"")</f>
        <v>https://images.edocket.azcc.gov/docketpdf/E000046204.pdf</v>
      </c>
      <c r="N444" s="118" t="str">
        <f>IFERROR(INDEX('Docketed Comments'!N:N,MATCH(A444,'Docketed Comments'!H:H,0)),"")</f>
        <v>No</v>
      </c>
      <c r="O444" s="118" t="str">
        <f>IFERROR(INDEX('Docketed Comments'!L:L,MATCH(A444,'Docketed Comments'!H:H,0)),"")</f>
        <v>Yes</v>
      </c>
      <c r="P444" s="119">
        <f t="shared" si="12"/>
        <v>0</v>
      </c>
      <c r="Q444" s="60"/>
      <c r="R444" s="64" t="s">
        <v>75</v>
      </c>
      <c r="S444" s="64" t="s">
        <v>1001</v>
      </c>
    </row>
    <row r="445" spans="1:19" ht="21.95" customHeight="1">
      <c r="A445" s="66" t="s">
        <v>1002</v>
      </c>
      <c r="B445" s="64"/>
      <c r="C445" s="65"/>
      <c r="D445" s="64"/>
      <c r="E445" s="64"/>
      <c r="F445" s="60"/>
      <c r="G445" s="60" t="s">
        <v>88</v>
      </c>
      <c r="H445" s="60" t="str">
        <f>IFERROR(INDEX('Docketed Comments'!C:C,MATCH(A445,'Docketed Comments'!H:H,0))&amp;", "&amp;INDEX('Docketed Comments'!B:B,MATCH(A445,'Docketed Comments'!H:H,0)),"")</f>
        <v>Fred &amp; Carolyn, Lukson</v>
      </c>
      <c r="I445" s="60" t="str">
        <f>IFERROR(INDEX('Docketed Comments'!D:D,MATCH(A445,'Docketed Comments'!H:H,0)),"")</f>
        <v>Goodyear</v>
      </c>
      <c r="J445" s="60" t="str">
        <f>IFERROR(INDEX('Docketed Comments'!I:I,MATCH(A445,'Docketed Comments'!H:H,0)),"")</f>
        <v>EPR-6w/E-12</v>
      </c>
      <c r="K445" s="60" t="str">
        <f t="shared" si="13"/>
        <v>⚠ Frozen Rate</v>
      </c>
      <c r="L445" s="60" t="str">
        <f>IFERROR(INDEX('Docketed Comments'!F:F,MATCH(A445,'Docketed Comments'!H:H,0)),"")</f>
        <v>Retired/Fixed income</v>
      </c>
      <c r="M445" s="120" t="str">
        <f>IFERROR(INDEX('Docketed Comments'!G:G,MATCH(A445,'Docketed Comments'!H:H,0)),"")</f>
        <v>https://images.edocket.azcc.gov/docketpdf/E000046204.pdf</v>
      </c>
      <c r="N445" s="118" t="str">
        <f>IFERROR(INDEX('Docketed Comments'!N:N,MATCH(A445,'Docketed Comments'!H:H,0)),"")</f>
        <v>No</v>
      </c>
      <c r="O445" s="118" t="str">
        <f>IFERROR(INDEX('Docketed Comments'!L:L,MATCH(A445,'Docketed Comments'!H:H,0)),"")</f>
        <v>Frozen Rate</v>
      </c>
      <c r="P445" s="119">
        <f t="shared" si="12"/>
        <v>0</v>
      </c>
      <c r="Q445" s="60"/>
      <c r="R445" s="64" t="s">
        <v>75</v>
      </c>
      <c r="S445" s="64" t="s">
        <v>1003</v>
      </c>
    </row>
    <row r="446" spans="1:19" ht="21.95" customHeight="1">
      <c r="A446" s="66" t="s">
        <v>1004</v>
      </c>
      <c r="B446" s="64"/>
      <c r="C446" s="65"/>
      <c r="D446" s="64"/>
      <c r="E446" s="64"/>
      <c r="F446" s="60"/>
      <c r="G446" s="60" t="s">
        <v>88</v>
      </c>
      <c r="H446" s="60" t="str">
        <f>IFERROR(INDEX('Docketed Comments'!C:C,MATCH(A446,'Docketed Comments'!H:H,0))&amp;", "&amp;INDEX('Docketed Comments'!B:B,MATCH(A446,'Docketed Comments'!H:H,0)),"")</f>
        <v>Nichole, Williams</v>
      </c>
      <c r="I446" s="60" t="str">
        <f>IFERROR(INDEX('Docketed Comments'!D:D,MATCH(A446,'Docketed Comments'!H:H,0)),"")</f>
        <v>Avondale</v>
      </c>
      <c r="J446" s="60" t="str">
        <f>IFERROR(INDEX('Docketed Comments'!I:I,MATCH(A446,'Docketed Comments'!H:H,0)),"")</f>
        <v>RCPw/RTOUE47</v>
      </c>
      <c r="K446" s="60" t="str">
        <f t="shared" si="13"/>
        <v>✅ On Best Plan</v>
      </c>
      <c r="L446" s="60" t="str">
        <f>IFERROR(INDEX('Docketed Comments'!F:F,MATCH(A446,'Docketed Comments'!H:H,0)),"")</f>
        <v>Opposed</v>
      </c>
      <c r="M446" s="120" t="str">
        <f>IFERROR(INDEX('Docketed Comments'!G:G,MATCH(A446,'Docketed Comments'!H:H,0)),"")</f>
        <v>https://images.edocket.azcc.gov/docketpdf/E000046204.pdf</v>
      </c>
      <c r="N446" s="118" t="str">
        <f>IFERROR(INDEX('Docketed Comments'!N:N,MATCH(A446,'Docketed Comments'!H:H,0)),"")</f>
        <v>No</v>
      </c>
      <c r="O446" s="118" t="str">
        <f>IFERROR(INDEX('Docketed Comments'!L:L,MATCH(A446,'Docketed Comments'!H:H,0)),"")</f>
        <v>Y</v>
      </c>
      <c r="P446" s="119">
        <f t="shared" si="12"/>
        <v>0</v>
      </c>
      <c r="Q446" s="60"/>
      <c r="R446" s="64" t="s">
        <v>75</v>
      </c>
      <c r="S446" s="64" t="s">
        <v>1005</v>
      </c>
    </row>
    <row r="447" spans="1:19" ht="21.95" customHeight="1">
      <c r="A447" s="66" t="s">
        <v>1006</v>
      </c>
      <c r="B447" s="64"/>
      <c r="C447" s="65"/>
      <c r="D447" s="64"/>
      <c r="E447" s="64"/>
      <c r="F447" s="60"/>
      <c r="G447" s="60" t="s">
        <v>88</v>
      </c>
      <c r="H447" s="60" t="str">
        <f>IFERROR(INDEX('Docketed Comments'!C:C,MATCH(A447,'Docketed Comments'!H:H,0))&amp;", "&amp;INDEX('Docketed Comments'!B:B,MATCH(A447,'Docketed Comments'!H:H,0)),"")</f>
        <v>Ravindranath, Malladi</v>
      </c>
      <c r="I447" s="60" t="str">
        <f>IFERROR(INDEX('Docketed Comments'!D:D,MATCH(A447,'Docketed Comments'!H:H,0)),"")</f>
        <v>Phoenix</v>
      </c>
      <c r="J447" s="60" t="str">
        <f>IFERROR(INDEX('Docketed Comments'!I:I,MATCH(A447,'Docketed Comments'!H:H,0)),"")</f>
        <v>RCPw/R3-47</v>
      </c>
      <c r="K447" s="60" t="str">
        <f t="shared" si="13"/>
        <v>✅ On Best Plan</v>
      </c>
      <c r="L447" s="60" t="str">
        <f>IFERROR(INDEX('Docketed Comments'!F:F,MATCH(A447,'Docketed Comments'!H:H,0)),"")</f>
        <v>Form letter</v>
      </c>
      <c r="M447" s="120" t="str">
        <f>IFERROR(INDEX('Docketed Comments'!G:G,MATCH(A447,'Docketed Comments'!H:H,0)),"")</f>
        <v>https://images.edocket.azcc.gov/docketpdf/E000046204.pdf</v>
      </c>
      <c r="N447" s="118" t="str">
        <f>IFERROR(INDEX('Docketed Comments'!N:N,MATCH(A447,'Docketed Comments'!H:H,0)),"")</f>
        <v>No</v>
      </c>
      <c r="O447" s="118" t="str">
        <f>IFERROR(INDEX('Docketed Comments'!L:L,MATCH(A447,'Docketed Comments'!H:H,0)),"")</f>
        <v>Y</v>
      </c>
      <c r="P447" s="119">
        <f t="shared" si="12"/>
        <v>0</v>
      </c>
      <c r="Q447" s="60"/>
      <c r="R447" s="64" t="s">
        <v>75</v>
      </c>
      <c r="S447" s="64" t="s">
        <v>1007</v>
      </c>
    </row>
    <row r="448" spans="1:19" ht="21.95" customHeight="1">
      <c r="A448" s="66" t="s">
        <v>1008</v>
      </c>
      <c r="B448" s="64"/>
      <c r="C448" s="65"/>
      <c r="D448" s="64"/>
      <c r="E448" s="64"/>
      <c r="F448" s="60"/>
      <c r="G448" s="60" t="s">
        <v>88</v>
      </c>
      <c r="H448" s="60" t="str">
        <f>IFERROR(INDEX('Docketed Comments'!C:C,MATCH(A448,'Docketed Comments'!H:H,0))&amp;", "&amp;INDEX('Docketed Comments'!B:B,MATCH(A448,'Docketed Comments'!H:H,0)),"")</f>
        <v>Michele, DeFilippo</v>
      </c>
      <c r="I448" s="60" t="str">
        <f>IFERROR(INDEX('Docketed Comments'!D:D,MATCH(A448,'Docketed Comments'!H:H,0)),"")</f>
        <v>Phoenix</v>
      </c>
      <c r="J448" s="60" t="str">
        <f>IFERROR(INDEX('Docketed Comments'!I:I,MATCH(A448,'Docketed Comments'!H:H,0)),"")</f>
        <v>R-2</v>
      </c>
      <c r="K448" s="60" t="str">
        <f t="shared" si="13"/>
        <v>⚠ Frozen Rate</v>
      </c>
      <c r="L448" s="60" t="str">
        <f>IFERROR(INDEX('Docketed Comments'!F:F,MATCH(A448,'Docketed Comments'!H:H,0)),"")</f>
        <v>Opposed</v>
      </c>
      <c r="M448" s="120" t="str">
        <f>IFERROR(INDEX('Docketed Comments'!G:G,MATCH(A448,'Docketed Comments'!H:H,0)),"")</f>
        <v>https://images.edocket.azcc.gov/docketpdf/E000046206.pdf</v>
      </c>
      <c r="N448" s="118" t="str">
        <f>IFERROR(INDEX('Docketed Comments'!N:N,MATCH(A448,'Docketed Comments'!H:H,0)),"")</f>
        <v>No</v>
      </c>
      <c r="O448" s="118" t="str">
        <f>IFERROR(INDEX('Docketed Comments'!L:L,MATCH(A448,'Docketed Comments'!H:H,0)),"")</f>
        <v>Frozen Rate</v>
      </c>
      <c r="P448" s="119">
        <f t="shared" si="12"/>
        <v>0</v>
      </c>
      <c r="Q448" s="60"/>
      <c r="R448" s="64" t="s">
        <v>75</v>
      </c>
      <c r="S448" s="64" t="s">
        <v>1009</v>
      </c>
    </row>
    <row r="449" spans="1:19" ht="21.95" customHeight="1">
      <c r="A449" s="66" t="s">
        <v>1010</v>
      </c>
      <c r="B449" s="64"/>
      <c r="C449" s="65"/>
      <c r="D449" s="64"/>
      <c r="E449" s="64"/>
      <c r="F449" s="60"/>
      <c r="G449" s="60" t="s">
        <v>88</v>
      </c>
      <c r="H449" s="60" t="str">
        <f>IFERROR(INDEX('Docketed Comments'!C:C,MATCH(A449,'Docketed Comments'!H:H,0))&amp;", "&amp;INDEX('Docketed Comments'!B:B,MATCH(A449,'Docketed Comments'!H:H,0)),"")</f>
        <v>Halie, Pederson</v>
      </c>
      <c r="I449" s="60" t="str">
        <f>IFERROR(INDEX('Docketed Comments'!D:D,MATCH(A449,'Docketed Comments'!H:H,0)),"")</f>
        <v>Prescott Valley</v>
      </c>
      <c r="J449" s="60" t="str">
        <f>IFERROR(INDEX('Docketed Comments'!I:I,MATCH(A449,'Docketed Comments'!H:H,0)),"")</f>
        <v>R-XS</v>
      </c>
      <c r="K449" s="60" t="str">
        <f t="shared" si="13"/>
        <v>✅ On Best Plan</v>
      </c>
      <c r="L449" s="60" t="str">
        <f>IFERROR(INDEX('Docketed Comments'!F:F,MATCH(A449,'Docketed Comments'!H:H,0)),"")</f>
        <v>Form letter</v>
      </c>
      <c r="M449" s="120" t="str">
        <f>IFERROR(INDEX('Docketed Comments'!G:G,MATCH(A449,'Docketed Comments'!H:H,0)),"")</f>
        <v>https://images.edocket.azcc.gov/docketpdf/E000046206.pdf</v>
      </c>
      <c r="N449" s="118" t="str">
        <f>IFERROR(INDEX('Docketed Comments'!N:N,MATCH(A449,'Docketed Comments'!H:H,0)),"")</f>
        <v>No</v>
      </c>
      <c r="O449" s="118" t="str">
        <f>IFERROR(INDEX('Docketed Comments'!L:L,MATCH(A449,'Docketed Comments'!H:H,0)),"")</f>
        <v>Yes</v>
      </c>
      <c r="P449" s="119">
        <f t="shared" si="12"/>
        <v>0</v>
      </c>
      <c r="Q449" s="60"/>
      <c r="R449" s="64" t="s">
        <v>75</v>
      </c>
      <c r="S449" s="64" t="s">
        <v>1011</v>
      </c>
    </row>
    <row r="450" spans="1:19" ht="21.95" customHeight="1">
      <c r="A450" s="66" t="s">
        <v>1012</v>
      </c>
      <c r="B450" s="64"/>
      <c r="C450" s="65"/>
      <c r="D450" s="64"/>
      <c r="E450" s="64"/>
      <c r="F450" s="60"/>
      <c r="G450" s="60" t="s">
        <v>88</v>
      </c>
      <c r="H450" s="60" t="str">
        <f>IFERROR(INDEX('Docketed Comments'!C:C,MATCH(A450,'Docketed Comments'!H:H,0))&amp;", "&amp;INDEX('Docketed Comments'!B:B,MATCH(A450,'Docketed Comments'!H:H,0)),"")</f>
        <v>Ken, Gram</v>
      </c>
      <c r="I450" s="60" t="str">
        <f>IFERROR(INDEX('Docketed Comments'!D:D,MATCH(A450,'Docketed Comments'!H:H,0)),"")</f>
        <v>Scottsdale</v>
      </c>
      <c r="J450" s="60" t="str">
        <f>IFERROR(INDEX('Docketed Comments'!I:I,MATCH(A450,'Docketed Comments'!H:H,0)),"")</f>
        <v>Multiple SAs</v>
      </c>
      <c r="K450" s="60" t="str">
        <f t="shared" si="13"/>
        <v>✅ On Best Plan</v>
      </c>
      <c r="L450" s="60" t="str">
        <f>IFERROR(INDEX('Docketed Comments'!F:F,MATCH(A450,'Docketed Comments'!H:H,0)),"")</f>
        <v>Opposed</v>
      </c>
      <c r="M450" s="120" t="str">
        <f>IFERROR(INDEX('Docketed Comments'!G:G,MATCH(A450,'Docketed Comments'!H:H,0)),"")</f>
        <v>https://images.edocket.azcc.gov/docketpdf/E000046206.pdf</v>
      </c>
      <c r="N450" s="118" t="str">
        <f>IFERROR(INDEX('Docketed Comments'!N:N,MATCH(A450,'Docketed Comments'!H:H,0)),"")</f>
        <v>No</v>
      </c>
      <c r="O450" s="118" t="str">
        <f>IFERROR(INDEX('Docketed Comments'!L:L,MATCH(A450,'Docketed Comments'!H:H,0)),"")</f>
        <v>Yes</v>
      </c>
      <c r="P450" s="119">
        <f t="shared" ref="P450:P513" si="14">IFERROR(IF(ISNUMBER(SEARCH("$",O450)),VALUE(SUBSTITUTE(SUBSTITUTE(MID(O450,FIND("$",O450)+1,FIND(")",O450)-FIND("$",O450)-1),",","")," ","")),VALUE(SUBSTITUTE(SUBSTITUTE(MID(O450,FIND("(",O450)+1,FIND(")",O450)-FIND("(",O450)-1),",","")," ",""))),0)</f>
        <v>0</v>
      </c>
      <c r="Q450" s="60"/>
      <c r="R450" s="64" t="s">
        <v>75</v>
      </c>
      <c r="S450" s="64" t="s">
        <v>1013</v>
      </c>
    </row>
    <row r="451" spans="1:19" ht="21.95" customHeight="1">
      <c r="A451" s="66" t="s">
        <v>1014</v>
      </c>
      <c r="B451" s="64"/>
      <c r="C451" s="65"/>
      <c r="D451" s="64"/>
      <c r="E451" s="64"/>
      <c r="F451" s="60"/>
      <c r="G451" s="60" t="s">
        <v>88</v>
      </c>
      <c r="H451" s="60" t="str">
        <f>IFERROR(INDEX('Docketed Comments'!C:C,MATCH(A451,'Docketed Comments'!H:H,0))&amp;", "&amp;INDEX('Docketed Comments'!B:B,MATCH(A451,'Docketed Comments'!H:H,0)),"")</f>
        <v>Lianne, Liddell</v>
      </c>
      <c r="I451" s="60" t="str">
        <f>IFERROR(INDEX('Docketed Comments'!D:D,MATCH(A451,'Docketed Comments'!H:H,0)),"")</f>
        <v>Phoenix</v>
      </c>
      <c r="J451" s="60" t="str">
        <f>IFERROR(INDEX('Docketed Comments'!I:I,MATCH(A451,'Docketed Comments'!H:H,0)),"")</f>
        <v>RCPw/RTOUE47</v>
      </c>
      <c r="K451" s="60" t="str">
        <f t="shared" ref="K451:K514" si="15">IFERROR(IF(OR(LEFT(O451,2)="No",LEFT(O451,3)="Not"),"❌ Not on Best Plan",IF(OR(O451="Yes",O451="Y",O451="Yes "),"✅ On Best Plan","⚠ "&amp;O451)),"")</f>
        <v>✅ On Best Plan</v>
      </c>
      <c r="L451" s="60" t="str">
        <f>IFERROR(INDEX('Docketed Comments'!F:F,MATCH(A451,'Docketed Comments'!H:H,0)),"")</f>
        <v>Form letter</v>
      </c>
      <c r="M451" s="120" t="str">
        <f>IFERROR(INDEX('Docketed Comments'!G:G,MATCH(A451,'Docketed Comments'!H:H,0)),"")</f>
        <v>https://images.edocket.azcc.gov/docketpdf/E000046206.pdf</v>
      </c>
      <c r="N451" s="118" t="str">
        <f>IFERROR(INDEX('Docketed Comments'!N:N,MATCH(A451,'Docketed Comments'!H:H,0)),"")</f>
        <v>No</v>
      </c>
      <c r="O451" s="118" t="str">
        <f>IFERROR(INDEX('Docketed Comments'!L:L,MATCH(A451,'Docketed Comments'!H:H,0)),"")</f>
        <v>Yes</v>
      </c>
      <c r="P451" s="119">
        <f t="shared" si="14"/>
        <v>0</v>
      </c>
      <c r="Q451" s="60"/>
      <c r="R451" s="64" t="s">
        <v>75</v>
      </c>
      <c r="S451" s="64" t="s">
        <v>1015</v>
      </c>
    </row>
    <row r="452" spans="1:19" ht="21.95" customHeight="1">
      <c r="A452" s="66" t="s">
        <v>1016</v>
      </c>
      <c r="B452" s="64"/>
      <c r="C452" s="65"/>
      <c r="D452" s="64"/>
      <c r="E452" s="64"/>
      <c r="F452" s="60"/>
      <c r="G452" s="60" t="s">
        <v>88</v>
      </c>
      <c r="H452" s="60" t="str">
        <f>IFERROR(INDEX('Docketed Comments'!C:C,MATCH(A452,'Docketed Comments'!H:H,0))&amp;", "&amp;INDEX('Docketed Comments'!B:B,MATCH(A452,'Docketed Comments'!H:H,0)),"")</f>
        <v>Evan, Rees</v>
      </c>
      <c r="I452" s="60" t="str">
        <f>IFERROR(INDEX('Docketed Comments'!D:D,MATCH(A452,'Docketed Comments'!H:H,0)),"")</f>
        <v>Phoenix</v>
      </c>
      <c r="J452" s="60" t="str">
        <f>IFERROR(INDEX('Docketed Comments'!I:I,MATCH(A452,'Docketed Comments'!H:H,0)),"")</f>
        <v>R-XS</v>
      </c>
      <c r="K452" s="60" t="str">
        <f t="shared" si="15"/>
        <v>✅ On Best Plan</v>
      </c>
      <c r="L452" s="60" t="str">
        <f>IFERROR(INDEX('Docketed Comments'!F:F,MATCH(A452,'Docketed Comments'!H:H,0)),"")</f>
        <v>Form letter</v>
      </c>
      <c r="M452" s="120" t="str">
        <f>IFERROR(INDEX('Docketed Comments'!G:G,MATCH(A452,'Docketed Comments'!H:H,0)),"")</f>
        <v>https://images.edocket.azcc.gov/docketpdf/E000046206.pdf</v>
      </c>
      <c r="N452" s="118" t="str">
        <f>IFERROR(INDEX('Docketed Comments'!N:N,MATCH(A452,'Docketed Comments'!H:H,0)),"")</f>
        <v>No</v>
      </c>
      <c r="O452" s="118" t="str">
        <f>IFERROR(INDEX('Docketed Comments'!L:L,MATCH(A452,'Docketed Comments'!H:H,0)),"")</f>
        <v>Yes</v>
      </c>
      <c r="P452" s="119">
        <f t="shared" si="14"/>
        <v>0</v>
      </c>
      <c r="Q452" s="60"/>
      <c r="R452" s="64" t="s">
        <v>75</v>
      </c>
      <c r="S452" s="64" t="s">
        <v>1017</v>
      </c>
    </row>
    <row r="453" spans="1:19" ht="21.95" customHeight="1">
      <c r="A453" s="66" t="s">
        <v>1018</v>
      </c>
      <c r="B453" s="64"/>
      <c r="C453" s="65"/>
      <c r="D453" s="64"/>
      <c r="E453" s="64"/>
      <c r="F453" s="60"/>
      <c r="G453" s="60" t="s">
        <v>88</v>
      </c>
      <c r="H453" s="60" t="str">
        <f>IFERROR(INDEX('Docketed Comments'!C:C,MATCH(A453,'Docketed Comments'!H:H,0))&amp;", "&amp;INDEX('Docketed Comments'!B:B,MATCH(A453,'Docketed Comments'!H:H,0)),"")</f>
        <v>Allen, Vestal</v>
      </c>
      <c r="I453" s="60" t="str">
        <f>IFERROR(INDEX('Docketed Comments'!D:D,MATCH(A453,'Docketed Comments'!H:H,0)),"")</f>
        <v xml:space="preserve">Sun City </v>
      </c>
      <c r="J453" s="60" t="str">
        <f>IFERROR(INDEX('Docketed Comments'!I:I,MATCH(A453,'Docketed Comments'!H:H,0)),"")</f>
        <v>EPR-6w/ET-2</v>
      </c>
      <c r="K453" s="60" t="str">
        <f t="shared" si="15"/>
        <v>⚠ Frozen Rate</v>
      </c>
      <c r="L453" s="60" t="str">
        <f>IFERROR(INDEX('Docketed Comments'!F:F,MATCH(A453,'Docketed Comments'!H:H,0)),"")</f>
        <v>Form letter</v>
      </c>
      <c r="M453" s="120" t="str">
        <f>IFERROR(INDEX('Docketed Comments'!G:G,MATCH(A453,'Docketed Comments'!H:H,0)),"")</f>
        <v>https://images.edocket.azcc.gov/docketpdf/E000046206.pdf</v>
      </c>
      <c r="N453" s="118" t="str">
        <f>IFERROR(INDEX('Docketed Comments'!N:N,MATCH(A453,'Docketed Comments'!H:H,0)),"")</f>
        <v>No</v>
      </c>
      <c r="O453" s="118" t="str">
        <f>IFERROR(INDEX('Docketed Comments'!L:L,MATCH(A453,'Docketed Comments'!H:H,0)),"")</f>
        <v>Frozen Rate</v>
      </c>
      <c r="P453" s="119">
        <f t="shared" si="14"/>
        <v>0</v>
      </c>
      <c r="Q453" s="60"/>
      <c r="R453" s="64" t="s">
        <v>75</v>
      </c>
      <c r="S453" s="64" t="s">
        <v>1019</v>
      </c>
    </row>
    <row r="454" spans="1:19" ht="21.95" customHeight="1">
      <c r="A454" s="66" t="s">
        <v>1020</v>
      </c>
      <c r="B454" s="64"/>
      <c r="C454" s="65"/>
      <c r="D454" s="64"/>
      <c r="E454" s="64"/>
      <c r="F454" s="60"/>
      <c r="G454" s="60" t="s">
        <v>88</v>
      </c>
      <c r="H454" s="60" t="str">
        <f>IFERROR(INDEX('Docketed Comments'!C:C,MATCH(A454,'Docketed Comments'!H:H,0))&amp;", "&amp;INDEX('Docketed Comments'!B:B,MATCH(A454,'Docketed Comments'!H:H,0)),"")</f>
        <v>Kevin, Coble</v>
      </c>
      <c r="I454" s="60" t="str">
        <f>IFERROR(INDEX('Docketed Comments'!D:D,MATCH(A454,'Docketed Comments'!H:H,0)),"")</f>
        <v>Scottsdale</v>
      </c>
      <c r="J454" s="60" t="str">
        <f>IFERROR(INDEX('Docketed Comments'!I:I,MATCH(A454,'Docketed Comments'!H:H,0)),"")</f>
        <v>R-BASIC</v>
      </c>
      <c r="K454" s="60" t="str">
        <f t="shared" si="15"/>
        <v>✅ On Best Plan</v>
      </c>
      <c r="L454" s="60" t="str">
        <f>IFERROR(INDEX('Docketed Comments'!F:F,MATCH(A454,'Docketed Comments'!H:H,0)),"")</f>
        <v>Opposed</v>
      </c>
      <c r="M454" s="120" t="str">
        <f>IFERROR(INDEX('Docketed Comments'!G:G,MATCH(A454,'Docketed Comments'!H:H,0)),"")</f>
        <v>https://images.edocket.azcc.gov/docketpdf/E000046198.pdf</v>
      </c>
      <c r="N454" s="118" t="str">
        <f>IFERROR(INDEX('Docketed Comments'!N:N,MATCH(A454,'Docketed Comments'!H:H,0)),"")</f>
        <v>No</v>
      </c>
      <c r="O454" s="118" t="str">
        <f>IFERROR(INDEX('Docketed Comments'!L:L,MATCH(A454,'Docketed Comments'!H:H,0)),"")</f>
        <v>Yes</v>
      </c>
      <c r="P454" s="119">
        <f t="shared" si="14"/>
        <v>0</v>
      </c>
      <c r="Q454" s="60"/>
      <c r="R454" s="64" t="s">
        <v>75</v>
      </c>
      <c r="S454" s="64" t="s">
        <v>1021</v>
      </c>
    </row>
    <row r="455" spans="1:19" ht="21.95" customHeight="1">
      <c r="A455" s="66" t="s">
        <v>1022</v>
      </c>
      <c r="B455" s="64"/>
      <c r="C455" s="65"/>
      <c r="D455" s="64"/>
      <c r="E455" s="64"/>
      <c r="F455" s="60"/>
      <c r="G455" s="60" t="s">
        <v>88</v>
      </c>
      <c r="H455" s="60" t="str">
        <f>IFERROR(INDEX('Docketed Comments'!C:C,MATCH(A455,'Docketed Comments'!H:H,0))&amp;", "&amp;INDEX('Docketed Comments'!B:B,MATCH(A455,'Docketed Comments'!H:H,0)),"")</f>
        <v>Lee, McLeod</v>
      </c>
      <c r="I455" s="60" t="str">
        <f>IFERROR(INDEX('Docketed Comments'!D:D,MATCH(A455,'Docketed Comments'!H:H,0)),"")</f>
        <v>Hereford</v>
      </c>
      <c r="J455" s="60" t="str">
        <f>IFERROR(INDEX('Docketed Comments'!I:I,MATCH(A455,'Docketed Comments'!H:H,0)),"")</f>
        <v>R-2</v>
      </c>
      <c r="K455" s="60" t="str">
        <f t="shared" si="15"/>
        <v>⚠ Frozen Rate</v>
      </c>
      <c r="L455" s="60" t="str">
        <f>IFERROR(INDEX('Docketed Comments'!F:F,MATCH(A455,'Docketed Comments'!H:H,0)),"")</f>
        <v>Opposed</v>
      </c>
      <c r="M455" s="120" t="str">
        <f>IFERROR(INDEX('Docketed Comments'!G:G,MATCH(A455,'Docketed Comments'!H:H,0)),"")</f>
        <v>https://images.edocket.azcc.gov/docketpdf/E000046196.pdf</v>
      </c>
      <c r="N455" s="118" t="str">
        <f>IFERROR(INDEX('Docketed Comments'!N:N,MATCH(A455,'Docketed Comments'!H:H,0)),"")</f>
        <v>No</v>
      </c>
      <c r="O455" s="118" t="str">
        <f>IFERROR(INDEX('Docketed Comments'!L:L,MATCH(A455,'Docketed Comments'!H:H,0)),"")</f>
        <v>Frozen Rate</v>
      </c>
      <c r="P455" s="119">
        <f t="shared" si="14"/>
        <v>0</v>
      </c>
      <c r="Q455" s="60"/>
      <c r="R455" s="64" t="s">
        <v>75</v>
      </c>
      <c r="S455" s="64" t="s">
        <v>1023</v>
      </c>
    </row>
    <row r="456" spans="1:19" ht="21.95" customHeight="1">
      <c r="A456" s="66" t="s">
        <v>1024</v>
      </c>
      <c r="B456" s="64"/>
      <c r="C456" s="65"/>
      <c r="D456" s="64"/>
      <c r="E456" s="64"/>
      <c r="F456" s="60"/>
      <c r="G456" s="60" t="s">
        <v>88</v>
      </c>
      <c r="H456" s="60" t="str">
        <f>IFERROR(INDEX('Docketed Comments'!C:C,MATCH(A456,'Docketed Comments'!H:H,0))&amp;", "&amp;INDEX('Docketed Comments'!B:B,MATCH(A456,'Docketed Comments'!H:H,0)),"")</f>
        <v>Bonny, Carpenter</v>
      </c>
      <c r="I456" s="60" t="str">
        <f>IFERROR(INDEX('Docketed Comments'!D:D,MATCH(A456,'Docketed Comments'!H:H,0)),"")</f>
        <v>Goodyear</v>
      </c>
      <c r="J456" s="60" t="str">
        <f>IFERROR(INDEX('Docketed Comments'!I:I,MATCH(A456,'Docketed Comments'!H:H,0)),"")</f>
        <v>EPR-6w/ET-2</v>
      </c>
      <c r="K456" s="60" t="str">
        <f t="shared" si="15"/>
        <v>⚠ Frozen Rate</v>
      </c>
      <c r="L456" s="60" t="str">
        <f>IFERROR(INDEX('Docketed Comments'!F:F,MATCH(A456,'Docketed Comments'!H:H,0)),"")</f>
        <v>Out of hand</v>
      </c>
      <c r="M456" s="120" t="str">
        <f>IFERROR(INDEX('Docketed Comments'!G:G,MATCH(A456,'Docketed Comments'!H:H,0)),"")</f>
        <v>https://images.edocket.azcc.gov/docketpdf/E000046230.pdf</v>
      </c>
      <c r="N456" s="118" t="str">
        <f>IFERROR(INDEX('Docketed Comments'!N:N,MATCH(A456,'Docketed Comments'!H:H,0)),"")</f>
        <v>No</v>
      </c>
      <c r="O456" s="118" t="str">
        <f>IFERROR(INDEX('Docketed Comments'!L:L,MATCH(A456,'Docketed Comments'!H:H,0)),"")</f>
        <v>Frozen Rate</v>
      </c>
      <c r="P456" s="119">
        <f t="shared" si="14"/>
        <v>0</v>
      </c>
      <c r="Q456" s="60"/>
      <c r="R456" s="64" t="s">
        <v>75</v>
      </c>
      <c r="S456" s="64" t="s">
        <v>1025</v>
      </c>
    </row>
    <row r="457" spans="1:19" ht="21.95" customHeight="1">
      <c r="A457" s="66" t="s">
        <v>1026</v>
      </c>
      <c r="B457" s="64"/>
      <c r="C457" s="65"/>
      <c r="D457" s="64"/>
      <c r="E457" s="64"/>
      <c r="F457" s="60"/>
      <c r="G457" s="60" t="s">
        <v>88</v>
      </c>
      <c r="H457" s="60" t="str">
        <f>IFERROR(INDEX('Docketed Comments'!C:C,MATCH(A457,'Docketed Comments'!H:H,0))&amp;", "&amp;INDEX('Docketed Comments'!B:B,MATCH(A457,'Docketed Comments'!H:H,0)),"")</f>
        <v>Addison, Glanzer</v>
      </c>
      <c r="I457" s="60" t="str">
        <f>IFERROR(INDEX('Docketed Comments'!D:D,MATCH(A457,'Docketed Comments'!H:H,0)),"")</f>
        <v>Phoenix</v>
      </c>
      <c r="J457" s="60" t="str">
        <f>IFERROR(INDEX('Docketed Comments'!I:I,MATCH(A457,'Docketed Comments'!H:H,0)),"")</f>
        <v>R3-47</v>
      </c>
      <c r="K457" s="60" t="str">
        <f t="shared" si="15"/>
        <v>✅ On Best Plan</v>
      </c>
      <c r="L457" s="60" t="str">
        <f>IFERROR(INDEX('Docketed Comments'!F:F,MATCH(A457,'Docketed Comments'!H:H,0)),"")</f>
        <v>Facing financial hardship</v>
      </c>
      <c r="M457" s="120" t="str">
        <f>IFERROR(INDEX('Docketed Comments'!G:G,MATCH(A457,'Docketed Comments'!H:H,0)),"")</f>
        <v>https://images.edocket.azcc.gov/docketpdf/E000046230.pdf</v>
      </c>
      <c r="N457" s="118" t="str">
        <f>IFERROR(INDEX('Docketed Comments'!N:N,MATCH(A457,'Docketed Comments'!H:H,0)),"")</f>
        <v>No</v>
      </c>
      <c r="O457" s="118" t="str">
        <f>IFERROR(INDEX('Docketed Comments'!L:L,MATCH(A457,'Docketed Comments'!H:H,0)),"")</f>
        <v>Yes</v>
      </c>
      <c r="P457" s="119">
        <f t="shared" si="14"/>
        <v>0</v>
      </c>
      <c r="Q457" s="60"/>
      <c r="R457" s="64" t="s">
        <v>75</v>
      </c>
      <c r="S457" s="64" t="s">
        <v>1027</v>
      </c>
    </row>
    <row r="458" spans="1:19" ht="21.95" customHeight="1">
      <c r="A458" s="66" t="s">
        <v>1028</v>
      </c>
      <c r="B458" s="64"/>
      <c r="C458" s="65"/>
      <c r="D458" s="64"/>
      <c r="E458" s="64"/>
      <c r="F458" s="60"/>
      <c r="G458" s="60" t="s">
        <v>88</v>
      </c>
      <c r="H458" s="60" t="str">
        <f>IFERROR(INDEX('Docketed Comments'!C:C,MATCH(A458,'Docketed Comments'!H:H,0))&amp;", "&amp;INDEX('Docketed Comments'!B:B,MATCH(A458,'Docketed Comments'!H:H,0)),"")</f>
        <v>Stacey, Stecker</v>
      </c>
      <c r="I458" s="60" t="str">
        <f>IFERROR(INDEX('Docketed Comments'!D:D,MATCH(A458,'Docketed Comments'!H:H,0)),"")</f>
        <v>Phoenix</v>
      </c>
      <c r="J458" s="60" t="str">
        <f>IFERROR(INDEX('Docketed Comments'!I:I,MATCH(A458,'Docketed Comments'!H:H,0)),"")</f>
        <v>RCPw/R3-47</v>
      </c>
      <c r="K458" s="60" t="str">
        <f t="shared" si="15"/>
        <v>✅ On Best Plan</v>
      </c>
      <c r="L458" s="60" t="str">
        <f>IFERROR(INDEX('Docketed Comments'!F:F,MATCH(A458,'Docketed Comments'!H:H,0)),"")</f>
        <v>Opposed</v>
      </c>
      <c r="M458" s="120" t="str">
        <f>IFERROR(INDEX('Docketed Comments'!G:G,MATCH(A458,'Docketed Comments'!H:H,0)),"")</f>
        <v>https://images.edocket.azcc.gov/docketpdf/E000046230.pdf</v>
      </c>
      <c r="N458" s="118" t="str">
        <f>IFERROR(INDEX('Docketed Comments'!N:N,MATCH(A458,'Docketed Comments'!H:H,0)),"")</f>
        <v>No</v>
      </c>
      <c r="O458" s="118" t="str">
        <f>IFERROR(INDEX('Docketed Comments'!L:L,MATCH(A458,'Docketed Comments'!H:H,0)),"")</f>
        <v>Yes</v>
      </c>
      <c r="P458" s="119">
        <f t="shared" si="14"/>
        <v>0</v>
      </c>
      <c r="Q458" s="60"/>
      <c r="R458" s="64" t="s">
        <v>75</v>
      </c>
      <c r="S458" s="64" t="s">
        <v>1029</v>
      </c>
    </row>
    <row r="459" spans="1:19" ht="21.95" customHeight="1">
      <c r="A459" s="66" t="s">
        <v>1030</v>
      </c>
      <c r="B459" s="64"/>
      <c r="C459" s="65"/>
      <c r="D459" s="64"/>
      <c r="E459" s="64"/>
      <c r="F459" s="60"/>
      <c r="G459" s="60" t="s">
        <v>88</v>
      </c>
      <c r="H459" s="60" t="str">
        <f>IFERROR(INDEX('Docketed Comments'!C:C,MATCH(A459,'Docketed Comments'!H:H,0))&amp;", "&amp;INDEX('Docketed Comments'!B:B,MATCH(A459,'Docketed Comments'!H:H,0)),"")</f>
        <v>Joshua, Wallace</v>
      </c>
      <c r="I459" s="60" t="str">
        <f>IFERROR(INDEX('Docketed Comments'!D:D,MATCH(A459,'Docketed Comments'!H:H,0)),"")</f>
        <v>Phoenix</v>
      </c>
      <c r="J459" s="60" t="str">
        <f>IFERROR(INDEX('Docketed Comments'!I:I,MATCH(A459,'Docketed Comments'!H:H,0)),"")</f>
        <v>RTOUE47</v>
      </c>
      <c r="K459" s="60" t="str">
        <f t="shared" si="15"/>
        <v>✅ On Best Plan</v>
      </c>
      <c r="L459" s="60" t="str">
        <f>IFERROR(INDEX('Docketed Comments'!F:F,MATCH(A459,'Docketed Comments'!H:H,0)),"")</f>
        <v>Form letter</v>
      </c>
      <c r="M459" s="120" t="str">
        <f>IFERROR(INDEX('Docketed Comments'!G:G,MATCH(A459,'Docketed Comments'!H:H,0)),"")</f>
        <v>https://images.edocket.azcc.gov/docketpdf/E000046230.pdf</v>
      </c>
      <c r="N459" s="118" t="str">
        <f>IFERROR(INDEX('Docketed Comments'!N:N,MATCH(A459,'Docketed Comments'!H:H,0)),"")</f>
        <v>No</v>
      </c>
      <c r="O459" s="118" t="str">
        <f>IFERROR(INDEX('Docketed Comments'!L:L,MATCH(A459,'Docketed Comments'!H:H,0)),"")</f>
        <v>Yes</v>
      </c>
      <c r="P459" s="119">
        <f t="shared" si="14"/>
        <v>0</v>
      </c>
      <c r="Q459" s="60"/>
      <c r="R459" s="64" t="s">
        <v>75</v>
      </c>
      <c r="S459" s="64" t="s">
        <v>1031</v>
      </c>
    </row>
    <row r="460" spans="1:19" ht="21.95" customHeight="1">
      <c r="A460" s="66" t="s">
        <v>1032</v>
      </c>
      <c r="B460" s="64"/>
      <c r="C460" s="65"/>
      <c r="D460" s="64"/>
      <c r="E460" s="64"/>
      <c r="F460" s="60"/>
      <c r="G460" s="60" t="s">
        <v>88</v>
      </c>
      <c r="H460" s="60" t="str">
        <f>IFERROR(INDEX('Docketed Comments'!C:C,MATCH(A460,'Docketed Comments'!H:H,0))&amp;", "&amp;INDEX('Docketed Comments'!B:B,MATCH(A460,'Docketed Comments'!H:H,0)),"")</f>
        <v>Gregory, Short</v>
      </c>
      <c r="I460" s="60" t="str">
        <f>IFERROR(INDEX('Docketed Comments'!D:D,MATCH(A460,'Docketed Comments'!H:H,0)),"")</f>
        <v>Surprise</v>
      </c>
      <c r="J460" s="60" t="str">
        <f>IFERROR(INDEX('Docketed Comments'!I:I,MATCH(A460,'Docketed Comments'!H:H,0)),"")</f>
        <v>R3-47</v>
      </c>
      <c r="K460" s="60" t="str">
        <f t="shared" si="15"/>
        <v>✅ On Best Plan</v>
      </c>
      <c r="L460" s="60" t="str">
        <f>IFERROR(INDEX('Docketed Comments'!F:F,MATCH(A460,'Docketed Comments'!H:H,0)),"")</f>
        <v>Form letter</v>
      </c>
      <c r="M460" s="120" t="str">
        <f>IFERROR(INDEX('Docketed Comments'!G:G,MATCH(A460,'Docketed Comments'!H:H,0)),"")</f>
        <v>https://images.edocket.azcc.gov/docketpdf/E000046230.pdf</v>
      </c>
      <c r="N460" s="118" t="str">
        <f>IFERROR(INDEX('Docketed Comments'!N:N,MATCH(A460,'Docketed Comments'!H:H,0)),"")</f>
        <v>No</v>
      </c>
      <c r="O460" s="118" t="str">
        <f>IFERROR(INDEX('Docketed Comments'!L:L,MATCH(A460,'Docketed Comments'!H:H,0)),"")</f>
        <v>Yes</v>
      </c>
      <c r="P460" s="119">
        <f t="shared" si="14"/>
        <v>0</v>
      </c>
      <c r="Q460" s="60"/>
      <c r="R460" s="64" t="s">
        <v>75</v>
      </c>
      <c r="S460" s="64" t="s">
        <v>1033</v>
      </c>
    </row>
    <row r="461" spans="1:19" ht="21.95" customHeight="1">
      <c r="A461" s="66" t="s">
        <v>1034</v>
      </c>
      <c r="B461" s="64"/>
      <c r="C461" s="65"/>
      <c r="D461" s="64"/>
      <c r="E461" s="64"/>
      <c r="F461" s="60"/>
      <c r="G461" s="60" t="s">
        <v>88</v>
      </c>
      <c r="H461" s="60" t="str">
        <f>IFERROR(INDEX('Docketed Comments'!C:C,MATCH(A461,'Docketed Comments'!H:H,0))&amp;", "&amp;INDEX('Docketed Comments'!B:B,MATCH(A461,'Docketed Comments'!H:H,0)),"")</f>
        <v>Sara, Flam</v>
      </c>
      <c r="I461" s="60" t="str">
        <f>IFERROR(INDEX('Docketed Comments'!D:D,MATCH(A461,'Docketed Comments'!H:H,0)),"")</f>
        <v>Gilbert</v>
      </c>
      <c r="J461" s="60" t="str">
        <f>IFERROR(INDEX('Docketed Comments'!I:I,MATCH(A461,'Docketed Comments'!H:H,0)),"")</f>
        <v>R3-47</v>
      </c>
      <c r="K461" s="60" t="str">
        <f t="shared" si="15"/>
        <v>✅ On Best Plan</v>
      </c>
      <c r="L461" s="60" t="str">
        <f>IFERROR(INDEX('Docketed Comments'!F:F,MATCH(A461,'Docketed Comments'!H:H,0)),"")</f>
        <v>Opposed</v>
      </c>
      <c r="M461" s="120" t="str">
        <f>IFERROR(INDEX('Docketed Comments'!G:G,MATCH(A461,'Docketed Comments'!H:H,0)),"")</f>
        <v>https://images.edocket.azcc.gov/docketpdf/E000046230.pdf</v>
      </c>
      <c r="N461" s="118" t="str">
        <f>IFERROR(INDEX('Docketed Comments'!N:N,MATCH(A461,'Docketed Comments'!H:H,0)),"")</f>
        <v>No</v>
      </c>
      <c r="O461" s="118" t="str">
        <f>IFERROR(INDEX('Docketed Comments'!L:L,MATCH(A461,'Docketed Comments'!H:H,0)),"")</f>
        <v>Yes</v>
      </c>
      <c r="P461" s="119">
        <f t="shared" si="14"/>
        <v>0</v>
      </c>
      <c r="Q461" s="60"/>
      <c r="R461" s="64" t="s">
        <v>75</v>
      </c>
      <c r="S461" s="64" t="s">
        <v>1035</v>
      </c>
    </row>
    <row r="462" spans="1:19" ht="21.95" customHeight="1">
      <c r="A462" s="66" t="s">
        <v>1036</v>
      </c>
      <c r="B462" s="64"/>
      <c r="C462" s="65"/>
      <c r="D462" s="64"/>
      <c r="E462" s="64"/>
      <c r="F462" s="60"/>
      <c r="G462" s="60" t="s">
        <v>88</v>
      </c>
      <c r="H462" s="60" t="str">
        <f>IFERROR(INDEX('Docketed Comments'!C:C,MATCH(A462,'Docketed Comments'!H:H,0))&amp;", "&amp;INDEX('Docketed Comments'!B:B,MATCH(A462,'Docketed Comments'!H:H,0)),"")</f>
        <v>Grace, Kwon</v>
      </c>
      <c r="I462" s="60" t="str">
        <f>IFERROR(INDEX('Docketed Comments'!D:D,MATCH(A462,'Docketed Comments'!H:H,0)),"")</f>
        <v>Phoenix</v>
      </c>
      <c r="J462" s="60" t="str">
        <f>IFERROR(INDEX('Docketed Comments'!I:I,MATCH(A462,'Docketed Comments'!H:H,0)),"")</f>
        <v>R3-47</v>
      </c>
      <c r="K462" s="60" t="str">
        <f t="shared" si="15"/>
        <v>✅ On Best Plan</v>
      </c>
      <c r="L462" s="60" t="str">
        <f>IFERROR(INDEX('Docketed Comments'!F:F,MATCH(A462,'Docketed Comments'!H:H,0)),"")</f>
        <v>Form letter</v>
      </c>
      <c r="M462" s="120" t="str">
        <f>IFERROR(INDEX('Docketed Comments'!G:G,MATCH(A462,'Docketed Comments'!H:H,0)),"")</f>
        <v>https://images.edocket.azcc.gov/docketpdf/E000046230.pdf</v>
      </c>
      <c r="N462" s="118" t="str">
        <f>IFERROR(INDEX('Docketed Comments'!N:N,MATCH(A462,'Docketed Comments'!H:H,0)),"")</f>
        <v>No</v>
      </c>
      <c r="O462" s="118" t="str">
        <f>IFERROR(INDEX('Docketed Comments'!L:L,MATCH(A462,'Docketed Comments'!H:H,0)),"")</f>
        <v>Yes</v>
      </c>
      <c r="P462" s="119">
        <f t="shared" si="14"/>
        <v>0</v>
      </c>
      <c r="Q462" s="60"/>
      <c r="R462" s="64" t="s">
        <v>75</v>
      </c>
      <c r="S462" s="64" t="s">
        <v>1037</v>
      </c>
    </row>
    <row r="463" spans="1:19" ht="21.95" customHeight="1">
      <c r="A463" s="66" t="s">
        <v>1038</v>
      </c>
      <c r="B463" s="64"/>
      <c r="C463" s="65"/>
      <c r="D463" s="64"/>
      <c r="E463" s="64"/>
      <c r="F463" s="60"/>
      <c r="G463" s="60" t="s">
        <v>88</v>
      </c>
      <c r="H463" s="60" t="str">
        <f>IFERROR(INDEX('Docketed Comments'!C:C,MATCH(A463,'Docketed Comments'!H:H,0))&amp;", "&amp;INDEX('Docketed Comments'!B:B,MATCH(A463,'Docketed Comments'!H:H,0)),"")</f>
        <v>Cathy, Hernandez</v>
      </c>
      <c r="I463" s="60" t="str">
        <f>IFERROR(INDEX('Docketed Comments'!D:D,MATCH(A463,'Docketed Comments'!H:H,0)),"")</f>
        <v>Goodyear</v>
      </c>
      <c r="J463" s="60" t="str">
        <f>IFERROR(INDEX('Docketed Comments'!I:I,MATCH(A463,'Docketed Comments'!H:H,0)),"")</f>
        <v>R3-47</v>
      </c>
      <c r="K463" s="60" t="str">
        <f t="shared" si="15"/>
        <v>✅ On Best Plan</v>
      </c>
      <c r="L463" s="60" t="str">
        <f>IFERROR(INDEX('Docketed Comments'!F:F,MATCH(A463,'Docketed Comments'!H:H,0)),"")</f>
        <v xml:space="preserve">Monopoly,  </v>
      </c>
      <c r="M463" s="120" t="str">
        <f>IFERROR(INDEX('Docketed Comments'!G:G,MATCH(A463,'Docketed Comments'!H:H,0)),"")</f>
        <v>https://images.edocket.azcc.gov/docketpdf/E000046230.pdf</v>
      </c>
      <c r="N463" s="118" t="str">
        <f>IFERROR(INDEX('Docketed Comments'!N:N,MATCH(A463,'Docketed Comments'!H:H,0)),"")</f>
        <v>No</v>
      </c>
      <c r="O463" s="118" t="str">
        <f>IFERROR(INDEX('Docketed Comments'!L:L,MATCH(A463,'Docketed Comments'!H:H,0)),"")</f>
        <v>Yes</v>
      </c>
      <c r="P463" s="119">
        <f t="shared" si="14"/>
        <v>0</v>
      </c>
      <c r="Q463" s="60"/>
      <c r="R463" s="64" t="s">
        <v>75</v>
      </c>
      <c r="S463" s="124" t="s">
        <v>1039</v>
      </c>
    </row>
    <row r="464" spans="1:19" ht="21.95" customHeight="1">
      <c r="A464" s="66" t="s">
        <v>1040</v>
      </c>
      <c r="B464" s="64"/>
      <c r="C464" s="65"/>
      <c r="D464" s="64"/>
      <c r="E464" s="64"/>
      <c r="F464" s="60"/>
      <c r="G464" s="60" t="s">
        <v>88</v>
      </c>
      <c r="H464" s="60" t="str">
        <f>IFERROR(INDEX('Docketed Comments'!C:C,MATCH(A464,'Docketed Comments'!H:H,0))&amp;", "&amp;INDEX('Docketed Comments'!B:B,MATCH(A464,'Docketed Comments'!H:H,0)),"")</f>
        <v>Coleen, Pierce</v>
      </c>
      <c r="I464" s="60" t="str">
        <f>IFERROR(INDEX('Docketed Comments'!D:D,MATCH(A464,'Docketed Comments'!H:H,0)),"")</f>
        <v>Goodyear</v>
      </c>
      <c r="J464" s="60" t="str">
        <f>IFERROR(INDEX('Docketed Comments'!I:I,MATCH(A464,'Docketed Comments'!H:H,0)),"")</f>
        <v>EPR-6w/ET-2</v>
      </c>
      <c r="K464" s="60" t="str">
        <f t="shared" si="15"/>
        <v>⚠ Frozen Rate</v>
      </c>
      <c r="L464" s="60" t="str">
        <f>IFERROR(INDEX('Docketed Comments'!F:F,MATCH(A464,'Docketed Comments'!H:H,0)),"")</f>
        <v xml:space="preserve">Senior/Fixed Income </v>
      </c>
      <c r="M464" s="120" t="str">
        <f>IFERROR(INDEX('Docketed Comments'!G:G,MATCH(A464,'Docketed Comments'!H:H,0)),"")</f>
        <v>https://images.edocket.azcc.gov/docketpdf/E000046230.pdf</v>
      </c>
      <c r="N464" s="118" t="str">
        <f>IFERROR(INDEX('Docketed Comments'!N:N,MATCH(A464,'Docketed Comments'!H:H,0)),"")</f>
        <v>No</v>
      </c>
      <c r="O464" s="118" t="str">
        <f>IFERROR(INDEX('Docketed Comments'!L:L,MATCH(A464,'Docketed Comments'!H:H,0)),"")</f>
        <v>Frozen Rate</v>
      </c>
      <c r="P464" s="119">
        <f t="shared" si="14"/>
        <v>0</v>
      </c>
      <c r="Q464" s="60"/>
      <c r="R464" s="64" t="s">
        <v>75</v>
      </c>
      <c r="S464" s="64" t="s">
        <v>1041</v>
      </c>
    </row>
    <row r="465" spans="1:19" ht="21.95" customHeight="1">
      <c r="A465" s="66" t="s">
        <v>1042</v>
      </c>
      <c r="B465" s="64"/>
      <c r="C465" s="65"/>
      <c r="D465" s="64"/>
      <c r="E465" s="64"/>
      <c r="F465" s="60"/>
      <c r="G465" s="60" t="s">
        <v>88</v>
      </c>
      <c r="H465" s="60" t="str">
        <f>IFERROR(INDEX('Docketed Comments'!C:C,MATCH(A465,'Docketed Comments'!H:H,0))&amp;", "&amp;INDEX('Docketed Comments'!B:B,MATCH(A465,'Docketed Comments'!H:H,0)),"")</f>
        <v>Sandy, Roe</v>
      </c>
      <c r="I465" s="60" t="str">
        <f>IFERROR(INDEX('Docketed Comments'!D:D,MATCH(A465,'Docketed Comments'!H:H,0)),"")</f>
        <v>Goodyear</v>
      </c>
      <c r="J465" s="60" t="str">
        <f>IFERROR(INDEX('Docketed Comments'!I:I,MATCH(A465,'Docketed Comments'!H:H,0)),"")</f>
        <v>R-XS</v>
      </c>
      <c r="K465" s="60" t="str">
        <f t="shared" si="15"/>
        <v>✅ On Best Plan</v>
      </c>
      <c r="L465" s="60" t="str">
        <f>IFERROR(INDEX('Docketed Comments'!F:F,MATCH(A465,'Docketed Comments'!H:H,0)),"")</f>
        <v>Opposed</v>
      </c>
      <c r="M465" s="120" t="str">
        <f>IFERROR(INDEX('Docketed Comments'!G:G,MATCH(A465,'Docketed Comments'!H:H,0)),"")</f>
        <v>https://images.edocket.azcc.gov/docketpdf/E000046230.pdf</v>
      </c>
      <c r="N465" s="118" t="str">
        <f>IFERROR(INDEX('Docketed Comments'!N:N,MATCH(A465,'Docketed Comments'!H:H,0)),"")</f>
        <v>No</v>
      </c>
      <c r="O465" s="118" t="str">
        <f>IFERROR(INDEX('Docketed Comments'!L:L,MATCH(A465,'Docketed Comments'!H:H,0)),"")</f>
        <v>Yes</v>
      </c>
      <c r="P465" s="119">
        <f t="shared" si="14"/>
        <v>0</v>
      </c>
      <c r="Q465" s="60"/>
      <c r="R465" s="64" t="s">
        <v>75</v>
      </c>
      <c r="S465" s="64" t="s">
        <v>1043</v>
      </c>
    </row>
    <row r="466" spans="1:19" ht="21.95" customHeight="1">
      <c r="A466" s="66" t="s">
        <v>1044</v>
      </c>
      <c r="B466" s="64"/>
      <c r="C466" s="65"/>
      <c r="D466" s="64"/>
      <c r="E466" s="64"/>
      <c r="F466" s="60"/>
      <c r="G466" s="60" t="s">
        <v>88</v>
      </c>
      <c r="H466" s="60" t="str">
        <f>IFERROR(INDEX('Docketed Comments'!C:C,MATCH(A466,'Docketed Comments'!H:H,0))&amp;", "&amp;INDEX('Docketed Comments'!B:B,MATCH(A466,'Docketed Comments'!H:H,0)),"")</f>
        <v>Dava, Esman</v>
      </c>
      <c r="I466" s="60" t="str">
        <f>IFERROR(INDEX('Docketed Comments'!D:D,MATCH(A466,'Docketed Comments'!H:H,0)),"")</f>
        <v>Goodyear</v>
      </c>
      <c r="J466" s="60" t="str">
        <f>IFERROR(INDEX('Docketed Comments'!I:I,MATCH(A466,'Docketed Comments'!H:H,0)),"")</f>
        <v>RTOUE47</v>
      </c>
      <c r="K466" s="60" t="str">
        <f t="shared" si="15"/>
        <v>✅ On Best Plan</v>
      </c>
      <c r="L466" s="60" t="str">
        <f>IFERROR(INDEX('Docketed Comments'!F:F,MATCH(A466,'Docketed Comments'!H:H,0)),"")</f>
        <v>Unfair and discriminatory</v>
      </c>
      <c r="M466" s="120" t="str">
        <f>IFERROR(INDEX('Docketed Comments'!G:G,MATCH(A466,'Docketed Comments'!H:H,0)),"")</f>
        <v>https://images.edocket.azcc.gov/docketpdf/E000046230.pdf</v>
      </c>
      <c r="N466" s="118" t="str">
        <f>IFERROR(INDEX('Docketed Comments'!N:N,MATCH(A466,'Docketed Comments'!H:H,0)),"")</f>
        <v>No</v>
      </c>
      <c r="O466" s="118" t="str">
        <f>IFERROR(INDEX('Docketed Comments'!L:L,MATCH(A466,'Docketed Comments'!H:H,0)),"")</f>
        <v>Yes</v>
      </c>
      <c r="P466" s="119">
        <f t="shared" si="14"/>
        <v>0</v>
      </c>
      <c r="Q466" s="60"/>
      <c r="R466" s="64" t="s">
        <v>75</v>
      </c>
      <c r="S466" s="64" t="s">
        <v>1045</v>
      </c>
    </row>
    <row r="467" spans="1:19" ht="21.95" customHeight="1">
      <c r="A467" s="66" t="s">
        <v>1046</v>
      </c>
      <c r="B467" s="64"/>
      <c r="C467" s="65"/>
      <c r="D467" s="64"/>
      <c r="E467" s="64"/>
      <c r="F467" s="60"/>
      <c r="G467" s="60" t="s">
        <v>88</v>
      </c>
      <c r="H467" s="60" t="str">
        <f>IFERROR(INDEX('Docketed Comments'!C:C,MATCH(A467,'Docketed Comments'!H:H,0))&amp;", "&amp;INDEX('Docketed Comments'!B:B,MATCH(A467,'Docketed Comments'!H:H,0)),"")</f>
        <v xml:space="preserve">Luke, He </v>
      </c>
      <c r="I467" s="60" t="str">
        <f>IFERROR(INDEX('Docketed Comments'!D:D,MATCH(A467,'Docketed Comments'!H:H,0)),"")</f>
        <v>Phoenix</v>
      </c>
      <c r="J467" s="60" t="str">
        <f>IFERROR(INDEX('Docketed Comments'!I:I,MATCH(A467,'Docketed Comments'!H:H,0)),"")</f>
        <v>R3-47</v>
      </c>
      <c r="K467" s="60" t="str">
        <f t="shared" si="15"/>
        <v>✅ On Best Plan</v>
      </c>
      <c r="L467" s="60" t="str">
        <f>IFERROR(INDEX('Docketed Comments'!F:F,MATCH(A467,'Docketed Comments'!H:H,0)),"")</f>
        <v>Form letter</v>
      </c>
      <c r="M467" s="120" t="str">
        <f>IFERROR(INDEX('Docketed Comments'!G:G,MATCH(A467,'Docketed Comments'!H:H,0)),"")</f>
        <v>https://images.edocket.azcc.gov/docketpdf/E000046230.pdf</v>
      </c>
      <c r="N467" s="118" t="str">
        <f>IFERROR(INDEX('Docketed Comments'!N:N,MATCH(A467,'Docketed Comments'!H:H,0)),"")</f>
        <v>No</v>
      </c>
      <c r="O467" s="118" t="str">
        <f>IFERROR(INDEX('Docketed Comments'!L:L,MATCH(A467,'Docketed Comments'!H:H,0)),"")</f>
        <v>Yes</v>
      </c>
      <c r="P467" s="119">
        <f t="shared" si="14"/>
        <v>0</v>
      </c>
      <c r="Q467" s="60"/>
      <c r="R467" s="64" t="s">
        <v>75</v>
      </c>
      <c r="S467" s="64" t="s">
        <v>1047</v>
      </c>
    </row>
    <row r="468" spans="1:19" ht="21.95" customHeight="1">
      <c r="A468" s="66" t="s">
        <v>1048</v>
      </c>
      <c r="B468" s="64"/>
      <c r="C468" s="65"/>
      <c r="D468" s="64"/>
      <c r="E468" s="64"/>
      <c r="F468" s="60"/>
      <c r="G468" s="60" t="s">
        <v>88</v>
      </c>
      <c r="H468" s="60" t="str">
        <f>IFERROR(INDEX('Docketed Comments'!C:C,MATCH(A468,'Docketed Comments'!H:H,0))&amp;", "&amp;INDEX('Docketed Comments'!B:B,MATCH(A468,'Docketed Comments'!H:H,0)),"")</f>
        <v>Alan, Duensing</v>
      </c>
      <c r="I468" s="60" t="str">
        <f>IFERROR(INDEX('Docketed Comments'!D:D,MATCH(A468,'Docketed Comments'!H:H,0)),"")</f>
        <v>Goodyear</v>
      </c>
      <c r="J468" s="60" t="str">
        <f>IFERROR(INDEX('Docketed Comments'!I:I,MATCH(A468,'Docketed Comments'!H:H,0)),"")</f>
        <v>R3-47</v>
      </c>
      <c r="K468" s="60" t="str">
        <f t="shared" si="15"/>
        <v>✅ On Best Plan</v>
      </c>
      <c r="L468" s="60" t="str">
        <f>IFERROR(INDEX('Docketed Comments'!F:F,MATCH(A468,'Docketed Comments'!H:H,0)),"")</f>
        <v>Opposed</v>
      </c>
      <c r="M468" s="120" t="str">
        <f>IFERROR(INDEX('Docketed Comments'!G:G,MATCH(A468,'Docketed Comments'!H:H,0)),"")</f>
        <v>https://images.edocket.azcc.gov/docketpdf/E000046230.pdf</v>
      </c>
      <c r="N468" s="118" t="str">
        <f>IFERROR(INDEX('Docketed Comments'!N:N,MATCH(A468,'Docketed Comments'!H:H,0)),"")</f>
        <v>No</v>
      </c>
      <c r="O468" s="118" t="str">
        <f>IFERROR(INDEX('Docketed Comments'!L:L,MATCH(A468,'Docketed Comments'!H:H,0)),"")</f>
        <v>Yes</v>
      </c>
      <c r="P468" s="119">
        <f t="shared" si="14"/>
        <v>0</v>
      </c>
      <c r="Q468" s="60"/>
      <c r="R468" s="64" t="s">
        <v>75</v>
      </c>
      <c r="S468" s="64" t="s">
        <v>1049</v>
      </c>
    </row>
    <row r="469" spans="1:19" ht="21.95" customHeight="1">
      <c r="A469" s="66" t="s">
        <v>1050</v>
      </c>
      <c r="B469" s="64"/>
      <c r="C469" s="65"/>
      <c r="D469" s="64"/>
      <c r="E469" s="64"/>
      <c r="F469" s="60"/>
      <c r="G469" s="60" t="s">
        <v>88</v>
      </c>
      <c r="H469" s="60" t="str">
        <f>IFERROR(INDEX('Docketed Comments'!C:C,MATCH(A469,'Docketed Comments'!H:H,0))&amp;", "&amp;INDEX('Docketed Comments'!B:B,MATCH(A469,'Docketed Comments'!H:H,0)),"")</f>
        <v>Ravyn, Day</v>
      </c>
      <c r="I469" s="60" t="str">
        <f>IFERROR(INDEX('Docketed Comments'!D:D,MATCH(A469,'Docketed Comments'!H:H,0)),"")</f>
        <v>Scottsdale</v>
      </c>
      <c r="J469" s="60" t="str">
        <f>IFERROR(INDEX('Docketed Comments'!I:I,MATCH(A469,'Docketed Comments'!H:H,0)),"")</f>
        <v>R3-47</v>
      </c>
      <c r="K469" s="60" t="str">
        <f t="shared" si="15"/>
        <v>✅ On Best Plan</v>
      </c>
      <c r="L469" s="60" t="str">
        <f>IFERROR(INDEX('Docketed Comments'!F:F,MATCH(A469,'Docketed Comments'!H:H,0)),"")</f>
        <v>Opposed</v>
      </c>
      <c r="M469" s="120" t="str">
        <f>IFERROR(INDEX('Docketed Comments'!G:G,MATCH(A469,'Docketed Comments'!H:H,0)),"")</f>
        <v>https://images.edocket.azcc.gov/docketpdf/E000046230.pdf</v>
      </c>
      <c r="N469" s="118" t="str">
        <f>IFERROR(INDEX('Docketed Comments'!N:N,MATCH(A469,'Docketed Comments'!H:H,0)),"")</f>
        <v>No</v>
      </c>
      <c r="O469" s="118" t="str">
        <f>IFERROR(INDEX('Docketed Comments'!L:L,MATCH(A469,'Docketed Comments'!H:H,0)),"")</f>
        <v>Yes</v>
      </c>
      <c r="P469" s="119">
        <f t="shared" si="14"/>
        <v>0</v>
      </c>
      <c r="Q469" s="60"/>
      <c r="R469" s="64" t="s">
        <v>75</v>
      </c>
      <c r="S469" s="64" t="s">
        <v>1051</v>
      </c>
    </row>
    <row r="470" spans="1:19" ht="21.95" customHeight="1">
      <c r="A470" s="66" t="s">
        <v>1052</v>
      </c>
      <c r="B470" s="64"/>
      <c r="C470" s="65"/>
      <c r="D470" s="64"/>
      <c r="E470" s="64"/>
      <c r="F470" s="60"/>
      <c r="G470" s="60" t="s">
        <v>88</v>
      </c>
      <c r="H470" s="60" t="str">
        <f>IFERROR(INDEX('Docketed Comments'!C:C,MATCH(A470,'Docketed Comments'!H:H,0))&amp;", "&amp;INDEX('Docketed Comments'!B:B,MATCH(A470,'Docketed Comments'!H:H,0)),"")</f>
        <v>Larry, Petersen</v>
      </c>
      <c r="I470" s="60" t="str">
        <f>IFERROR(INDEX('Docketed Comments'!D:D,MATCH(A470,'Docketed Comments'!H:H,0)),"")</f>
        <v>Goodyear</v>
      </c>
      <c r="J470" s="60" t="str">
        <f>IFERROR(INDEX('Docketed Comments'!I:I,MATCH(A470,'Docketed Comments'!H:H,0)),"")</f>
        <v>EPR-6w/ET-1</v>
      </c>
      <c r="K470" s="60" t="str">
        <f t="shared" si="15"/>
        <v>⚠ Frozen Rate</v>
      </c>
      <c r="L470" s="60" t="str">
        <f>IFERROR(INDEX('Docketed Comments'!F:F,MATCH(A470,'Docketed Comments'!H:H,0)),"")</f>
        <v>Opposed</v>
      </c>
      <c r="M470" s="120" t="str">
        <f>IFERROR(INDEX('Docketed Comments'!G:G,MATCH(A470,'Docketed Comments'!H:H,0)),"")</f>
        <v>https://images.edocket.azcc.gov/docketpdf/E000046230.pdf</v>
      </c>
      <c r="N470" s="118" t="str">
        <f>IFERROR(INDEX('Docketed Comments'!N:N,MATCH(A470,'Docketed Comments'!H:H,0)),"")</f>
        <v>No</v>
      </c>
      <c r="O470" s="118" t="str">
        <f>IFERROR(INDEX('Docketed Comments'!L:L,MATCH(A470,'Docketed Comments'!H:H,0)),"")</f>
        <v>Frozen Rate</v>
      </c>
      <c r="P470" s="119">
        <f t="shared" si="14"/>
        <v>0</v>
      </c>
      <c r="Q470" s="60"/>
      <c r="R470" s="64" t="s">
        <v>75</v>
      </c>
      <c r="S470" s="64" t="s">
        <v>1053</v>
      </c>
    </row>
    <row r="471" spans="1:19" ht="21.95" customHeight="1">
      <c r="A471" s="66" t="s">
        <v>1054</v>
      </c>
      <c r="B471" s="64"/>
      <c r="C471" s="65"/>
      <c r="D471" s="64"/>
      <c r="E471" s="64"/>
      <c r="F471" s="60"/>
      <c r="G471" s="60" t="s">
        <v>88</v>
      </c>
      <c r="H471" s="60" t="str">
        <f>IFERROR(INDEX('Docketed Comments'!C:C,MATCH(A471,'Docketed Comments'!H:H,0))&amp;", "&amp;INDEX('Docketed Comments'!B:B,MATCH(A471,'Docketed Comments'!H:H,0)),"")</f>
        <v>Monica, Mahony</v>
      </c>
      <c r="I471" s="60" t="str">
        <f>IFERROR(INDEX('Docketed Comments'!D:D,MATCH(A471,'Docketed Comments'!H:H,0)),"")</f>
        <v>Scottsdale</v>
      </c>
      <c r="J471" s="60" t="str">
        <f>IFERROR(INDEX('Docketed Comments'!I:I,MATCH(A471,'Docketed Comments'!H:H,0)),"")</f>
        <v>R3-47</v>
      </c>
      <c r="K471" s="60" t="str">
        <f t="shared" si="15"/>
        <v>✅ On Best Plan</v>
      </c>
      <c r="L471" s="60" t="str">
        <f>IFERROR(INDEX('Docketed Comments'!F:F,MATCH(A471,'Docketed Comments'!H:H,0)),"")</f>
        <v>Opposed</v>
      </c>
      <c r="M471" s="120" t="str">
        <f>IFERROR(INDEX('Docketed Comments'!G:G,MATCH(A471,'Docketed Comments'!H:H,0)),"")</f>
        <v>https://images.edocket.azcc.gov/docketpdf/E000046230.pdf</v>
      </c>
      <c r="N471" s="118" t="str">
        <f>IFERROR(INDEX('Docketed Comments'!N:N,MATCH(A471,'Docketed Comments'!H:H,0)),"")</f>
        <v>No</v>
      </c>
      <c r="O471" s="118" t="str">
        <f>IFERROR(INDEX('Docketed Comments'!L:L,MATCH(A471,'Docketed Comments'!H:H,0)),"")</f>
        <v>Yes</v>
      </c>
      <c r="P471" s="119">
        <f t="shared" si="14"/>
        <v>0</v>
      </c>
      <c r="Q471" s="60"/>
      <c r="R471" s="64" t="s">
        <v>75</v>
      </c>
      <c r="S471" s="124" t="s">
        <v>1055</v>
      </c>
    </row>
    <row r="472" spans="1:19" ht="21.95" customHeight="1">
      <c r="A472" s="66" t="s">
        <v>1056</v>
      </c>
      <c r="B472" s="64"/>
      <c r="C472" s="65"/>
      <c r="D472" s="64"/>
      <c r="E472" s="64"/>
      <c r="F472" s="60"/>
      <c r="G472" s="60" t="s">
        <v>88</v>
      </c>
      <c r="H472" s="60" t="str">
        <f>IFERROR(INDEX('Docketed Comments'!C:C,MATCH(A472,'Docketed Comments'!H:H,0))&amp;", "&amp;INDEX('Docketed Comments'!B:B,MATCH(A472,'Docketed Comments'!H:H,0)),"")</f>
        <v>Dave, Briney</v>
      </c>
      <c r="I472" s="60" t="str">
        <f>IFERROR(INDEX('Docketed Comments'!D:D,MATCH(A472,'Docketed Comments'!H:H,0)),"")</f>
        <v>Phoenix</v>
      </c>
      <c r="J472" s="60" t="str">
        <f>IFERROR(INDEX('Docketed Comments'!I:I,MATCH(A472,'Docketed Comments'!H:H,0)),"")</f>
        <v>R3-47</v>
      </c>
      <c r="K472" s="60" t="str">
        <f t="shared" si="15"/>
        <v>✅ On Best Plan</v>
      </c>
      <c r="L472" s="60" t="str">
        <f>IFERROR(INDEX('Docketed Comments'!F:F,MATCH(A472,'Docketed Comments'!H:H,0)),"")</f>
        <v>Form letter</v>
      </c>
      <c r="M472" s="120" t="str">
        <f>IFERROR(INDEX('Docketed Comments'!G:G,MATCH(A472,'Docketed Comments'!H:H,0)),"")</f>
        <v>https://images.edocket.azcc.gov/docketpdf/E000046230.pdf</v>
      </c>
      <c r="N472" s="118" t="str">
        <f>IFERROR(INDEX('Docketed Comments'!N:N,MATCH(A472,'Docketed Comments'!H:H,0)),"")</f>
        <v>No</v>
      </c>
      <c r="O472" s="118" t="str">
        <f>IFERROR(INDEX('Docketed Comments'!L:L,MATCH(A472,'Docketed Comments'!H:H,0)),"")</f>
        <v>Yes</v>
      </c>
      <c r="P472" s="119">
        <f t="shared" si="14"/>
        <v>0</v>
      </c>
      <c r="Q472" s="60"/>
      <c r="R472" s="64" t="s">
        <v>75</v>
      </c>
      <c r="S472" s="64" t="s">
        <v>1057</v>
      </c>
    </row>
    <row r="473" spans="1:19" ht="21.95" customHeight="1">
      <c r="A473" s="66" t="s">
        <v>1058</v>
      </c>
      <c r="B473" s="64"/>
      <c r="C473" s="65"/>
      <c r="D473" s="64"/>
      <c r="E473" s="64"/>
      <c r="F473" s="60"/>
      <c r="G473" s="60" t="s">
        <v>88</v>
      </c>
      <c r="H473" s="60" t="str">
        <f>IFERROR(INDEX('Docketed Comments'!C:C,MATCH(A473,'Docketed Comments'!H:H,0))&amp;", "&amp;INDEX('Docketed Comments'!B:B,MATCH(A473,'Docketed Comments'!H:H,0)),"")</f>
        <v>Mariah, Nabity</v>
      </c>
      <c r="I473" s="60" t="str">
        <f>IFERROR(INDEX('Docketed Comments'!D:D,MATCH(A473,'Docketed Comments'!H:H,0)),"")</f>
        <v>Yuma</v>
      </c>
      <c r="J473" s="60" t="str">
        <f>IFERROR(INDEX('Docketed Comments'!I:I,MATCH(A473,'Docketed Comments'!H:H,0)),"")</f>
        <v>R-BASIC</v>
      </c>
      <c r="K473" s="60" t="str">
        <f t="shared" si="15"/>
        <v>✅ On Best Plan</v>
      </c>
      <c r="L473" s="60" t="str">
        <f>IFERROR(INDEX('Docketed Comments'!F:F,MATCH(A473,'Docketed Comments'!H:H,0)),"")</f>
        <v>Form letter</v>
      </c>
      <c r="M473" s="120" t="str">
        <f>IFERROR(INDEX('Docketed Comments'!G:G,MATCH(A473,'Docketed Comments'!H:H,0)),"")</f>
        <v>https://images.edocket.azcc.gov/docketpdf/E000046230.pdf</v>
      </c>
      <c r="N473" s="118" t="str">
        <f>IFERROR(INDEX('Docketed Comments'!N:N,MATCH(A473,'Docketed Comments'!H:H,0)),"")</f>
        <v>No</v>
      </c>
      <c r="O473" s="118" t="str">
        <f>IFERROR(INDEX('Docketed Comments'!L:L,MATCH(A473,'Docketed Comments'!H:H,0)),"")</f>
        <v>Yes</v>
      </c>
      <c r="P473" s="119">
        <f t="shared" si="14"/>
        <v>0</v>
      </c>
      <c r="Q473" s="60"/>
      <c r="R473" s="64" t="s">
        <v>75</v>
      </c>
      <c r="S473" s="64" t="s">
        <v>1059</v>
      </c>
    </row>
    <row r="474" spans="1:19" ht="21.95" customHeight="1">
      <c r="A474" s="66" t="s">
        <v>1060</v>
      </c>
      <c r="B474" s="64"/>
      <c r="C474" s="65"/>
      <c r="D474" s="64"/>
      <c r="E474" s="64"/>
      <c r="F474" s="60"/>
      <c r="G474" s="60" t="s">
        <v>88</v>
      </c>
      <c r="H474" s="60" t="str">
        <f>IFERROR(INDEX('Docketed Comments'!C:C,MATCH(A474,'Docketed Comments'!H:H,0))&amp;", "&amp;INDEX('Docketed Comments'!B:B,MATCH(A474,'Docketed Comments'!H:H,0)),"")</f>
        <v>Jason, Lund</v>
      </c>
      <c r="I474" s="60" t="str">
        <f>IFERROR(INDEX('Docketed Comments'!D:D,MATCH(A474,'Docketed Comments'!H:H,0)),"")</f>
        <v>Phoenix</v>
      </c>
      <c r="J474" s="60" t="str">
        <f>IFERROR(INDEX('Docketed Comments'!I:I,MATCH(A474,'Docketed Comments'!H:H,0)),"")</f>
        <v>R-2</v>
      </c>
      <c r="K474" s="60" t="str">
        <f t="shared" si="15"/>
        <v>⚠ Frozen Rate</v>
      </c>
      <c r="L474" s="60" t="str">
        <f>IFERROR(INDEX('Docketed Comments'!F:F,MATCH(A474,'Docketed Comments'!H:H,0)),"")</f>
        <v>Form letter</v>
      </c>
      <c r="M474" s="120" t="str">
        <f>IFERROR(INDEX('Docketed Comments'!G:G,MATCH(A474,'Docketed Comments'!H:H,0)),"")</f>
        <v>https://images.edocket.azcc.gov/docketpdf/E000046230.pdf</v>
      </c>
      <c r="N474" s="118" t="str">
        <f>IFERROR(INDEX('Docketed Comments'!N:N,MATCH(A474,'Docketed Comments'!H:H,0)),"")</f>
        <v>No</v>
      </c>
      <c r="O474" s="118" t="str">
        <f>IFERROR(INDEX('Docketed Comments'!L:L,MATCH(A474,'Docketed Comments'!H:H,0)),"")</f>
        <v>Frozen Rate</v>
      </c>
      <c r="P474" s="119">
        <f t="shared" si="14"/>
        <v>0</v>
      </c>
      <c r="Q474" s="60"/>
      <c r="R474" s="64" t="s">
        <v>75</v>
      </c>
      <c r="S474" s="64" t="s">
        <v>1061</v>
      </c>
    </row>
    <row r="475" spans="1:19" ht="21.95" customHeight="1">
      <c r="A475" s="66" t="s">
        <v>1062</v>
      </c>
      <c r="B475" s="64"/>
      <c r="C475" s="65"/>
      <c r="D475" s="64"/>
      <c r="E475" s="64"/>
      <c r="F475" s="60"/>
      <c r="G475" s="60" t="s">
        <v>88</v>
      </c>
      <c r="H475" s="60" t="str">
        <f>IFERROR(INDEX('Docketed Comments'!C:C,MATCH(A475,'Docketed Comments'!H:H,0))&amp;", "&amp;INDEX('Docketed Comments'!B:B,MATCH(A475,'Docketed Comments'!H:H,0)),"")</f>
        <v>Rebecca, Scheigert</v>
      </c>
      <c r="I475" s="60" t="str">
        <f>IFERROR(INDEX('Docketed Comments'!D:D,MATCH(A475,'Docketed Comments'!H:H,0)),"")</f>
        <v>Phoenix</v>
      </c>
      <c r="J475" s="60" t="str">
        <f>IFERROR(INDEX('Docketed Comments'!I:I,MATCH(A475,'Docketed Comments'!H:H,0)),"")</f>
        <v>R-BASICL</v>
      </c>
      <c r="K475" s="60" t="str">
        <f t="shared" si="15"/>
        <v>✅ On Best Plan</v>
      </c>
      <c r="L475" s="60" t="str">
        <f>IFERROR(INDEX('Docketed Comments'!F:F,MATCH(A475,'Docketed Comments'!H:H,0)),"")</f>
        <v>Form letter</v>
      </c>
      <c r="M475" s="120" t="str">
        <f>IFERROR(INDEX('Docketed Comments'!G:G,MATCH(A475,'Docketed Comments'!H:H,0)),"")</f>
        <v>https://images.edocket.azcc.gov/docketpdf/E000046230.pdf</v>
      </c>
      <c r="N475" s="118" t="str">
        <f>IFERROR(INDEX('Docketed Comments'!N:N,MATCH(A475,'Docketed Comments'!H:H,0)),"")</f>
        <v>No</v>
      </c>
      <c r="O475" s="118" t="str">
        <f>IFERROR(INDEX('Docketed Comments'!L:L,MATCH(A475,'Docketed Comments'!H:H,0)),"")</f>
        <v>Yes</v>
      </c>
      <c r="P475" s="119">
        <f t="shared" si="14"/>
        <v>0</v>
      </c>
      <c r="Q475" s="60"/>
      <c r="R475" s="64" t="s">
        <v>75</v>
      </c>
      <c r="S475" s="64" t="s">
        <v>1063</v>
      </c>
    </row>
    <row r="476" spans="1:19" ht="21.95" customHeight="1">
      <c r="A476" s="66" t="s">
        <v>1064</v>
      </c>
      <c r="B476" s="64"/>
      <c r="C476" s="65"/>
      <c r="D476" s="64"/>
      <c r="E476" s="64"/>
      <c r="F476" s="60"/>
      <c r="G476" s="60" t="s">
        <v>88</v>
      </c>
      <c r="H476" s="60" t="str">
        <f>IFERROR(INDEX('Docketed Comments'!C:C,MATCH(A476,'Docketed Comments'!H:H,0))&amp;", "&amp;INDEX('Docketed Comments'!B:B,MATCH(A476,'Docketed Comments'!H:H,0)),"")</f>
        <v>Samuel, Scheele</v>
      </c>
      <c r="I476" s="60" t="str">
        <f>IFERROR(INDEX('Docketed Comments'!D:D,MATCH(A476,'Docketed Comments'!H:H,0)),"")</f>
        <v>Chandler</v>
      </c>
      <c r="J476" s="60" t="str">
        <f>IFERROR(INDEX('Docketed Comments'!I:I,MATCH(A476,'Docketed Comments'!H:H,0)),"")</f>
        <v>R-XS</v>
      </c>
      <c r="K476" s="60" t="str">
        <f t="shared" si="15"/>
        <v>✅ On Best Plan</v>
      </c>
      <c r="L476" s="60" t="str">
        <f>IFERROR(INDEX('Docketed Comments'!F:F,MATCH(A476,'Docketed Comments'!H:H,0)),"")</f>
        <v>Form letter</v>
      </c>
      <c r="M476" s="120" t="str">
        <f>IFERROR(INDEX('Docketed Comments'!G:G,MATCH(A476,'Docketed Comments'!H:H,0)),"")</f>
        <v>https://images.edocket.azcc.gov/docketpdf/E000046230.pdf</v>
      </c>
      <c r="N476" s="118" t="str">
        <f>IFERROR(INDEX('Docketed Comments'!N:N,MATCH(A476,'Docketed Comments'!H:H,0)),"")</f>
        <v>No</v>
      </c>
      <c r="O476" s="118" t="str">
        <f>IFERROR(INDEX('Docketed Comments'!L:L,MATCH(A476,'Docketed Comments'!H:H,0)),"")</f>
        <v>Yes</v>
      </c>
      <c r="P476" s="119">
        <f t="shared" si="14"/>
        <v>0</v>
      </c>
      <c r="Q476" s="60"/>
      <c r="R476" s="64" t="s">
        <v>75</v>
      </c>
      <c r="S476" s="64" t="s">
        <v>1065</v>
      </c>
    </row>
    <row r="477" spans="1:19" ht="21.95" customHeight="1">
      <c r="A477" s="66" t="s">
        <v>1066</v>
      </c>
      <c r="B477" s="64"/>
      <c r="C477" s="65"/>
      <c r="D477" s="64"/>
      <c r="E477" s="64"/>
      <c r="F477" s="60"/>
      <c r="G477" s="60" t="s">
        <v>88</v>
      </c>
      <c r="H477" s="60" t="str">
        <f>IFERROR(INDEX('Docketed Comments'!C:C,MATCH(A477,'Docketed Comments'!H:H,0))&amp;", "&amp;INDEX('Docketed Comments'!B:B,MATCH(A477,'Docketed Comments'!H:H,0)),"")</f>
        <v>William, Geiger</v>
      </c>
      <c r="I477" s="60" t="str">
        <f>IFERROR(INDEX('Docketed Comments'!D:D,MATCH(A477,'Docketed Comments'!H:H,0)),"")</f>
        <v>Casa Grande</v>
      </c>
      <c r="J477" s="60" t="str">
        <f>IFERROR(INDEX('Docketed Comments'!I:I,MATCH(A477,'Docketed Comments'!H:H,0)),"")</f>
        <v>R3-47</v>
      </c>
      <c r="K477" s="60" t="str">
        <f t="shared" si="15"/>
        <v>✅ On Best Plan</v>
      </c>
      <c r="L477" s="60" t="str">
        <f>IFERROR(INDEX('Docketed Comments'!F:F,MATCH(A477,'Docketed Comments'!H:H,0)),"")</f>
        <v xml:space="preserve">Opposed </v>
      </c>
      <c r="M477" s="120" t="str">
        <f>IFERROR(INDEX('Docketed Comments'!G:G,MATCH(A477,'Docketed Comments'!H:H,0)),"")</f>
        <v>https://images.edocket.azcc.gov/docketpdf/E000046230.pdf</v>
      </c>
      <c r="N477" s="118" t="str">
        <f>IFERROR(INDEX('Docketed Comments'!N:N,MATCH(A477,'Docketed Comments'!H:H,0)),"")</f>
        <v>No</v>
      </c>
      <c r="O477" s="118" t="str">
        <f>IFERROR(INDEX('Docketed Comments'!L:L,MATCH(A477,'Docketed Comments'!H:H,0)),"")</f>
        <v>Yes</v>
      </c>
      <c r="P477" s="119">
        <f t="shared" si="14"/>
        <v>0</v>
      </c>
      <c r="Q477" s="60"/>
      <c r="R477" s="64" t="s">
        <v>75</v>
      </c>
      <c r="S477" s="64" t="s">
        <v>1067</v>
      </c>
    </row>
    <row r="478" spans="1:19" ht="21.95" customHeight="1">
      <c r="A478" s="66" t="s">
        <v>1068</v>
      </c>
      <c r="B478" s="64"/>
      <c r="C478" s="65"/>
      <c r="D478" s="64"/>
      <c r="E478" s="64"/>
      <c r="F478" s="60"/>
      <c r="G478" s="60" t="s">
        <v>88</v>
      </c>
      <c r="H478" s="60" t="str">
        <f>IFERROR(INDEX('Docketed Comments'!C:C,MATCH(A478,'Docketed Comments'!H:H,0))&amp;", "&amp;INDEX('Docketed Comments'!B:B,MATCH(A478,'Docketed Comments'!H:H,0)),"")</f>
        <v xml:space="preserve">Soni, Singh </v>
      </c>
      <c r="I478" s="60" t="str">
        <f>IFERROR(INDEX('Docketed Comments'!D:D,MATCH(A478,'Docketed Comments'!H:H,0)),"")</f>
        <v>Phoenix</v>
      </c>
      <c r="J478" s="60" t="str">
        <f>IFERROR(INDEX('Docketed Comments'!I:I,MATCH(A478,'Docketed Comments'!H:H,0)),"")</f>
        <v>R3-47</v>
      </c>
      <c r="K478" s="60" t="str">
        <f t="shared" si="15"/>
        <v>✅ On Best Plan</v>
      </c>
      <c r="L478" s="60" t="str">
        <f>IFERROR(INDEX('Docketed Comments'!F:F,MATCH(A478,'Docketed Comments'!H:H,0)),"")</f>
        <v>Too high already, opposed</v>
      </c>
      <c r="M478" s="120" t="str">
        <f>IFERROR(INDEX('Docketed Comments'!G:G,MATCH(A478,'Docketed Comments'!H:H,0)),"")</f>
        <v>https://images.edocket.azcc.gov/docketpdf/E000046230.pdf</v>
      </c>
      <c r="N478" s="118" t="str">
        <f>IFERROR(INDEX('Docketed Comments'!N:N,MATCH(A478,'Docketed Comments'!H:H,0)),"")</f>
        <v>No</v>
      </c>
      <c r="O478" s="118" t="str">
        <f>IFERROR(INDEX('Docketed Comments'!L:L,MATCH(A478,'Docketed Comments'!H:H,0)),"")</f>
        <v>Yes</v>
      </c>
      <c r="P478" s="119">
        <f t="shared" si="14"/>
        <v>0</v>
      </c>
      <c r="Q478" s="60"/>
      <c r="R478" s="64" t="s">
        <v>75</v>
      </c>
      <c r="S478" s="64" t="s">
        <v>1069</v>
      </c>
    </row>
    <row r="479" spans="1:19" ht="21.95" customHeight="1">
      <c r="A479" s="66" t="s">
        <v>1070</v>
      </c>
      <c r="B479" s="64"/>
      <c r="C479" s="65"/>
      <c r="D479" s="64"/>
      <c r="E479" s="64"/>
      <c r="F479" s="60"/>
      <c r="G479" s="60" t="s">
        <v>88</v>
      </c>
      <c r="H479" s="60" t="str">
        <f>IFERROR(INDEX('Docketed Comments'!C:C,MATCH(A479,'Docketed Comments'!H:H,0))&amp;", "&amp;INDEX('Docketed Comments'!B:B,MATCH(A479,'Docketed Comments'!H:H,0)),"")</f>
        <v>Rahul, Pratik</v>
      </c>
      <c r="I479" s="60" t="str">
        <f>IFERROR(INDEX('Docketed Comments'!D:D,MATCH(A479,'Docketed Comments'!H:H,0)),"")</f>
        <v>Phoenix</v>
      </c>
      <c r="J479" s="60" t="str">
        <f>IFERROR(INDEX('Docketed Comments'!I:I,MATCH(A479,'Docketed Comments'!H:H,0)),"")</f>
        <v>R3-47</v>
      </c>
      <c r="K479" s="60" t="str">
        <f t="shared" si="15"/>
        <v>✅ On Best Plan</v>
      </c>
      <c r="L479" s="60" t="str">
        <f>IFERROR(INDEX('Docketed Comments'!F:F,MATCH(A479,'Docketed Comments'!H:H,0)),"")</f>
        <v>Form letter</v>
      </c>
      <c r="M479" s="120" t="str">
        <f>IFERROR(INDEX('Docketed Comments'!G:G,MATCH(A479,'Docketed Comments'!H:H,0)),"")</f>
        <v>https://images.edocket.azcc.gov/docketpdf/E000046230.pdf</v>
      </c>
      <c r="N479" s="118" t="str">
        <f>IFERROR(INDEX('Docketed Comments'!N:N,MATCH(A479,'Docketed Comments'!H:H,0)),"")</f>
        <v>No</v>
      </c>
      <c r="O479" s="118" t="str">
        <f>IFERROR(INDEX('Docketed Comments'!L:L,MATCH(A479,'Docketed Comments'!H:H,0)),"")</f>
        <v>Yes</v>
      </c>
      <c r="P479" s="119">
        <f t="shared" si="14"/>
        <v>0</v>
      </c>
      <c r="Q479" s="60"/>
      <c r="R479" s="64" t="s">
        <v>75</v>
      </c>
      <c r="S479" s="64" t="s">
        <v>1071</v>
      </c>
    </row>
    <row r="480" spans="1:19" ht="21.95" customHeight="1">
      <c r="A480" s="66" t="s">
        <v>1072</v>
      </c>
      <c r="B480" s="64"/>
      <c r="C480" s="65"/>
      <c r="D480" s="64"/>
      <c r="E480" s="64"/>
      <c r="F480" s="60"/>
      <c r="G480" s="60" t="s">
        <v>88</v>
      </c>
      <c r="H480" s="60" t="str">
        <f>IFERROR(INDEX('Docketed Comments'!C:C,MATCH(A480,'Docketed Comments'!H:H,0))&amp;", "&amp;INDEX('Docketed Comments'!B:B,MATCH(A480,'Docketed Comments'!H:H,0)),"")</f>
        <v>Vinod, Bodempudi</v>
      </c>
      <c r="I480" s="60" t="str">
        <f>IFERROR(INDEX('Docketed Comments'!D:D,MATCH(A480,'Docketed Comments'!H:H,0)),"")</f>
        <v>Peoria</v>
      </c>
      <c r="J480" s="60" t="str">
        <f>IFERROR(INDEX('Docketed Comments'!I:I,MATCH(A480,'Docketed Comments'!H:H,0)),"")</f>
        <v>RTOUE47</v>
      </c>
      <c r="K480" s="60" t="str">
        <f t="shared" si="15"/>
        <v>✅ On Best Plan</v>
      </c>
      <c r="L480" s="60" t="str">
        <f>IFERROR(INDEX('Docketed Comments'!F:F,MATCH(A480,'Docketed Comments'!H:H,0)),"")</f>
        <v>Form letter</v>
      </c>
      <c r="M480" s="120" t="str">
        <f>IFERROR(INDEX('Docketed Comments'!G:G,MATCH(A480,'Docketed Comments'!H:H,0)),"")</f>
        <v>https://images.edocket.azcc.gov/docketpdf/E000046230.pdf</v>
      </c>
      <c r="N480" s="118" t="str">
        <f>IFERROR(INDEX('Docketed Comments'!N:N,MATCH(A480,'Docketed Comments'!H:H,0)),"")</f>
        <v>No</v>
      </c>
      <c r="O480" s="118" t="str">
        <f>IFERROR(INDEX('Docketed Comments'!L:L,MATCH(A480,'Docketed Comments'!H:H,0)),"")</f>
        <v>Yes</v>
      </c>
      <c r="P480" s="119">
        <f t="shared" si="14"/>
        <v>0</v>
      </c>
      <c r="Q480" s="60"/>
      <c r="R480" s="64" t="s">
        <v>75</v>
      </c>
      <c r="S480" s="64" t="s">
        <v>1073</v>
      </c>
    </row>
    <row r="481" spans="1:19" ht="21.95" customHeight="1">
      <c r="A481" s="66" t="s">
        <v>1074</v>
      </c>
      <c r="B481" s="64"/>
      <c r="C481" s="65"/>
      <c r="D481" s="64"/>
      <c r="E481" s="64"/>
      <c r="F481" s="60"/>
      <c r="G481" s="60" t="s">
        <v>88</v>
      </c>
      <c r="H481" s="60" t="str">
        <f>IFERROR(INDEX('Docketed Comments'!C:C,MATCH(A481,'Docketed Comments'!H:H,0))&amp;", "&amp;INDEX('Docketed Comments'!B:B,MATCH(A481,'Docketed Comments'!H:H,0)),"")</f>
        <v>Corianne, Nelson</v>
      </c>
      <c r="I481" s="60" t="str">
        <f>IFERROR(INDEX('Docketed Comments'!D:D,MATCH(A481,'Docketed Comments'!H:H,0)),"")</f>
        <v>Phoenix</v>
      </c>
      <c r="J481" s="60" t="str">
        <f>IFERROR(INDEX('Docketed Comments'!I:I,MATCH(A481,'Docketed Comments'!H:H,0)),"")</f>
        <v>R3-47</v>
      </c>
      <c r="K481" s="60" t="str">
        <f t="shared" si="15"/>
        <v>✅ On Best Plan</v>
      </c>
      <c r="L481" s="60" t="str">
        <f>IFERROR(INDEX('Docketed Comments'!F:F,MATCH(A481,'Docketed Comments'!H:H,0)),"")</f>
        <v>Form letter</v>
      </c>
      <c r="M481" s="120" t="str">
        <f>IFERROR(INDEX('Docketed Comments'!G:G,MATCH(A481,'Docketed Comments'!H:H,0)),"")</f>
        <v>https://images.edocket.azcc.gov/docketpdf/E000046230.pdf</v>
      </c>
      <c r="N481" s="118" t="str">
        <f>IFERROR(INDEX('Docketed Comments'!N:N,MATCH(A481,'Docketed Comments'!H:H,0)),"")</f>
        <v>No</v>
      </c>
      <c r="O481" s="118" t="str">
        <f>IFERROR(INDEX('Docketed Comments'!L:L,MATCH(A481,'Docketed Comments'!H:H,0)),"")</f>
        <v>Yes</v>
      </c>
      <c r="P481" s="119">
        <f t="shared" si="14"/>
        <v>0</v>
      </c>
      <c r="Q481" s="60"/>
      <c r="R481" s="64" t="s">
        <v>75</v>
      </c>
      <c r="S481" s="64" t="s">
        <v>1075</v>
      </c>
    </row>
    <row r="482" spans="1:19" ht="21.95" customHeight="1">
      <c r="A482" s="66" t="s">
        <v>1076</v>
      </c>
      <c r="B482" s="64"/>
      <c r="C482" s="65"/>
      <c r="D482" s="64"/>
      <c r="E482" s="64"/>
      <c r="F482" s="60"/>
      <c r="G482" s="60" t="s">
        <v>88</v>
      </c>
      <c r="H482" s="60" t="str">
        <f>IFERROR(INDEX('Docketed Comments'!C:C,MATCH(A482,'Docketed Comments'!H:H,0))&amp;", "&amp;INDEX('Docketed Comments'!B:B,MATCH(A482,'Docketed Comments'!H:H,0)),"")</f>
        <v>Charles, Van Marter</v>
      </c>
      <c r="I482" s="60" t="str">
        <f>IFERROR(INDEX('Docketed Comments'!D:D,MATCH(A482,'Docketed Comments'!H:H,0)),"")</f>
        <v>Goodyear</v>
      </c>
      <c r="J482" s="60" t="str">
        <f>IFERROR(INDEX('Docketed Comments'!I:I,MATCH(A482,'Docketed Comments'!H:H,0)),"")</f>
        <v>R3-47</v>
      </c>
      <c r="K482" s="60" t="str">
        <f t="shared" si="15"/>
        <v>✅ On Best Plan</v>
      </c>
      <c r="L482" s="60" t="str">
        <f>IFERROR(INDEX('Docketed Comments'!F:F,MATCH(A482,'Docketed Comments'!H:H,0)),"")</f>
        <v>Opposed</v>
      </c>
      <c r="M482" s="120" t="str">
        <f>IFERROR(INDEX('Docketed Comments'!G:G,MATCH(A482,'Docketed Comments'!H:H,0)),"")</f>
        <v>https://images.edocket.azcc.gov/docketpdf/E000046230.pdf</v>
      </c>
      <c r="N482" s="118" t="str">
        <f>IFERROR(INDEX('Docketed Comments'!N:N,MATCH(A482,'Docketed Comments'!H:H,0)),"")</f>
        <v>No</v>
      </c>
      <c r="O482" s="118" t="str">
        <f>IFERROR(INDEX('Docketed Comments'!L:L,MATCH(A482,'Docketed Comments'!H:H,0)),"")</f>
        <v>Yes</v>
      </c>
      <c r="P482" s="119">
        <f t="shared" si="14"/>
        <v>0</v>
      </c>
      <c r="Q482" s="60"/>
      <c r="R482" s="64" t="s">
        <v>75</v>
      </c>
      <c r="S482" s="64" t="s">
        <v>1077</v>
      </c>
    </row>
    <row r="483" spans="1:19" ht="21.95" customHeight="1">
      <c r="A483" s="66" t="s">
        <v>1078</v>
      </c>
      <c r="B483" s="64"/>
      <c r="C483" s="65"/>
      <c r="D483" s="64"/>
      <c r="E483" s="64"/>
      <c r="F483" s="60"/>
      <c r="G483" s="60" t="s">
        <v>88</v>
      </c>
      <c r="H483" s="60" t="str">
        <f>IFERROR(INDEX('Docketed Comments'!C:C,MATCH(A483,'Docketed Comments'!H:H,0))&amp;", "&amp;INDEX('Docketed Comments'!B:B,MATCH(A483,'Docketed Comments'!H:H,0)),"")</f>
        <v>Nicholas, Gulotta</v>
      </c>
      <c r="I483" s="60" t="str">
        <f>IFERROR(INDEX('Docketed Comments'!D:D,MATCH(A483,'Docketed Comments'!H:H,0)),"")</f>
        <v>Tempe</v>
      </c>
      <c r="J483" s="60" t="str">
        <f>IFERROR(INDEX('Docketed Comments'!I:I,MATCH(A483,'Docketed Comments'!H:H,0)),"")</f>
        <v>R-XS</v>
      </c>
      <c r="K483" s="60" t="str">
        <f t="shared" si="15"/>
        <v>✅ On Best Plan</v>
      </c>
      <c r="L483" s="60" t="str">
        <f>IFERROR(INDEX('Docketed Comments'!F:F,MATCH(A483,'Docketed Comments'!H:H,0)),"")</f>
        <v>Form letter</v>
      </c>
      <c r="M483" s="120" t="str">
        <f>IFERROR(INDEX('Docketed Comments'!G:G,MATCH(A483,'Docketed Comments'!H:H,0)),"")</f>
        <v>https://images.edocket.azcc.gov/docketpdf/E000046230.pdf</v>
      </c>
      <c r="N483" s="118" t="str">
        <f>IFERROR(INDEX('Docketed Comments'!N:N,MATCH(A483,'Docketed Comments'!H:H,0)),"")</f>
        <v>No</v>
      </c>
      <c r="O483" s="118" t="str">
        <f>IFERROR(INDEX('Docketed Comments'!L:L,MATCH(A483,'Docketed Comments'!H:H,0)),"")</f>
        <v>Yes</v>
      </c>
      <c r="P483" s="119">
        <f t="shared" si="14"/>
        <v>0</v>
      </c>
      <c r="Q483" s="60"/>
      <c r="R483" s="64" t="s">
        <v>75</v>
      </c>
      <c r="S483" s="64" t="s">
        <v>1079</v>
      </c>
    </row>
    <row r="484" spans="1:19" ht="21.95" customHeight="1">
      <c r="A484" s="66" t="s">
        <v>1080</v>
      </c>
      <c r="B484" s="64"/>
      <c r="C484" s="65"/>
      <c r="D484" s="64"/>
      <c r="E484" s="64"/>
      <c r="F484" s="60"/>
      <c r="G484" s="60" t="s">
        <v>88</v>
      </c>
      <c r="H484" s="60" t="str">
        <f>IFERROR(INDEX('Docketed Comments'!C:C,MATCH(A484,'Docketed Comments'!H:H,0))&amp;", "&amp;INDEX('Docketed Comments'!B:B,MATCH(A484,'Docketed Comments'!H:H,0)),"")</f>
        <v>Gabriel, Caballero Sosa</v>
      </c>
      <c r="I484" s="60" t="str">
        <f>IFERROR(INDEX('Docketed Comments'!D:D,MATCH(A484,'Docketed Comments'!H:H,0)),"")</f>
        <v>Phoenix</v>
      </c>
      <c r="J484" s="60" t="str">
        <f>IFERROR(INDEX('Docketed Comments'!I:I,MATCH(A484,'Docketed Comments'!H:H,0)),"")</f>
        <v>R-XS</v>
      </c>
      <c r="K484" s="60" t="str">
        <f t="shared" si="15"/>
        <v>✅ On Best Plan</v>
      </c>
      <c r="L484" s="60" t="str">
        <f>IFERROR(INDEX('Docketed Comments'!F:F,MATCH(A484,'Docketed Comments'!H:H,0)),"")</f>
        <v>Form letter</v>
      </c>
      <c r="M484" s="120" t="str">
        <f>IFERROR(INDEX('Docketed Comments'!G:G,MATCH(A484,'Docketed Comments'!H:H,0)),"")</f>
        <v>https://images.edocket.azcc.gov/docketpdf/E000046230.pdf</v>
      </c>
      <c r="N484" s="118" t="str">
        <f>IFERROR(INDEX('Docketed Comments'!N:N,MATCH(A484,'Docketed Comments'!H:H,0)),"")</f>
        <v>No</v>
      </c>
      <c r="O484" s="118" t="str">
        <f>IFERROR(INDEX('Docketed Comments'!L:L,MATCH(A484,'Docketed Comments'!H:H,0)),"")</f>
        <v>Yes</v>
      </c>
      <c r="P484" s="119">
        <f t="shared" si="14"/>
        <v>0</v>
      </c>
      <c r="Q484" s="60"/>
      <c r="R484" s="64" t="s">
        <v>75</v>
      </c>
      <c r="S484" s="64" t="s">
        <v>1081</v>
      </c>
    </row>
    <row r="485" spans="1:19" ht="21.95" customHeight="1">
      <c r="A485" s="66" t="s">
        <v>1082</v>
      </c>
      <c r="B485" s="64"/>
      <c r="C485" s="65"/>
      <c r="D485" s="64"/>
      <c r="E485" s="64"/>
      <c r="F485" s="60"/>
      <c r="G485" s="60" t="s">
        <v>88</v>
      </c>
      <c r="H485" s="60" t="str">
        <f>IFERROR(INDEX('Docketed Comments'!C:C,MATCH(A485,'Docketed Comments'!H:H,0))&amp;", "&amp;INDEX('Docketed Comments'!B:B,MATCH(A485,'Docketed Comments'!H:H,0)),"")</f>
        <v>Chelsie, Harrison</v>
      </c>
      <c r="I485" s="60" t="str">
        <f>IFERROR(INDEX('Docketed Comments'!D:D,MATCH(A485,'Docketed Comments'!H:H,0)),"")</f>
        <v>Cottonwood</v>
      </c>
      <c r="J485" s="60" t="str">
        <f>IFERROR(INDEX('Docketed Comments'!I:I,MATCH(A485,'Docketed Comments'!H:H,0)),"")</f>
        <v>R-XS</v>
      </c>
      <c r="K485" s="60" t="str">
        <f t="shared" si="15"/>
        <v>✅ On Best Plan</v>
      </c>
      <c r="L485" s="60" t="str">
        <f>IFERROR(INDEX('Docketed Comments'!F:F,MATCH(A485,'Docketed Comments'!H:H,0)),"")</f>
        <v>Detrimental to our financial stability</v>
      </c>
      <c r="M485" s="120" t="str">
        <f>IFERROR(INDEX('Docketed Comments'!G:G,MATCH(A485,'Docketed Comments'!H:H,0)),"")</f>
        <v>https://images.edocket.azcc.gov/docketpdf/E000046230.pdf</v>
      </c>
      <c r="N485" s="118" t="str">
        <f>IFERROR(INDEX('Docketed Comments'!N:N,MATCH(A485,'Docketed Comments'!H:H,0)),"")</f>
        <v>No</v>
      </c>
      <c r="O485" s="118" t="str">
        <f>IFERROR(INDEX('Docketed Comments'!L:L,MATCH(A485,'Docketed Comments'!H:H,0)),"")</f>
        <v>Yes</v>
      </c>
      <c r="P485" s="119">
        <f t="shared" si="14"/>
        <v>0</v>
      </c>
      <c r="Q485" s="60"/>
      <c r="R485" s="64" t="s">
        <v>75</v>
      </c>
      <c r="S485" s="64" t="s">
        <v>1083</v>
      </c>
    </row>
    <row r="486" spans="1:19" ht="21.95" customHeight="1">
      <c r="A486" s="66" t="s">
        <v>1084</v>
      </c>
      <c r="B486" s="64"/>
      <c r="C486" s="65"/>
      <c r="D486" s="64"/>
      <c r="E486" s="64"/>
      <c r="F486" s="60"/>
      <c r="G486" s="60" t="s">
        <v>88</v>
      </c>
      <c r="H486" s="60" t="str">
        <f>IFERROR(INDEX('Docketed Comments'!C:C,MATCH(A486,'Docketed Comments'!H:H,0))&amp;", "&amp;INDEX('Docketed Comments'!B:B,MATCH(A486,'Docketed Comments'!H:H,0)),"")</f>
        <v>Leslie, Bartley</v>
      </c>
      <c r="I486" s="60" t="str">
        <f>IFERROR(INDEX('Docketed Comments'!D:D,MATCH(A486,'Docketed Comments'!H:H,0)),"")</f>
        <v>Goodyear</v>
      </c>
      <c r="J486" s="60" t="str">
        <f>IFERROR(INDEX('Docketed Comments'!I:I,MATCH(A486,'Docketed Comments'!H:H,0)),"")</f>
        <v>Multiple SAs</v>
      </c>
      <c r="K486" s="60" t="str">
        <f t="shared" si="15"/>
        <v>✅ On Best Plan</v>
      </c>
      <c r="L486" s="60" t="str">
        <f>IFERROR(INDEX('Docketed Comments'!F:F,MATCH(A486,'Docketed Comments'!H:H,0)),"")</f>
        <v xml:space="preserve">Unfair  </v>
      </c>
      <c r="M486" s="120" t="str">
        <f>IFERROR(INDEX('Docketed Comments'!G:G,MATCH(A486,'Docketed Comments'!H:H,0)),"")</f>
        <v>https://images.edocket.azcc.gov/docketpdf/E000046230.pdf</v>
      </c>
      <c r="N486" s="118" t="str">
        <f>IFERROR(INDEX('Docketed Comments'!N:N,MATCH(A486,'Docketed Comments'!H:H,0)),"")</f>
        <v>No</v>
      </c>
      <c r="O486" s="118" t="str">
        <f>IFERROR(INDEX('Docketed Comments'!L:L,MATCH(A486,'Docketed Comments'!H:H,0)),"")</f>
        <v>Yes</v>
      </c>
      <c r="P486" s="119">
        <f t="shared" si="14"/>
        <v>0</v>
      </c>
      <c r="Q486" s="60"/>
      <c r="R486" s="64" t="s">
        <v>75</v>
      </c>
      <c r="S486" s="64" t="s">
        <v>1085</v>
      </c>
    </row>
    <row r="487" spans="1:19" ht="21.95" customHeight="1">
      <c r="A487" s="66" t="s">
        <v>1086</v>
      </c>
      <c r="B487" s="64"/>
      <c r="C487" s="65"/>
      <c r="D487" s="64"/>
      <c r="E487" s="64"/>
      <c r="F487" s="60"/>
      <c r="G487" s="60" t="s">
        <v>88</v>
      </c>
      <c r="H487" s="60" t="str">
        <f>IFERROR(INDEX('Docketed Comments'!C:C,MATCH(A487,'Docketed Comments'!H:H,0))&amp;", "&amp;INDEX('Docketed Comments'!B:B,MATCH(A487,'Docketed Comments'!H:H,0)),"")</f>
        <v>Candace, Lawson</v>
      </c>
      <c r="I487" s="60" t="str">
        <f>IFERROR(INDEX('Docketed Comments'!D:D,MATCH(A487,'Docketed Comments'!H:H,0)),"")</f>
        <v>Goodyear</v>
      </c>
      <c r="J487" s="60" t="str">
        <f>IFERROR(INDEX('Docketed Comments'!I:I,MATCH(A487,'Docketed Comments'!H:H,0)),"")</f>
        <v>EPR-6w/E-12</v>
      </c>
      <c r="K487" s="60" t="str">
        <f t="shared" si="15"/>
        <v>⚠ Frozen Rate</v>
      </c>
      <c r="L487" s="60" t="str">
        <f>IFERROR(INDEX('Docketed Comments'!F:F,MATCH(A487,'Docketed Comments'!H:H,0)),"")</f>
        <v>Opposed</v>
      </c>
      <c r="M487" s="120" t="str">
        <f>IFERROR(INDEX('Docketed Comments'!G:G,MATCH(A487,'Docketed Comments'!H:H,0)),"")</f>
        <v>https://images.edocket.azcc.gov/docketpdf/E000046230.pdf</v>
      </c>
      <c r="N487" s="118" t="str">
        <f>IFERROR(INDEX('Docketed Comments'!N:N,MATCH(A487,'Docketed Comments'!H:H,0)),"")</f>
        <v>No</v>
      </c>
      <c r="O487" s="118" t="str">
        <f>IFERROR(INDEX('Docketed Comments'!L:L,MATCH(A487,'Docketed Comments'!H:H,0)),"")</f>
        <v>Frozen Rate</v>
      </c>
      <c r="P487" s="119">
        <f t="shared" si="14"/>
        <v>0</v>
      </c>
      <c r="Q487" s="60"/>
      <c r="R487" s="64" t="s">
        <v>75</v>
      </c>
      <c r="S487" s="64" t="s">
        <v>1087</v>
      </c>
    </row>
    <row r="488" spans="1:19" ht="21.95" customHeight="1">
      <c r="A488" s="66" t="s">
        <v>1088</v>
      </c>
      <c r="B488" s="64"/>
      <c r="C488" s="65"/>
      <c r="D488" s="64"/>
      <c r="E488" s="64"/>
      <c r="F488" s="60"/>
      <c r="G488" s="60" t="s">
        <v>88</v>
      </c>
      <c r="H488" s="60" t="str">
        <f>IFERROR(INDEX('Docketed Comments'!C:C,MATCH(A488,'Docketed Comments'!H:H,0))&amp;", "&amp;INDEX('Docketed Comments'!B:B,MATCH(A488,'Docketed Comments'!H:H,0)),"")</f>
        <v>Scott, Quain-Kollar</v>
      </c>
      <c r="I488" s="60" t="str">
        <f>IFERROR(INDEX('Docketed Comments'!D:D,MATCH(A488,'Docketed Comments'!H:H,0)),"")</f>
        <v>Peoria</v>
      </c>
      <c r="J488" s="60" t="str">
        <f>IFERROR(INDEX('Docketed Comments'!I:I,MATCH(A488,'Docketed Comments'!H:H,0)),"")</f>
        <v>R3-47//R-XS</v>
      </c>
      <c r="K488" s="60" t="str">
        <f t="shared" si="15"/>
        <v>✅ On Best Plan</v>
      </c>
      <c r="L488" s="60" t="str">
        <f>IFERROR(INDEX('Docketed Comments'!F:F,MATCH(A488,'Docketed Comments'!H:H,0)),"")</f>
        <v>Opposed</v>
      </c>
      <c r="M488" s="120" t="str">
        <f>IFERROR(INDEX('Docketed Comments'!G:G,MATCH(A488,'Docketed Comments'!H:H,0)),"")</f>
        <v>https://images.edocket.azcc.gov/docketpdf/E000046230.pdf</v>
      </c>
      <c r="N488" s="118" t="str">
        <f>IFERROR(INDEX('Docketed Comments'!N:N,MATCH(A488,'Docketed Comments'!H:H,0)),"")</f>
        <v>No</v>
      </c>
      <c r="O488" s="118" t="str">
        <f>IFERROR(INDEX('Docketed Comments'!L:L,MATCH(A488,'Docketed Comments'!H:H,0)),"")</f>
        <v>Yes</v>
      </c>
      <c r="P488" s="119">
        <f t="shared" si="14"/>
        <v>0</v>
      </c>
      <c r="Q488" s="60"/>
      <c r="R488" s="64" t="s">
        <v>75</v>
      </c>
      <c r="S488" s="64" t="s">
        <v>1089</v>
      </c>
    </row>
    <row r="489" spans="1:19" ht="21.95" customHeight="1">
      <c r="A489" s="66" t="s">
        <v>1090</v>
      </c>
      <c r="B489" s="64"/>
      <c r="C489" s="65"/>
      <c r="D489" s="64"/>
      <c r="E489" s="64"/>
      <c r="F489" s="60"/>
      <c r="G489" s="60" t="s">
        <v>88</v>
      </c>
      <c r="H489" s="60" t="str">
        <f>IFERROR(INDEX('Docketed Comments'!C:C,MATCH(A489,'Docketed Comments'!H:H,0))&amp;", "&amp;INDEX('Docketed Comments'!B:B,MATCH(A489,'Docketed Comments'!H:H,0)),"")</f>
        <v>Loren, Carson</v>
      </c>
      <c r="I489" s="60" t="str">
        <f>IFERROR(INDEX('Docketed Comments'!D:D,MATCH(A489,'Docketed Comments'!H:H,0)),"")</f>
        <v>Phoenix</v>
      </c>
      <c r="J489" s="60" t="str">
        <f>IFERROR(INDEX('Docketed Comments'!I:I,MATCH(A489,'Docketed Comments'!H:H,0)),"")</f>
        <v>RCPw/RTOUE47</v>
      </c>
      <c r="K489" s="60" t="str">
        <f t="shared" si="15"/>
        <v>✅ On Best Plan</v>
      </c>
      <c r="L489" s="60" t="str">
        <f>IFERROR(INDEX('Docketed Comments'!F:F,MATCH(A489,'Docketed Comments'!H:H,0)),"")</f>
        <v>Opposed, already paying grid access</v>
      </c>
      <c r="M489" s="120" t="str">
        <f>IFERROR(INDEX('Docketed Comments'!G:G,MATCH(A489,'Docketed Comments'!H:H,0)),"")</f>
        <v>https://images.edocket.azcc.gov/docketpdf/E000046230.pdf</v>
      </c>
      <c r="N489" s="118" t="str">
        <f>IFERROR(INDEX('Docketed Comments'!N:N,MATCH(A489,'Docketed Comments'!H:H,0)),"")</f>
        <v>No</v>
      </c>
      <c r="O489" s="118" t="str">
        <f>IFERROR(INDEX('Docketed Comments'!L:L,MATCH(A489,'Docketed Comments'!H:H,0)),"")</f>
        <v>Yes</v>
      </c>
      <c r="P489" s="119">
        <f t="shared" si="14"/>
        <v>0</v>
      </c>
      <c r="Q489" s="60"/>
      <c r="R489" s="64" t="s">
        <v>75</v>
      </c>
      <c r="S489" s="64" t="s">
        <v>1091</v>
      </c>
    </row>
    <row r="490" spans="1:19" ht="21.95" customHeight="1">
      <c r="A490" s="66" t="s">
        <v>1092</v>
      </c>
      <c r="B490" s="64"/>
      <c r="C490" s="65"/>
      <c r="D490" s="64"/>
      <c r="E490" s="64"/>
      <c r="F490" s="60"/>
      <c r="G490" s="60" t="s">
        <v>88</v>
      </c>
      <c r="H490" s="60" t="str">
        <f>IFERROR(INDEX('Docketed Comments'!C:C,MATCH(A490,'Docketed Comments'!H:H,0))&amp;", "&amp;INDEX('Docketed Comments'!B:B,MATCH(A490,'Docketed Comments'!H:H,0)),"")</f>
        <v>Beverly, Hanel</v>
      </c>
      <c r="I490" s="60" t="str">
        <f>IFERROR(INDEX('Docketed Comments'!D:D,MATCH(A490,'Docketed Comments'!H:H,0)),"")</f>
        <v>Goodyear</v>
      </c>
      <c r="J490" s="60" t="str">
        <f>IFERROR(INDEX('Docketed Comments'!I:I,MATCH(A490,'Docketed Comments'!H:H,0)),"")</f>
        <v>R-2</v>
      </c>
      <c r="K490" s="60" t="str">
        <f t="shared" si="15"/>
        <v>⚠ Frozen Rate</v>
      </c>
      <c r="L490" s="60" t="str">
        <f>IFERROR(INDEX('Docketed Comments'!F:F,MATCH(A490,'Docketed Comments'!H:H,0)),"")</f>
        <v>Data centers pay less that residential</v>
      </c>
      <c r="M490" s="120" t="str">
        <f>IFERROR(INDEX('Docketed Comments'!G:G,MATCH(A490,'Docketed Comments'!H:H,0)),"")</f>
        <v>https://images.edocket.azcc.gov/docketpdf/E000046230.pdf</v>
      </c>
      <c r="N490" s="118" t="str">
        <f>IFERROR(INDEX('Docketed Comments'!N:N,MATCH(A490,'Docketed Comments'!H:H,0)),"")</f>
        <v>No</v>
      </c>
      <c r="O490" s="118" t="str">
        <f>IFERROR(INDEX('Docketed Comments'!L:L,MATCH(A490,'Docketed Comments'!H:H,0)),"")</f>
        <v>Frozen Rate</v>
      </c>
      <c r="P490" s="119">
        <f t="shared" si="14"/>
        <v>0</v>
      </c>
      <c r="Q490" s="60"/>
      <c r="R490" s="64" t="s">
        <v>75</v>
      </c>
      <c r="S490" s="64" t="s">
        <v>1093</v>
      </c>
    </row>
    <row r="491" spans="1:19" ht="21.95" customHeight="1">
      <c r="A491" s="66" t="s">
        <v>1094</v>
      </c>
      <c r="B491" s="64"/>
      <c r="C491" s="65"/>
      <c r="D491" s="64"/>
      <c r="E491" s="64"/>
      <c r="F491" s="60"/>
      <c r="G491" s="60" t="s">
        <v>88</v>
      </c>
      <c r="H491" s="60" t="str">
        <f>IFERROR(INDEX('Docketed Comments'!C:C,MATCH(A491,'Docketed Comments'!H:H,0))&amp;", "&amp;INDEX('Docketed Comments'!B:B,MATCH(A491,'Docketed Comments'!H:H,0)),"")</f>
        <v>Anne, Hermida</v>
      </c>
      <c r="I491" s="60" t="str">
        <f>IFERROR(INDEX('Docketed Comments'!D:D,MATCH(A491,'Docketed Comments'!H:H,0)),"")</f>
        <v>Phoenix</v>
      </c>
      <c r="J491" s="60" t="str">
        <f>IFERROR(INDEX('Docketed Comments'!I:I,MATCH(A491,'Docketed Comments'!H:H,0)),"")</f>
        <v>R3-47</v>
      </c>
      <c r="K491" s="60" t="str">
        <f t="shared" si="15"/>
        <v>✅ On Best Plan</v>
      </c>
      <c r="L491" s="60" t="str">
        <f>IFERROR(INDEX('Docketed Comments'!F:F,MATCH(A491,'Docketed Comments'!H:H,0)),"")</f>
        <v>Opposed</v>
      </c>
      <c r="M491" s="120" t="str">
        <f>IFERROR(INDEX('Docketed Comments'!G:G,MATCH(A491,'Docketed Comments'!H:H,0)),"")</f>
        <v>https://images.edocket.azcc.gov/docketpdf/E000046230.pdf</v>
      </c>
      <c r="N491" s="118" t="str">
        <f>IFERROR(INDEX('Docketed Comments'!N:N,MATCH(A491,'Docketed Comments'!H:H,0)),"")</f>
        <v>No</v>
      </c>
      <c r="O491" s="118" t="str">
        <f>IFERROR(INDEX('Docketed Comments'!L:L,MATCH(A491,'Docketed Comments'!H:H,0)),"")</f>
        <v>Yes</v>
      </c>
      <c r="P491" s="119">
        <f t="shared" si="14"/>
        <v>0</v>
      </c>
      <c r="Q491" s="60"/>
      <c r="R491" s="64" t="s">
        <v>75</v>
      </c>
      <c r="S491" s="64" t="s">
        <v>1095</v>
      </c>
    </row>
    <row r="492" spans="1:19" ht="21.95" customHeight="1">
      <c r="A492" s="66" t="s">
        <v>1096</v>
      </c>
      <c r="B492" s="64"/>
      <c r="C492" s="65"/>
      <c r="D492" s="64"/>
      <c r="E492" s="64"/>
      <c r="F492" s="60"/>
      <c r="G492" s="60" t="s">
        <v>88</v>
      </c>
      <c r="H492" s="60" t="str">
        <f>IFERROR(INDEX('Docketed Comments'!C:C,MATCH(A492,'Docketed Comments'!H:H,0))&amp;", "&amp;INDEX('Docketed Comments'!B:B,MATCH(A492,'Docketed Comments'!H:H,0)),"")</f>
        <v>Rebecca, Schmidt</v>
      </c>
      <c r="I492" s="60" t="str">
        <f>IFERROR(INDEX('Docketed Comments'!D:D,MATCH(A492,'Docketed Comments'!H:H,0)),"")</f>
        <v>Chino Valley</v>
      </c>
      <c r="J492" s="60" t="str">
        <f>IFERROR(INDEX('Docketed Comments'!I:I,MATCH(A492,'Docketed Comments'!H:H,0)),"")</f>
        <v>R3-47</v>
      </c>
      <c r="K492" s="60" t="str">
        <f t="shared" si="15"/>
        <v>✅ On Best Plan</v>
      </c>
      <c r="L492" s="60" t="str">
        <f>IFERROR(INDEX('Docketed Comments'!F:F,MATCH(A492,'Docketed Comments'!H:H,0)),"")</f>
        <v>Opposed</v>
      </c>
      <c r="M492" s="120" t="str">
        <f>IFERROR(INDEX('Docketed Comments'!G:G,MATCH(A492,'Docketed Comments'!H:H,0)),"")</f>
        <v>https://images.edocket.azcc.gov/docketpdf/E000046230.pdf</v>
      </c>
      <c r="N492" s="118" t="str">
        <f>IFERROR(INDEX('Docketed Comments'!N:N,MATCH(A492,'Docketed Comments'!H:H,0)),"")</f>
        <v>No</v>
      </c>
      <c r="O492" s="118" t="str">
        <f>IFERROR(INDEX('Docketed Comments'!L:L,MATCH(A492,'Docketed Comments'!H:H,0)),"")</f>
        <v>Yes</v>
      </c>
      <c r="P492" s="119">
        <f t="shared" si="14"/>
        <v>0</v>
      </c>
      <c r="Q492" s="60"/>
      <c r="R492" s="64" t="s">
        <v>75</v>
      </c>
      <c r="S492" s="64" t="s">
        <v>1097</v>
      </c>
    </row>
    <row r="493" spans="1:19" ht="21.95" customHeight="1">
      <c r="A493" s="66" t="s">
        <v>1098</v>
      </c>
      <c r="B493" s="64"/>
      <c r="C493" s="65"/>
      <c r="D493" s="64"/>
      <c r="E493" s="64"/>
      <c r="F493" s="60"/>
      <c r="G493" s="60" t="s">
        <v>88</v>
      </c>
      <c r="H493" s="60" t="str">
        <f>IFERROR(INDEX('Docketed Comments'!C:C,MATCH(A493,'Docketed Comments'!H:H,0))&amp;", "&amp;INDEX('Docketed Comments'!B:B,MATCH(A493,'Docketed Comments'!H:H,0)),"")</f>
        <v>Corey, Campbell</v>
      </c>
      <c r="I493" s="60" t="str">
        <f>IFERROR(INDEX('Docketed Comments'!D:D,MATCH(A493,'Docketed Comments'!H:H,0)),"")</f>
        <v>Phoenix</v>
      </c>
      <c r="J493" s="60" t="str">
        <f>IFERROR(INDEX('Docketed Comments'!I:I,MATCH(A493,'Docketed Comments'!H:H,0)),"")</f>
        <v>R-XS</v>
      </c>
      <c r="K493" s="60" t="str">
        <f t="shared" si="15"/>
        <v>✅ On Best Plan</v>
      </c>
      <c r="L493" s="60" t="str">
        <f>IFERROR(INDEX('Docketed Comments'!F:F,MATCH(A493,'Docketed Comments'!H:H,0)),"")</f>
        <v>Form letter</v>
      </c>
      <c r="M493" s="120" t="str">
        <f>IFERROR(INDEX('Docketed Comments'!G:G,MATCH(A493,'Docketed Comments'!H:H,0)),"")</f>
        <v>https://images.edocket.azcc.gov/docketpdf/E000046230.pdf</v>
      </c>
      <c r="N493" s="118" t="str">
        <f>IFERROR(INDEX('Docketed Comments'!N:N,MATCH(A493,'Docketed Comments'!H:H,0)),"")</f>
        <v>No</v>
      </c>
      <c r="O493" s="118" t="str">
        <f>IFERROR(INDEX('Docketed Comments'!L:L,MATCH(A493,'Docketed Comments'!H:H,0)),"")</f>
        <v>Yes</v>
      </c>
      <c r="P493" s="119">
        <f t="shared" si="14"/>
        <v>0</v>
      </c>
      <c r="Q493" s="60"/>
      <c r="R493" s="64" t="s">
        <v>75</v>
      </c>
      <c r="S493" s="64" t="s">
        <v>1099</v>
      </c>
    </row>
    <row r="494" spans="1:19" ht="21.95" customHeight="1">
      <c r="A494" s="66" t="s">
        <v>1100</v>
      </c>
      <c r="B494" s="64"/>
      <c r="C494" s="65"/>
      <c r="D494" s="64"/>
      <c r="E494" s="64"/>
      <c r="F494" s="60"/>
      <c r="G494" s="60" t="s">
        <v>88</v>
      </c>
      <c r="H494" s="60" t="str">
        <f>IFERROR(INDEX('Docketed Comments'!C:C,MATCH(A494,'Docketed Comments'!H:H,0))&amp;", "&amp;INDEX('Docketed Comments'!B:B,MATCH(A494,'Docketed Comments'!H:H,0)),"")</f>
        <v>Melodie, Scallorns</v>
      </c>
      <c r="I494" s="60" t="str">
        <f>IFERROR(INDEX('Docketed Comments'!D:D,MATCH(A494,'Docketed Comments'!H:H,0)),"")</f>
        <v>Phoenix</v>
      </c>
      <c r="J494" s="60" t="str">
        <f>IFERROR(INDEX('Docketed Comments'!I:I,MATCH(A494,'Docketed Comments'!H:H,0)),"")</f>
        <v>R-XS</v>
      </c>
      <c r="K494" s="60" t="str">
        <f t="shared" si="15"/>
        <v>✅ On Best Plan</v>
      </c>
      <c r="L494" s="60" t="str">
        <f>IFERROR(INDEX('Docketed Comments'!F:F,MATCH(A494,'Docketed Comments'!H:H,0)),"")</f>
        <v>Form letter</v>
      </c>
      <c r="M494" s="120" t="str">
        <f>IFERROR(INDEX('Docketed Comments'!G:G,MATCH(A494,'Docketed Comments'!H:H,0)),"")</f>
        <v>https://images.edocket.azcc.gov/docketpdf/E000046230.pdf</v>
      </c>
      <c r="N494" s="118" t="str">
        <f>IFERROR(INDEX('Docketed Comments'!N:N,MATCH(A494,'Docketed Comments'!H:H,0)),"")</f>
        <v>No</v>
      </c>
      <c r="O494" s="118" t="str">
        <f>IFERROR(INDEX('Docketed Comments'!L:L,MATCH(A494,'Docketed Comments'!H:H,0)),"")</f>
        <v>Yes</v>
      </c>
      <c r="P494" s="119">
        <f t="shared" si="14"/>
        <v>0</v>
      </c>
      <c r="Q494" s="60"/>
      <c r="R494" s="64" t="s">
        <v>75</v>
      </c>
      <c r="S494" s="64" t="s">
        <v>1101</v>
      </c>
    </row>
    <row r="495" spans="1:19" ht="21.95" customHeight="1">
      <c r="A495" s="66" t="s">
        <v>1102</v>
      </c>
      <c r="B495" s="64"/>
      <c r="C495" s="65"/>
      <c r="D495" s="64"/>
      <c r="E495" s="64"/>
      <c r="F495" s="60"/>
      <c r="G495" s="60" t="s">
        <v>88</v>
      </c>
      <c r="H495" s="60" t="str">
        <f>IFERROR(INDEX('Docketed Comments'!C:C,MATCH(A495,'Docketed Comments'!H:H,0))&amp;", "&amp;INDEX('Docketed Comments'!B:B,MATCH(A495,'Docketed Comments'!H:H,0)),"")</f>
        <v>Geoffery, Hoffa</v>
      </c>
      <c r="I495" s="60" t="str">
        <f>IFERROR(INDEX('Docketed Comments'!D:D,MATCH(A495,'Docketed Comments'!H:H,0)),"")</f>
        <v>Phoenix</v>
      </c>
      <c r="J495" s="60" t="str">
        <f>IFERROR(INDEX('Docketed Comments'!I:I,MATCH(A495,'Docketed Comments'!H:H,0)),"")</f>
        <v>R3-47</v>
      </c>
      <c r="K495" s="60" t="str">
        <f t="shared" si="15"/>
        <v>✅ On Best Plan</v>
      </c>
      <c r="L495" s="60" t="str">
        <f>IFERROR(INDEX('Docketed Comments'!F:F,MATCH(A495,'Docketed Comments'!H:H,0)),"")</f>
        <v>Opposed</v>
      </c>
      <c r="M495" s="120" t="str">
        <f>IFERROR(INDEX('Docketed Comments'!G:G,MATCH(A495,'Docketed Comments'!H:H,0)),"")</f>
        <v>https://images.edocket.azcc.gov/docketpdf/E000046230.pdf</v>
      </c>
      <c r="N495" s="118" t="str">
        <f>IFERROR(INDEX('Docketed Comments'!N:N,MATCH(A495,'Docketed Comments'!H:H,0)),"")</f>
        <v>No</v>
      </c>
      <c r="O495" s="118" t="str">
        <f>IFERROR(INDEX('Docketed Comments'!L:L,MATCH(A495,'Docketed Comments'!H:H,0)),"")</f>
        <v>Yes</v>
      </c>
      <c r="P495" s="119">
        <f t="shared" si="14"/>
        <v>0</v>
      </c>
      <c r="Q495" s="60"/>
      <c r="R495" s="64" t="s">
        <v>75</v>
      </c>
      <c r="S495" s="64" t="s">
        <v>1103</v>
      </c>
    </row>
    <row r="496" spans="1:19" ht="21.95" customHeight="1">
      <c r="A496" s="66" t="s">
        <v>1104</v>
      </c>
      <c r="B496" s="64"/>
      <c r="C496" s="65"/>
      <c r="D496" s="64"/>
      <c r="E496" s="64"/>
      <c r="F496" s="60"/>
      <c r="G496" s="60" t="s">
        <v>88</v>
      </c>
      <c r="H496" s="60" t="str">
        <f>IFERROR(INDEX('Docketed Comments'!C:C,MATCH(A496,'Docketed Comments'!H:H,0))&amp;", "&amp;INDEX('Docketed Comments'!B:B,MATCH(A496,'Docketed Comments'!H:H,0)),"")</f>
        <v>Levi, McAdams</v>
      </c>
      <c r="I496" s="60" t="str">
        <f>IFERROR(INDEX('Docketed Comments'!D:D,MATCH(A496,'Docketed Comments'!H:H,0)),"")</f>
        <v>Phoenix</v>
      </c>
      <c r="J496" s="60" t="str">
        <f>IFERROR(INDEX('Docketed Comments'!I:I,MATCH(A496,'Docketed Comments'!H:H,0)),"")</f>
        <v>R-XS</v>
      </c>
      <c r="K496" s="60" t="str">
        <f t="shared" si="15"/>
        <v>✅ On Best Plan</v>
      </c>
      <c r="L496" s="60" t="str">
        <f>IFERROR(INDEX('Docketed Comments'!F:F,MATCH(A496,'Docketed Comments'!H:H,0)),"")</f>
        <v>Form letter</v>
      </c>
      <c r="M496" s="120" t="str">
        <f>IFERROR(INDEX('Docketed Comments'!G:G,MATCH(A496,'Docketed Comments'!H:H,0)),"")</f>
        <v>https://images.edocket.azcc.gov/docketpdf/E000046230.pdf</v>
      </c>
      <c r="N496" s="118" t="str">
        <f>IFERROR(INDEX('Docketed Comments'!N:N,MATCH(A496,'Docketed Comments'!H:H,0)),"")</f>
        <v>No</v>
      </c>
      <c r="O496" s="118" t="str">
        <f>IFERROR(INDEX('Docketed Comments'!L:L,MATCH(A496,'Docketed Comments'!H:H,0)),"")</f>
        <v>Yes</v>
      </c>
      <c r="P496" s="119">
        <f t="shared" si="14"/>
        <v>0</v>
      </c>
      <c r="Q496" s="60"/>
      <c r="R496" s="64" t="s">
        <v>75</v>
      </c>
      <c r="S496" s="64" t="s">
        <v>1105</v>
      </c>
    </row>
    <row r="497" spans="1:19" ht="21.95" customHeight="1">
      <c r="A497" s="66" t="s">
        <v>1106</v>
      </c>
      <c r="B497" s="64"/>
      <c r="C497" s="65"/>
      <c r="D497" s="64"/>
      <c r="E497" s="64"/>
      <c r="F497" s="60"/>
      <c r="G497" s="60" t="s">
        <v>88</v>
      </c>
      <c r="H497" s="60" t="str">
        <f>IFERROR(INDEX('Docketed Comments'!C:C,MATCH(A497,'Docketed Comments'!H:H,0))&amp;", "&amp;INDEX('Docketed Comments'!B:B,MATCH(A497,'Docketed Comments'!H:H,0)),"")</f>
        <v>Jonathan, Court</v>
      </c>
      <c r="I497" s="60" t="str">
        <f>IFERROR(INDEX('Docketed Comments'!D:D,MATCH(A497,'Docketed Comments'!H:H,0)),"")</f>
        <v>Phoenix</v>
      </c>
      <c r="J497" s="60" t="str">
        <f>IFERROR(INDEX('Docketed Comments'!I:I,MATCH(A497,'Docketed Comments'!H:H,0)),"")</f>
        <v>EPR-6w/E-12</v>
      </c>
      <c r="K497" s="60" t="str">
        <f t="shared" si="15"/>
        <v>⚠ Frozen Rate</v>
      </c>
      <c r="L497" s="60" t="str">
        <f>IFERROR(INDEX('Docketed Comments'!F:F,MATCH(A497,'Docketed Comments'!H:H,0)),"")</f>
        <v>Charge companies running massive data centers instead</v>
      </c>
      <c r="M497" s="120" t="str">
        <f>IFERROR(INDEX('Docketed Comments'!G:G,MATCH(A497,'Docketed Comments'!H:H,0)),"")</f>
        <v>https://images.edocket.azcc.gov/docketpdf/E000046230.pdf</v>
      </c>
      <c r="N497" s="118" t="str">
        <f>IFERROR(INDEX('Docketed Comments'!N:N,MATCH(A497,'Docketed Comments'!H:H,0)),"")</f>
        <v>No</v>
      </c>
      <c r="O497" s="118" t="str">
        <f>IFERROR(INDEX('Docketed Comments'!L:L,MATCH(A497,'Docketed Comments'!H:H,0)),"")</f>
        <v>Frozen Rate</v>
      </c>
      <c r="P497" s="119">
        <f t="shared" si="14"/>
        <v>0</v>
      </c>
      <c r="Q497" s="60"/>
      <c r="R497" s="64" t="s">
        <v>75</v>
      </c>
      <c r="S497" s="64" t="s">
        <v>1107</v>
      </c>
    </row>
    <row r="498" spans="1:19" ht="21.95" customHeight="1">
      <c r="A498" s="66" t="s">
        <v>1108</v>
      </c>
      <c r="B498" s="64"/>
      <c r="C498" s="65"/>
      <c r="D498" s="64"/>
      <c r="E498" s="64"/>
      <c r="F498" s="60"/>
      <c r="G498" s="60" t="s">
        <v>88</v>
      </c>
      <c r="H498" s="60" t="str">
        <f>IFERROR(INDEX('Docketed Comments'!C:C,MATCH(A498,'Docketed Comments'!H:H,0))&amp;", "&amp;INDEX('Docketed Comments'!B:B,MATCH(A498,'Docketed Comments'!H:H,0)),"")</f>
        <v>Karen, Stroup</v>
      </c>
      <c r="I498" s="60" t="str">
        <f>IFERROR(INDEX('Docketed Comments'!D:D,MATCH(A498,'Docketed Comments'!H:H,0)),"")</f>
        <v>Goodyear</v>
      </c>
      <c r="J498" s="60" t="str">
        <f>IFERROR(INDEX('Docketed Comments'!I:I,MATCH(A498,'Docketed Comments'!H:H,0)),"")</f>
        <v>R-BASIC</v>
      </c>
      <c r="K498" s="60" t="str">
        <f t="shared" si="15"/>
        <v>✅ On Best Plan</v>
      </c>
      <c r="L498" s="60" t="str">
        <f>IFERROR(INDEX('Docketed Comments'!F:F,MATCH(A498,'Docketed Comments'!H:H,0)),"")</f>
        <v>Opposed</v>
      </c>
      <c r="M498" s="120" t="str">
        <f>IFERROR(INDEX('Docketed Comments'!G:G,MATCH(A498,'Docketed Comments'!H:H,0)),"")</f>
        <v>https://images.edocket.azcc.gov/docketpdf/E000046230.pdf</v>
      </c>
      <c r="N498" s="118" t="str">
        <f>IFERROR(INDEX('Docketed Comments'!N:N,MATCH(A498,'Docketed Comments'!H:H,0)),"")</f>
        <v>No</v>
      </c>
      <c r="O498" s="118" t="str">
        <f>IFERROR(INDEX('Docketed Comments'!L:L,MATCH(A498,'Docketed Comments'!H:H,0)),"")</f>
        <v>Yes</v>
      </c>
      <c r="P498" s="119">
        <f t="shared" si="14"/>
        <v>0</v>
      </c>
      <c r="Q498" s="60"/>
      <c r="R498" s="64" t="s">
        <v>75</v>
      </c>
      <c r="S498" s="64" t="s">
        <v>1109</v>
      </c>
    </row>
    <row r="499" spans="1:19" ht="21.95" customHeight="1">
      <c r="A499" s="66" t="s">
        <v>1110</v>
      </c>
      <c r="B499" s="64"/>
      <c r="C499" s="65"/>
      <c r="D499" s="64"/>
      <c r="E499" s="64"/>
      <c r="F499" s="60"/>
      <c r="G499" s="60" t="s">
        <v>88</v>
      </c>
      <c r="H499" s="60" t="str">
        <f>IFERROR(INDEX('Docketed Comments'!C:C,MATCH(A499,'Docketed Comments'!H:H,0))&amp;", "&amp;INDEX('Docketed Comments'!B:B,MATCH(A499,'Docketed Comments'!H:H,0)),"")</f>
        <v>Steven, Fortson</v>
      </c>
      <c r="I499" s="60" t="str">
        <f>IFERROR(INDEX('Docketed Comments'!D:D,MATCH(A499,'Docketed Comments'!H:H,0)),"")</f>
        <v>Eloy</v>
      </c>
      <c r="J499" s="60" t="str">
        <f>IFERROR(INDEX('Docketed Comments'!I:I,MATCH(A499,'Docketed Comments'!H:H,0)),"")</f>
        <v>R-2</v>
      </c>
      <c r="K499" s="60" t="str">
        <f t="shared" si="15"/>
        <v>⚠ Frozen Rate</v>
      </c>
      <c r="L499" s="60" t="str">
        <f>IFERROR(INDEX('Docketed Comments'!F:F,MATCH(A499,'Docketed Comments'!H:H,0)),"")</f>
        <v>Form letter</v>
      </c>
      <c r="M499" s="120" t="str">
        <f>IFERROR(INDEX('Docketed Comments'!G:G,MATCH(A499,'Docketed Comments'!H:H,0)),"")</f>
        <v>https://images.edocket.azcc.gov/docketpdf/E000046230.pdf</v>
      </c>
      <c r="N499" s="118" t="str">
        <f>IFERROR(INDEX('Docketed Comments'!N:N,MATCH(A499,'Docketed Comments'!H:H,0)),"")</f>
        <v>No</v>
      </c>
      <c r="O499" s="118" t="str">
        <f>IFERROR(INDEX('Docketed Comments'!L:L,MATCH(A499,'Docketed Comments'!H:H,0)),"")</f>
        <v>Frozen Rate</v>
      </c>
      <c r="P499" s="119">
        <f t="shared" si="14"/>
        <v>0</v>
      </c>
      <c r="Q499" s="60"/>
      <c r="R499" s="64" t="s">
        <v>75</v>
      </c>
      <c r="S499" s="64" t="s">
        <v>1111</v>
      </c>
    </row>
    <row r="500" spans="1:19" ht="21.95" customHeight="1">
      <c r="A500" s="66" t="s">
        <v>1112</v>
      </c>
      <c r="B500" s="64"/>
      <c r="C500" s="65"/>
      <c r="D500" s="64"/>
      <c r="E500" s="64"/>
      <c r="F500" s="60"/>
      <c r="G500" s="60" t="s">
        <v>88</v>
      </c>
      <c r="H500" s="60" t="str">
        <f>IFERROR(INDEX('Docketed Comments'!C:C,MATCH(A500,'Docketed Comments'!H:H,0))&amp;", "&amp;INDEX('Docketed Comments'!B:B,MATCH(A500,'Docketed Comments'!H:H,0)),"")</f>
        <v>Clint, Walker</v>
      </c>
      <c r="I500" s="60" t="str">
        <f>IFERROR(INDEX('Docketed Comments'!D:D,MATCH(A500,'Docketed Comments'!H:H,0)),"")</f>
        <v>Scottsdale</v>
      </c>
      <c r="J500" s="60" t="str">
        <f>IFERROR(INDEX('Docketed Comments'!I:I,MATCH(A500,'Docketed Comments'!H:H,0)),"")</f>
        <v>R3-47</v>
      </c>
      <c r="K500" s="60" t="str">
        <f t="shared" si="15"/>
        <v>✅ On Best Plan</v>
      </c>
      <c r="L500" s="60" t="str">
        <f>IFERROR(INDEX('Docketed Comments'!F:F,MATCH(A500,'Docketed Comments'!H:H,0)),"")</f>
        <v>Form letter</v>
      </c>
      <c r="M500" s="120" t="str">
        <f>IFERROR(INDEX('Docketed Comments'!G:G,MATCH(A500,'Docketed Comments'!H:H,0)),"")</f>
        <v>https://images.edocket.azcc.gov/docketpdf/E000046230.pdf</v>
      </c>
      <c r="N500" s="118" t="str">
        <f>IFERROR(INDEX('Docketed Comments'!N:N,MATCH(A500,'Docketed Comments'!H:H,0)),"")</f>
        <v>No</v>
      </c>
      <c r="O500" s="118" t="str">
        <f>IFERROR(INDEX('Docketed Comments'!L:L,MATCH(A500,'Docketed Comments'!H:H,0)),"")</f>
        <v>Yes</v>
      </c>
      <c r="P500" s="119">
        <f t="shared" si="14"/>
        <v>0</v>
      </c>
      <c r="Q500" s="60"/>
      <c r="R500" s="64" t="s">
        <v>75</v>
      </c>
      <c r="S500" s="64" t="s">
        <v>1113</v>
      </c>
    </row>
    <row r="501" spans="1:19" ht="21.95" customHeight="1">
      <c r="A501" s="66" t="s">
        <v>1114</v>
      </c>
      <c r="B501" s="64"/>
      <c r="C501" s="65"/>
      <c r="D501" s="64"/>
      <c r="E501" s="64"/>
      <c r="F501" s="60"/>
      <c r="G501" s="60" t="s">
        <v>88</v>
      </c>
      <c r="H501" s="60" t="str">
        <f>IFERROR(INDEX('Docketed Comments'!C:C,MATCH(A501,'Docketed Comments'!H:H,0))&amp;", "&amp;INDEX('Docketed Comments'!B:B,MATCH(A501,'Docketed Comments'!H:H,0)),"")</f>
        <v>Louis, Glass</v>
      </c>
      <c r="I501" s="60" t="str">
        <f>IFERROR(INDEX('Docketed Comments'!D:D,MATCH(A501,'Docketed Comments'!H:H,0)),"")</f>
        <v>Phoenix</v>
      </c>
      <c r="J501" s="60" t="str">
        <f>IFERROR(INDEX('Docketed Comments'!I:I,MATCH(A501,'Docketed Comments'!H:H,0)),"")</f>
        <v>R3-47</v>
      </c>
      <c r="K501" s="60" t="str">
        <f t="shared" si="15"/>
        <v>✅ On Best Plan</v>
      </c>
      <c r="L501" s="60" t="str">
        <f>IFERROR(INDEX('Docketed Comments'!F:F,MATCH(A501,'Docketed Comments'!H:H,0)),"")</f>
        <v>Opposed</v>
      </c>
      <c r="M501" s="120" t="str">
        <f>IFERROR(INDEX('Docketed Comments'!G:G,MATCH(A501,'Docketed Comments'!H:H,0)),"")</f>
        <v>https://images.edocket.azcc.gov/docketpdf/E000046230.pdf</v>
      </c>
      <c r="N501" s="118" t="str">
        <f>IFERROR(INDEX('Docketed Comments'!N:N,MATCH(A501,'Docketed Comments'!H:H,0)),"")</f>
        <v>No</v>
      </c>
      <c r="O501" s="118" t="str">
        <f>IFERROR(INDEX('Docketed Comments'!L:L,MATCH(A501,'Docketed Comments'!H:H,0)),"")</f>
        <v>Yes</v>
      </c>
      <c r="P501" s="119">
        <f t="shared" si="14"/>
        <v>0</v>
      </c>
      <c r="Q501" s="60"/>
      <c r="R501" s="64" t="s">
        <v>75</v>
      </c>
      <c r="S501" s="64" t="s">
        <v>1115</v>
      </c>
    </row>
    <row r="502" spans="1:19" ht="21.95" customHeight="1">
      <c r="A502" s="66" t="s">
        <v>1116</v>
      </c>
      <c r="B502" s="64"/>
      <c r="C502" s="65"/>
      <c r="D502" s="64"/>
      <c r="E502" s="64"/>
      <c r="F502" s="60"/>
      <c r="G502" s="60" t="s">
        <v>88</v>
      </c>
      <c r="H502" s="60" t="str">
        <f>IFERROR(INDEX('Docketed Comments'!C:C,MATCH(A502,'Docketed Comments'!H:H,0))&amp;", "&amp;INDEX('Docketed Comments'!B:B,MATCH(A502,'Docketed Comments'!H:H,0)),"")</f>
        <v>Sherri, Beltz</v>
      </c>
      <c r="I502" s="60" t="str">
        <f>IFERROR(INDEX('Docketed Comments'!D:D,MATCH(A502,'Docketed Comments'!H:H,0)),"")</f>
        <v>Goodyear</v>
      </c>
      <c r="J502" s="60" t="str">
        <f>IFERROR(INDEX('Docketed Comments'!I:I,MATCH(A502,'Docketed Comments'!H:H,0)),"")</f>
        <v>R3-47</v>
      </c>
      <c r="K502" s="60" t="str">
        <f t="shared" si="15"/>
        <v>✅ On Best Plan</v>
      </c>
      <c r="L502" s="60" t="str">
        <f>IFERROR(INDEX('Docketed Comments'!F:F,MATCH(A502,'Docketed Comments'!H:H,0)),"")</f>
        <v>Strongly opposed</v>
      </c>
      <c r="M502" s="120" t="str">
        <f>IFERROR(INDEX('Docketed Comments'!G:G,MATCH(A502,'Docketed Comments'!H:H,0)),"")</f>
        <v>https://images.edocket.azcc.gov/docketpdf/E000046230.pdf</v>
      </c>
      <c r="N502" s="118" t="str">
        <f>IFERROR(INDEX('Docketed Comments'!N:N,MATCH(A502,'Docketed Comments'!H:H,0)),"")</f>
        <v>No</v>
      </c>
      <c r="O502" s="118" t="str">
        <f>IFERROR(INDEX('Docketed Comments'!L:L,MATCH(A502,'Docketed Comments'!H:H,0)),"")</f>
        <v>Yes</v>
      </c>
      <c r="P502" s="119">
        <f t="shared" si="14"/>
        <v>0</v>
      </c>
      <c r="Q502" s="60"/>
      <c r="R502" s="64" t="s">
        <v>75</v>
      </c>
      <c r="S502" s="64" t="s">
        <v>1117</v>
      </c>
    </row>
    <row r="503" spans="1:19" ht="21.95" customHeight="1">
      <c r="A503" s="66" t="s">
        <v>1118</v>
      </c>
      <c r="B503" s="64"/>
      <c r="C503" s="65"/>
      <c r="D503" s="64"/>
      <c r="E503" s="64"/>
      <c r="F503" s="60"/>
      <c r="G503" s="60" t="s">
        <v>88</v>
      </c>
      <c r="H503" s="60" t="str">
        <f>IFERROR(INDEX('Docketed Comments'!C:C,MATCH(A503,'Docketed Comments'!H:H,0))&amp;", "&amp;INDEX('Docketed Comments'!B:B,MATCH(A503,'Docketed Comments'!H:H,0)),"")</f>
        <v>Dale, Sies</v>
      </c>
      <c r="I503" s="60" t="str">
        <f>IFERROR(INDEX('Docketed Comments'!D:D,MATCH(A503,'Docketed Comments'!H:H,0)),"")</f>
        <v>Goodyear</v>
      </c>
      <c r="J503" s="60" t="str">
        <f>IFERROR(INDEX('Docketed Comments'!I:I,MATCH(A503,'Docketed Comments'!H:H,0)),"")</f>
        <v>R3-47</v>
      </c>
      <c r="K503" s="60" t="str">
        <f t="shared" si="15"/>
        <v>✅ On Best Plan</v>
      </c>
      <c r="L503" s="60" t="str">
        <f>IFERROR(INDEX('Docketed Comments'!F:F,MATCH(A503,'Docketed Comments'!H:H,0)),"")</f>
        <v>Negative impact on our household</v>
      </c>
      <c r="M503" s="120" t="str">
        <f>IFERROR(INDEX('Docketed Comments'!G:G,MATCH(A503,'Docketed Comments'!H:H,0)),"")</f>
        <v>https://images.edocket.azcc.gov/docketpdf/E000046230.pdf</v>
      </c>
      <c r="N503" s="118" t="str">
        <f>IFERROR(INDEX('Docketed Comments'!N:N,MATCH(A503,'Docketed Comments'!H:H,0)),"")</f>
        <v>No</v>
      </c>
      <c r="O503" s="118" t="str">
        <f>IFERROR(INDEX('Docketed Comments'!L:L,MATCH(A503,'Docketed Comments'!H:H,0)),"")</f>
        <v>Yes</v>
      </c>
      <c r="P503" s="119">
        <f t="shared" si="14"/>
        <v>0</v>
      </c>
      <c r="Q503" s="60"/>
      <c r="R503" s="64" t="s">
        <v>75</v>
      </c>
      <c r="S503" s="64" t="s">
        <v>1119</v>
      </c>
    </row>
    <row r="504" spans="1:19" ht="21.95" customHeight="1">
      <c r="A504" s="66" t="s">
        <v>1120</v>
      </c>
      <c r="B504" s="64"/>
      <c r="C504" s="65"/>
      <c r="D504" s="64"/>
      <c r="E504" s="64"/>
      <c r="F504" s="60"/>
      <c r="G504" s="60" t="s">
        <v>88</v>
      </c>
      <c r="H504" s="60" t="str">
        <f>IFERROR(INDEX('Docketed Comments'!C:C,MATCH(A504,'Docketed Comments'!H:H,0))&amp;", "&amp;INDEX('Docketed Comments'!B:B,MATCH(A504,'Docketed Comments'!H:H,0)),"")</f>
        <v>Nicole, Phillips</v>
      </c>
      <c r="I504" s="60" t="str">
        <f>IFERROR(INDEX('Docketed Comments'!D:D,MATCH(A504,'Docketed Comments'!H:H,0)),"")</f>
        <v>Phoenix</v>
      </c>
      <c r="J504" s="60" t="str">
        <f>IFERROR(INDEX('Docketed Comments'!I:I,MATCH(A504,'Docketed Comments'!H:H,0)),"")</f>
        <v>R-XS</v>
      </c>
      <c r="K504" s="60" t="str">
        <f t="shared" si="15"/>
        <v>✅ On Best Plan</v>
      </c>
      <c r="L504" s="60" t="str">
        <f>IFERROR(INDEX('Docketed Comments'!F:F,MATCH(A504,'Docketed Comments'!H:H,0)),"")</f>
        <v>Opposed</v>
      </c>
      <c r="M504" s="120" t="str">
        <f>IFERROR(INDEX('Docketed Comments'!G:G,MATCH(A504,'Docketed Comments'!H:H,0)),"")</f>
        <v>https://images.edocket.azcc.gov/docketpdf/E000046230.pdf</v>
      </c>
      <c r="N504" s="118" t="str">
        <f>IFERROR(INDEX('Docketed Comments'!N:N,MATCH(A504,'Docketed Comments'!H:H,0)),"")</f>
        <v>No</v>
      </c>
      <c r="O504" s="118" t="str">
        <f>IFERROR(INDEX('Docketed Comments'!L:L,MATCH(A504,'Docketed Comments'!H:H,0)),"")</f>
        <v>Yes</v>
      </c>
      <c r="P504" s="119">
        <f t="shared" si="14"/>
        <v>0</v>
      </c>
      <c r="Q504" s="60"/>
      <c r="R504" s="64" t="s">
        <v>75</v>
      </c>
      <c r="S504" s="64" t="s">
        <v>1121</v>
      </c>
    </row>
    <row r="505" spans="1:19" ht="21.95" customHeight="1">
      <c r="A505" s="66" t="s">
        <v>1122</v>
      </c>
      <c r="B505" s="64"/>
      <c r="C505" s="65"/>
      <c r="D505" s="64"/>
      <c r="E505" s="64"/>
      <c r="F505" s="60"/>
      <c r="G505" s="60" t="s">
        <v>88</v>
      </c>
      <c r="H505" s="60" t="str">
        <f>IFERROR(INDEX('Docketed Comments'!C:C,MATCH(A505,'Docketed Comments'!H:H,0))&amp;", "&amp;INDEX('Docketed Comments'!B:B,MATCH(A505,'Docketed Comments'!H:H,0)),"")</f>
        <v>Maurice, Pennington</v>
      </c>
      <c r="I505" s="60" t="str">
        <f>IFERROR(INDEX('Docketed Comments'!D:D,MATCH(A505,'Docketed Comments'!H:H,0)),"")</f>
        <v>Buckeye</v>
      </c>
      <c r="J505" s="60" t="str">
        <f>IFERROR(INDEX('Docketed Comments'!I:I,MATCH(A505,'Docketed Comments'!H:H,0)),"")</f>
        <v>RTOUE47</v>
      </c>
      <c r="K505" s="60" t="str">
        <f t="shared" si="15"/>
        <v>✅ On Best Plan</v>
      </c>
      <c r="L505" s="60" t="str">
        <f>IFERROR(INDEX('Docketed Comments'!F:F,MATCH(A505,'Docketed Comments'!H:H,0)),"")</f>
        <v>Opposed</v>
      </c>
      <c r="M505" s="120" t="str">
        <f>IFERROR(INDEX('Docketed Comments'!G:G,MATCH(A505,'Docketed Comments'!H:H,0)),"")</f>
        <v>https://images.edocket.azcc.gov/docketpdf/E000046230.pdf</v>
      </c>
      <c r="N505" s="118" t="str">
        <f>IFERROR(INDEX('Docketed Comments'!N:N,MATCH(A505,'Docketed Comments'!H:H,0)),"")</f>
        <v>No</v>
      </c>
      <c r="O505" s="118" t="str">
        <f>IFERROR(INDEX('Docketed Comments'!L:L,MATCH(A505,'Docketed Comments'!H:H,0)),"")</f>
        <v>Yes</v>
      </c>
      <c r="P505" s="119">
        <f t="shared" si="14"/>
        <v>0</v>
      </c>
      <c r="Q505" s="60"/>
      <c r="R505" s="64" t="s">
        <v>75</v>
      </c>
      <c r="S505" s="124" t="s">
        <v>1123</v>
      </c>
    </row>
    <row r="506" spans="1:19" ht="21.95" customHeight="1">
      <c r="A506" s="66" t="s">
        <v>1124</v>
      </c>
      <c r="B506" s="64"/>
      <c r="C506" s="65"/>
      <c r="D506" s="64"/>
      <c r="E506" s="64"/>
      <c r="F506" s="60"/>
      <c r="G506" s="60" t="s">
        <v>88</v>
      </c>
      <c r="H506" s="60" t="str">
        <f>IFERROR(INDEX('Docketed Comments'!C:C,MATCH(A506,'Docketed Comments'!H:H,0))&amp;", "&amp;INDEX('Docketed Comments'!B:B,MATCH(A506,'Docketed Comments'!H:H,0)),"")</f>
        <v>Kondal, Devarapu</v>
      </c>
      <c r="I506" s="60" t="str">
        <f>IFERROR(INDEX('Docketed Comments'!D:D,MATCH(A506,'Docketed Comments'!H:H,0)),"")</f>
        <v>Phoenix</v>
      </c>
      <c r="J506" s="60" t="str">
        <f>IFERROR(INDEX('Docketed Comments'!I:I,MATCH(A506,'Docketed Comments'!H:H,0)),"")</f>
        <v>RCPw/RTOUE47</v>
      </c>
      <c r="K506" s="60" t="str">
        <f t="shared" si="15"/>
        <v>✅ On Best Plan</v>
      </c>
      <c r="L506" s="60" t="str">
        <f>IFERROR(INDEX('Docketed Comments'!F:F,MATCH(A506,'Docketed Comments'!H:H,0)),"")</f>
        <v>Form letter</v>
      </c>
      <c r="M506" s="120" t="str">
        <f>IFERROR(INDEX('Docketed Comments'!G:G,MATCH(A506,'Docketed Comments'!H:H,0)),"")</f>
        <v>https://images.edocket.azcc.gov/docketpdf/E000046230.pdf</v>
      </c>
      <c r="N506" s="118" t="str">
        <f>IFERROR(INDEX('Docketed Comments'!N:N,MATCH(A506,'Docketed Comments'!H:H,0)),"")</f>
        <v>No</v>
      </c>
      <c r="O506" s="118" t="str">
        <f>IFERROR(INDEX('Docketed Comments'!L:L,MATCH(A506,'Docketed Comments'!H:H,0)),"")</f>
        <v>Yes</v>
      </c>
      <c r="P506" s="119">
        <f t="shared" si="14"/>
        <v>0</v>
      </c>
      <c r="Q506" s="60"/>
      <c r="R506" s="64" t="s">
        <v>75</v>
      </c>
      <c r="S506" s="64" t="s">
        <v>1125</v>
      </c>
    </row>
    <row r="507" spans="1:19" ht="21.95" customHeight="1">
      <c r="A507" s="66" t="s">
        <v>1126</v>
      </c>
      <c r="B507" s="64"/>
      <c r="C507" s="65"/>
      <c r="D507" s="64"/>
      <c r="E507" s="64"/>
      <c r="F507" s="60"/>
      <c r="G507" s="60" t="s">
        <v>88</v>
      </c>
      <c r="H507" s="60" t="str">
        <f>IFERROR(INDEX('Docketed Comments'!C:C,MATCH(A507,'Docketed Comments'!H:H,0))&amp;", "&amp;INDEX('Docketed Comments'!B:B,MATCH(A507,'Docketed Comments'!H:H,0)),"")</f>
        <v>Jason, Spicola</v>
      </c>
      <c r="I507" s="60" t="str">
        <f>IFERROR(INDEX('Docketed Comments'!D:D,MATCH(A507,'Docketed Comments'!H:H,0)),"")</f>
        <v>Phoenix</v>
      </c>
      <c r="J507" s="60" t="str">
        <f>IFERROR(INDEX('Docketed Comments'!I:I,MATCH(A507,'Docketed Comments'!H:H,0)),"")</f>
        <v>R-BASIC</v>
      </c>
      <c r="K507" s="60" t="str">
        <f t="shared" si="15"/>
        <v>✅ On Best Plan</v>
      </c>
      <c r="L507" s="60" t="str">
        <f>IFERROR(INDEX('Docketed Comments'!F:F,MATCH(A507,'Docketed Comments'!H:H,0)),"")</f>
        <v>Opposed, will worsen financial stress</v>
      </c>
      <c r="M507" s="120" t="str">
        <f>IFERROR(INDEX('Docketed Comments'!G:G,MATCH(A507,'Docketed Comments'!H:H,0)),"")</f>
        <v>https://images.edocket.azcc.gov/docketpdf/E000046230.pdf</v>
      </c>
      <c r="N507" s="118" t="str">
        <f>IFERROR(INDEX('Docketed Comments'!N:N,MATCH(A507,'Docketed Comments'!H:H,0)),"")</f>
        <v>No</v>
      </c>
      <c r="O507" s="118" t="str">
        <f>IFERROR(INDEX('Docketed Comments'!L:L,MATCH(A507,'Docketed Comments'!H:H,0)),"")</f>
        <v>Yes</v>
      </c>
      <c r="P507" s="119">
        <f t="shared" si="14"/>
        <v>0</v>
      </c>
      <c r="Q507" s="60"/>
      <c r="R507" s="64" t="s">
        <v>75</v>
      </c>
      <c r="S507" s="64" t="s">
        <v>1127</v>
      </c>
    </row>
    <row r="508" spans="1:19" ht="21.95" customHeight="1">
      <c r="A508" s="66" t="s">
        <v>1128</v>
      </c>
      <c r="B508" s="64"/>
      <c r="C508" s="65"/>
      <c r="D508" s="64"/>
      <c r="E508" s="64"/>
      <c r="F508" s="60"/>
      <c r="G508" s="60" t="s">
        <v>88</v>
      </c>
      <c r="H508" s="60" t="str">
        <f>IFERROR(INDEX('Docketed Comments'!C:C,MATCH(A508,'Docketed Comments'!H:H,0))&amp;", "&amp;INDEX('Docketed Comments'!B:B,MATCH(A508,'Docketed Comments'!H:H,0)),"")</f>
        <v>Vishal, Maheshwari</v>
      </c>
      <c r="I508" s="60" t="str">
        <f>IFERROR(INDEX('Docketed Comments'!D:D,MATCH(A508,'Docketed Comments'!H:H,0)),"")</f>
        <v>Peoria</v>
      </c>
      <c r="J508" s="60" t="str">
        <f>IFERROR(INDEX('Docketed Comments'!I:I,MATCH(A508,'Docketed Comments'!H:H,0)),"")</f>
        <v>EPR-6w/ET-2</v>
      </c>
      <c r="K508" s="60" t="str">
        <f t="shared" si="15"/>
        <v>⚠ Frozen Rate</v>
      </c>
      <c r="L508" s="60" t="str">
        <f>IFERROR(INDEX('Docketed Comments'!F:F,MATCH(A508,'Docketed Comments'!H:H,0)),"")</f>
        <v>Form letter</v>
      </c>
      <c r="M508" s="120" t="str">
        <f>IFERROR(INDEX('Docketed Comments'!G:G,MATCH(A508,'Docketed Comments'!H:H,0)),"")</f>
        <v>https://images.edocket.azcc.gov/docketpdf/E000046230.pdf</v>
      </c>
      <c r="N508" s="118" t="str">
        <f>IFERROR(INDEX('Docketed Comments'!N:N,MATCH(A508,'Docketed Comments'!H:H,0)),"")</f>
        <v>No</v>
      </c>
      <c r="O508" s="118" t="str">
        <f>IFERROR(INDEX('Docketed Comments'!L:L,MATCH(A508,'Docketed Comments'!H:H,0)),"")</f>
        <v>Frozen Rate</v>
      </c>
      <c r="P508" s="119">
        <f t="shared" si="14"/>
        <v>0</v>
      </c>
      <c r="Q508" s="60"/>
      <c r="R508" s="64" t="s">
        <v>75</v>
      </c>
      <c r="S508" s="64" t="s">
        <v>1129</v>
      </c>
    </row>
    <row r="509" spans="1:19" ht="21.95" customHeight="1">
      <c r="A509" s="66" t="s">
        <v>1130</v>
      </c>
      <c r="B509" s="64"/>
      <c r="C509" s="65"/>
      <c r="D509" s="64"/>
      <c r="E509" s="64"/>
      <c r="F509" s="60"/>
      <c r="G509" s="60" t="s">
        <v>88</v>
      </c>
      <c r="H509" s="60" t="str">
        <f>IFERROR(INDEX('Docketed Comments'!C:C,MATCH(A509,'Docketed Comments'!H:H,0))&amp;", "&amp;INDEX('Docketed Comments'!B:B,MATCH(A509,'Docketed Comments'!H:H,0)),"")</f>
        <v>Dustin, Chaffin</v>
      </c>
      <c r="I509" s="60" t="str">
        <f>IFERROR(INDEX('Docketed Comments'!D:D,MATCH(A509,'Docketed Comments'!H:H,0)),"")</f>
        <v>Phoenix</v>
      </c>
      <c r="J509" s="60" t="str">
        <f>IFERROR(INDEX('Docketed Comments'!I:I,MATCH(A509,'Docketed Comments'!H:H,0)),"")</f>
        <v>RCPw/RTOUE47</v>
      </c>
      <c r="K509" s="60" t="str">
        <f t="shared" si="15"/>
        <v>✅ On Best Plan</v>
      </c>
      <c r="L509" s="60" t="str">
        <f>IFERROR(INDEX('Docketed Comments'!F:F,MATCH(A509,'Docketed Comments'!H:H,0)),"")</f>
        <v>Not a good economic decision</v>
      </c>
      <c r="M509" s="120" t="str">
        <f>IFERROR(INDEX('Docketed Comments'!G:G,MATCH(A509,'Docketed Comments'!H:H,0)),"")</f>
        <v>https://images.edocket.azcc.gov/docketpdf/E000046230.pdf</v>
      </c>
      <c r="N509" s="118" t="str">
        <f>IFERROR(INDEX('Docketed Comments'!N:N,MATCH(A509,'Docketed Comments'!H:H,0)),"")</f>
        <v>No</v>
      </c>
      <c r="O509" s="118" t="str">
        <f>IFERROR(INDEX('Docketed Comments'!L:L,MATCH(A509,'Docketed Comments'!H:H,0)),"")</f>
        <v>Yes</v>
      </c>
      <c r="P509" s="119">
        <f t="shared" si="14"/>
        <v>0</v>
      </c>
      <c r="Q509" s="60"/>
      <c r="R509" s="64" t="s">
        <v>75</v>
      </c>
      <c r="S509" s="64" t="s">
        <v>1131</v>
      </c>
    </row>
    <row r="510" spans="1:19" ht="21.95" customHeight="1">
      <c r="A510" s="66" t="s">
        <v>1132</v>
      </c>
      <c r="B510" s="64"/>
      <c r="C510" s="65"/>
      <c r="D510" s="64"/>
      <c r="E510" s="64"/>
      <c r="F510" s="60"/>
      <c r="G510" s="60" t="s">
        <v>88</v>
      </c>
      <c r="H510" s="60" t="str">
        <f>IFERROR(INDEX('Docketed Comments'!C:C,MATCH(A510,'Docketed Comments'!H:H,0))&amp;", "&amp;INDEX('Docketed Comments'!B:B,MATCH(A510,'Docketed Comments'!H:H,0)),"")</f>
        <v>Zack, Feldman</v>
      </c>
      <c r="I510" s="60" t="str">
        <f>IFERROR(INDEX('Docketed Comments'!D:D,MATCH(A510,'Docketed Comments'!H:H,0)),"")</f>
        <v>Phoenix</v>
      </c>
      <c r="J510" s="60" t="str">
        <f>IFERROR(INDEX('Docketed Comments'!I:I,MATCH(A510,'Docketed Comments'!H:H,0)),"")</f>
        <v>R3-47</v>
      </c>
      <c r="K510" s="60" t="str">
        <f t="shared" si="15"/>
        <v>✅ On Best Plan</v>
      </c>
      <c r="L510" s="60" t="str">
        <f>IFERROR(INDEX('Docketed Comments'!F:F,MATCH(A510,'Docketed Comments'!H:H,0)),"")</f>
        <v>Opposed, abusing their power</v>
      </c>
      <c r="M510" s="120" t="str">
        <f>IFERROR(INDEX('Docketed Comments'!G:G,MATCH(A510,'Docketed Comments'!H:H,0)),"")</f>
        <v>https://images.edocket.azcc.gov/docketpdf/E000046230.pdf</v>
      </c>
      <c r="N510" s="118" t="str">
        <f>IFERROR(INDEX('Docketed Comments'!N:N,MATCH(A510,'Docketed Comments'!H:H,0)),"")</f>
        <v>No</v>
      </c>
      <c r="O510" s="118" t="str">
        <f>IFERROR(INDEX('Docketed Comments'!L:L,MATCH(A510,'Docketed Comments'!H:H,0)),"")</f>
        <v>Yes</v>
      </c>
      <c r="P510" s="119">
        <f t="shared" si="14"/>
        <v>0</v>
      </c>
      <c r="Q510" s="60"/>
      <c r="R510" s="64" t="s">
        <v>75</v>
      </c>
      <c r="S510" s="64" t="s">
        <v>1133</v>
      </c>
    </row>
    <row r="511" spans="1:19" ht="21.95" customHeight="1">
      <c r="A511" s="66" t="s">
        <v>1134</v>
      </c>
      <c r="B511" s="64"/>
      <c r="C511" s="65"/>
      <c r="D511" s="64"/>
      <c r="E511" s="64"/>
      <c r="F511" s="60"/>
      <c r="G511" s="60" t="s">
        <v>88</v>
      </c>
      <c r="H511" s="60" t="str">
        <f>IFERROR(INDEX('Docketed Comments'!C:C,MATCH(A511,'Docketed Comments'!H:H,0))&amp;", "&amp;INDEX('Docketed Comments'!B:B,MATCH(A511,'Docketed Comments'!H:H,0)),"")</f>
        <v>Eric, Hanshew</v>
      </c>
      <c r="I511" s="60" t="str">
        <f>IFERROR(INDEX('Docketed Comments'!D:D,MATCH(A511,'Docketed Comments'!H:H,0)),"")</f>
        <v>Scottsdale</v>
      </c>
      <c r="J511" s="60" t="str">
        <f>IFERROR(INDEX('Docketed Comments'!I:I,MATCH(A511,'Docketed Comments'!H:H,0)),"")</f>
        <v>RCPw/R3-47</v>
      </c>
      <c r="K511" s="60" t="str">
        <f t="shared" si="15"/>
        <v>✅ On Best Plan</v>
      </c>
      <c r="L511" s="60" t="str">
        <f>IFERROR(INDEX('Docketed Comments'!F:F,MATCH(A511,'Docketed Comments'!H:H,0)),"")</f>
        <v>Opposed</v>
      </c>
      <c r="M511" s="120" t="str">
        <f>IFERROR(INDEX('Docketed Comments'!G:G,MATCH(A511,'Docketed Comments'!H:H,0)),"")</f>
        <v>https://images.edocket.azcc.gov/docketpdf/E000046230.pdf</v>
      </c>
      <c r="N511" s="118" t="str">
        <f>IFERROR(INDEX('Docketed Comments'!N:N,MATCH(A511,'Docketed Comments'!H:H,0)),"")</f>
        <v>No</v>
      </c>
      <c r="O511" s="118" t="str">
        <f>IFERROR(INDEX('Docketed Comments'!L:L,MATCH(A511,'Docketed Comments'!H:H,0)),"")</f>
        <v>Yes</v>
      </c>
      <c r="P511" s="119">
        <f t="shared" si="14"/>
        <v>0</v>
      </c>
      <c r="Q511" s="60"/>
      <c r="R511" s="64" t="s">
        <v>75</v>
      </c>
      <c r="S511" s="64" t="s">
        <v>1135</v>
      </c>
    </row>
    <row r="512" spans="1:19" ht="21.95" customHeight="1">
      <c r="A512" s="66" t="s">
        <v>1136</v>
      </c>
      <c r="B512" s="64"/>
      <c r="C512" s="65"/>
      <c r="D512" s="64"/>
      <c r="E512" s="64"/>
      <c r="F512" s="60"/>
      <c r="G512" s="60" t="s">
        <v>88</v>
      </c>
      <c r="H512" s="60" t="str">
        <f>IFERROR(INDEX('Docketed Comments'!C:C,MATCH(A512,'Docketed Comments'!H:H,0))&amp;", "&amp;INDEX('Docketed Comments'!B:B,MATCH(A512,'Docketed Comments'!H:H,0)),"")</f>
        <v>Alexander, German</v>
      </c>
      <c r="I512" s="60" t="str">
        <f>IFERROR(INDEX('Docketed Comments'!D:D,MATCH(A512,'Docketed Comments'!H:H,0)),"")</f>
        <v>Phoenix</v>
      </c>
      <c r="J512" s="60" t="str">
        <f>IFERROR(INDEX('Docketed Comments'!I:I,MATCH(A512,'Docketed Comments'!H:H,0)),"")</f>
        <v>RTOUE47</v>
      </c>
      <c r="K512" s="60" t="str">
        <f t="shared" si="15"/>
        <v>✅ On Best Plan</v>
      </c>
      <c r="L512" s="60" t="str">
        <f>IFERROR(INDEX('Docketed Comments'!F:F,MATCH(A512,'Docketed Comments'!H:H,0)),"")</f>
        <v>Form letter</v>
      </c>
      <c r="M512" s="120" t="str">
        <f>IFERROR(INDEX('Docketed Comments'!G:G,MATCH(A512,'Docketed Comments'!H:H,0)),"")</f>
        <v>https://images.edocket.azcc.gov/docketpdf/E000046230.pdf</v>
      </c>
      <c r="N512" s="118" t="str">
        <f>IFERROR(INDEX('Docketed Comments'!N:N,MATCH(A512,'Docketed Comments'!H:H,0)),"")</f>
        <v>No</v>
      </c>
      <c r="O512" s="118" t="str">
        <f>IFERROR(INDEX('Docketed Comments'!L:L,MATCH(A512,'Docketed Comments'!H:H,0)),"")</f>
        <v>Yes</v>
      </c>
      <c r="P512" s="119">
        <f t="shared" si="14"/>
        <v>0</v>
      </c>
      <c r="Q512" s="60"/>
      <c r="R512" s="64" t="s">
        <v>75</v>
      </c>
      <c r="S512" s="64" t="s">
        <v>1137</v>
      </c>
    </row>
    <row r="513" spans="1:19" ht="21.95" customHeight="1">
      <c r="A513" s="66" t="s">
        <v>1138</v>
      </c>
      <c r="B513" s="64"/>
      <c r="C513" s="65"/>
      <c r="D513" s="64"/>
      <c r="E513" s="64"/>
      <c r="F513" s="60"/>
      <c r="G513" s="60" t="s">
        <v>88</v>
      </c>
      <c r="H513" s="60" t="str">
        <f>IFERROR(INDEX('Docketed Comments'!C:C,MATCH(A513,'Docketed Comments'!H:H,0))&amp;", "&amp;INDEX('Docketed Comments'!B:B,MATCH(A513,'Docketed Comments'!H:H,0)),"")</f>
        <v>James, Reynolds</v>
      </c>
      <c r="I513" s="60" t="str">
        <f>IFERROR(INDEX('Docketed Comments'!D:D,MATCH(A513,'Docketed Comments'!H:H,0)),"")</f>
        <v>El Mirage</v>
      </c>
      <c r="J513" s="60" t="str">
        <f>IFERROR(INDEX('Docketed Comments'!I:I,MATCH(A513,'Docketed Comments'!H:H,0)),"")</f>
        <v>RCPw/RTOUE47</v>
      </c>
      <c r="K513" s="60" t="str">
        <f t="shared" si="15"/>
        <v>✅ On Best Plan</v>
      </c>
      <c r="L513" s="60" t="str">
        <f>IFERROR(INDEX('Docketed Comments'!F:F,MATCH(A513,'Docketed Comments'!H:H,0)),"")</f>
        <v>Opposed, discourages solar</v>
      </c>
      <c r="M513" s="120" t="str">
        <f>IFERROR(INDEX('Docketed Comments'!G:G,MATCH(A513,'Docketed Comments'!H:H,0)),"")</f>
        <v>https://images.edocket.azcc.gov/docketpdf/E000046230.pdf</v>
      </c>
      <c r="N513" s="118" t="str">
        <f>IFERROR(INDEX('Docketed Comments'!N:N,MATCH(A513,'Docketed Comments'!H:H,0)),"")</f>
        <v>No</v>
      </c>
      <c r="O513" s="118" t="str">
        <f>IFERROR(INDEX('Docketed Comments'!L:L,MATCH(A513,'Docketed Comments'!H:H,0)),"")</f>
        <v>Yes</v>
      </c>
      <c r="P513" s="119">
        <f t="shared" si="14"/>
        <v>0</v>
      </c>
      <c r="Q513" s="60"/>
      <c r="R513" s="64" t="s">
        <v>75</v>
      </c>
      <c r="S513" s="64" t="s">
        <v>1139</v>
      </c>
    </row>
    <row r="514" spans="1:19" ht="21.95" customHeight="1">
      <c r="A514" s="66" t="s">
        <v>1140</v>
      </c>
      <c r="B514" s="64"/>
      <c r="C514" s="65"/>
      <c r="D514" s="64"/>
      <c r="E514" s="64"/>
      <c r="F514" s="60"/>
      <c r="G514" s="60" t="s">
        <v>88</v>
      </c>
      <c r="H514" s="60" t="str">
        <f>IFERROR(INDEX('Docketed Comments'!C:C,MATCH(A514,'Docketed Comments'!H:H,0))&amp;", "&amp;INDEX('Docketed Comments'!B:B,MATCH(A514,'Docketed Comments'!H:H,0)),"")</f>
        <v>Joshua, Gorman</v>
      </c>
      <c r="I514" s="60" t="str">
        <f>IFERROR(INDEX('Docketed Comments'!D:D,MATCH(A514,'Docketed Comments'!H:H,0)),"")</f>
        <v>Goodyear</v>
      </c>
      <c r="J514" s="60" t="str">
        <f>IFERROR(INDEX('Docketed Comments'!I:I,MATCH(A514,'Docketed Comments'!H:H,0)),"")</f>
        <v>R3-47</v>
      </c>
      <c r="K514" s="60" t="str">
        <f t="shared" si="15"/>
        <v>✅ On Best Plan</v>
      </c>
      <c r="L514" s="60" t="str">
        <f>IFERROR(INDEX('Docketed Comments'!F:F,MATCH(A514,'Docketed Comments'!H:H,0)),"")</f>
        <v>Opposed</v>
      </c>
      <c r="M514" s="120" t="str">
        <f>IFERROR(INDEX('Docketed Comments'!G:G,MATCH(A514,'Docketed Comments'!H:H,0)),"")</f>
        <v>https://images.edocket.azcc.gov/docketpdf/E000046230.pdf</v>
      </c>
      <c r="N514" s="118" t="str">
        <f>IFERROR(INDEX('Docketed Comments'!N:N,MATCH(A514,'Docketed Comments'!H:H,0)),"")</f>
        <v>No</v>
      </c>
      <c r="O514" s="118" t="str">
        <f>IFERROR(INDEX('Docketed Comments'!L:L,MATCH(A514,'Docketed Comments'!H:H,0)),"")</f>
        <v>Yes</v>
      </c>
      <c r="P514" s="119">
        <f t="shared" ref="P514:P577" si="16">IFERROR(IF(ISNUMBER(SEARCH("$",O514)),VALUE(SUBSTITUTE(SUBSTITUTE(MID(O514,FIND("$",O514)+1,FIND(")",O514)-FIND("$",O514)-1),",","")," ","")),VALUE(SUBSTITUTE(SUBSTITUTE(MID(O514,FIND("(",O514)+1,FIND(")",O514)-FIND("(",O514)-1),",","")," ",""))),0)</f>
        <v>0</v>
      </c>
      <c r="Q514" s="60"/>
      <c r="R514" s="64" t="s">
        <v>75</v>
      </c>
      <c r="S514" s="64" t="s">
        <v>1141</v>
      </c>
    </row>
    <row r="515" spans="1:19" ht="21.95" customHeight="1">
      <c r="A515" s="66" t="s">
        <v>1142</v>
      </c>
      <c r="B515" s="64"/>
      <c r="C515" s="65"/>
      <c r="D515" s="64"/>
      <c r="E515" s="64"/>
      <c r="F515" s="60"/>
      <c r="G515" s="60" t="s">
        <v>88</v>
      </c>
      <c r="H515" s="60" t="str">
        <f>IFERROR(INDEX('Docketed Comments'!C:C,MATCH(A515,'Docketed Comments'!H:H,0))&amp;", "&amp;INDEX('Docketed Comments'!B:B,MATCH(A515,'Docketed Comments'!H:H,0)),"")</f>
        <v>Timothy, Chambers</v>
      </c>
      <c r="I515" s="60" t="str">
        <f>IFERROR(INDEX('Docketed Comments'!D:D,MATCH(A515,'Docketed Comments'!H:H,0)),"")</f>
        <v>Surprise</v>
      </c>
      <c r="J515" s="60" t="str">
        <f>IFERROR(INDEX('Docketed Comments'!I:I,MATCH(A515,'Docketed Comments'!H:H,0)),"")</f>
        <v>RCPw/R3-47</v>
      </c>
      <c r="K515" s="60" t="str">
        <f t="shared" ref="K515:K578" si="17">IFERROR(IF(OR(LEFT(O515,2)="No",LEFT(O515,3)="Not"),"❌ Not on Best Plan",IF(OR(O515="Yes",O515="Y",O515="Yes "),"✅ On Best Plan","⚠ "&amp;O515)),"")</f>
        <v>✅ On Best Plan</v>
      </c>
      <c r="L515" s="60" t="str">
        <f>IFERROR(INDEX('Docketed Comments'!F:F,MATCH(A515,'Docketed Comments'!H:H,0)),"")</f>
        <v>Form letter</v>
      </c>
      <c r="M515" s="120" t="str">
        <f>IFERROR(INDEX('Docketed Comments'!G:G,MATCH(A515,'Docketed Comments'!H:H,0)),"")</f>
        <v>https://images.edocket.azcc.gov/docketpdf/E000046230.pdf</v>
      </c>
      <c r="N515" s="118" t="str">
        <f>IFERROR(INDEX('Docketed Comments'!N:N,MATCH(A515,'Docketed Comments'!H:H,0)),"")</f>
        <v>No</v>
      </c>
      <c r="O515" s="118" t="str">
        <f>IFERROR(INDEX('Docketed Comments'!L:L,MATCH(A515,'Docketed Comments'!H:H,0)),"")</f>
        <v>Yes</v>
      </c>
      <c r="P515" s="119">
        <f t="shared" si="16"/>
        <v>0</v>
      </c>
      <c r="Q515" s="60"/>
      <c r="R515" s="64" t="s">
        <v>75</v>
      </c>
      <c r="S515" s="64" t="s">
        <v>1143</v>
      </c>
    </row>
    <row r="516" spans="1:19" ht="21.95" customHeight="1">
      <c r="A516" s="66" t="s">
        <v>1144</v>
      </c>
      <c r="B516" s="64"/>
      <c r="C516" s="65"/>
      <c r="D516" s="64"/>
      <c r="E516" s="64"/>
      <c r="F516" s="60"/>
      <c r="G516" s="60" t="s">
        <v>88</v>
      </c>
      <c r="H516" s="60" t="str">
        <f>IFERROR(INDEX('Docketed Comments'!C:C,MATCH(A516,'Docketed Comments'!H:H,0))&amp;", "&amp;INDEX('Docketed Comments'!B:B,MATCH(A516,'Docketed Comments'!H:H,0)),"")</f>
        <v>Shannon, Daniels</v>
      </c>
      <c r="I516" s="60" t="str">
        <f>IFERROR(INDEX('Docketed Comments'!D:D,MATCH(A516,'Docketed Comments'!H:H,0)),"")</f>
        <v>Surprise</v>
      </c>
      <c r="J516" s="60" t="str">
        <f>IFERROR(INDEX('Docketed Comments'!I:I,MATCH(A516,'Docketed Comments'!H:H,0)),"")</f>
        <v>R3-47</v>
      </c>
      <c r="K516" s="60" t="str">
        <f t="shared" si="17"/>
        <v>✅ On Best Plan</v>
      </c>
      <c r="L516" s="60" t="str">
        <f>IFERROR(INDEX('Docketed Comments'!F:F,MATCH(A516,'Docketed Comments'!H:H,0)),"")</f>
        <v>Form letter</v>
      </c>
      <c r="M516" s="120" t="str">
        <f>IFERROR(INDEX('Docketed Comments'!G:G,MATCH(A516,'Docketed Comments'!H:H,0)),"")</f>
        <v>https://images.edocket.azcc.gov/docketpdf/E000046230.pdf</v>
      </c>
      <c r="N516" s="118" t="str">
        <f>IFERROR(INDEX('Docketed Comments'!N:N,MATCH(A516,'Docketed Comments'!H:H,0)),"")</f>
        <v>No</v>
      </c>
      <c r="O516" s="118" t="str">
        <f>IFERROR(INDEX('Docketed Comments'!L:L,MATCH(A516,'Docketed Comments'!H:H,0)),"")</f>
        <v>Yes</v>
      </c>
      <c r="P516" s="119">
        <f t="shared" si="16"/>
        <v>0</v>
      </c>
      <c r="Q516" s="60"/>
      <c r="R516" s="64" t="s">
        <v>75</v>
      </c>
      <c r="S516" s="64" t="s">
        <v>1145</v>
      </c>
    </row>
    <row r="517" spans="1:19" ht="21.95" customHeight="1">
      <c r="A517" s="66" t="s">
        <v>1146</v>
      </c>
      <c r="B517" s="64"/>
      <c r="C517" s="65"/>
      <c r="D517" s="64"/>
      <c r="E517" s="64"/>
      <c r="F517" s="60"/>
      <c r="G517" s="60" t="s">
        <v>88</v>
      </c>
      <c r="H517" s="60" t="str">
        <f>IFERROR(INDEX('Docketed Comments'!C:C,MATCH(A517,'Docketed Comments'!H:H,0))&amp;", "&amp;INDEX('Docketed Comments'!B:B,MATCH(A517,'Docketed Comments'!H:H,0)),"")</f>
        <v>Aleshia, Michels</v>
      </c>
      <c r="I517" s="60" t="str">
        <f>IFERROR(INDEX('Docketed Comments'!D:D,MATCH(A517,'Docketed Comments'!H:H,0)),"")</f>
        <v>Mayer</v>
      </c>
      <c r="J517" s="60" t="str">
        <f>IFERROR(INDEX('Docketed Comments'!I:I,MATCH(A517,'Docketed Comments'!H:H,0)),"")</f>
        <v>R3-47</v>
      </c>
      <c r="K517" s="60" t="str">
        <f t="shared" si="17"/>
        <v>✅ On Best Plan</v>
      </c>
      <c r="L517" s="60" t="str">
        <f>IFERROR(INDEX('Docketed Comments'!F:F,MATCH(A517,'Docketed Comments'!H:H,0)),"")</f>
        <v>Opposed</v>
      </c>
      <c r="M517" s="120" t="str">
        <f>IFERROR(INDEX('Docketed Comments'!G:G,MATCH(A517,'Docketed Comments'!H:H,0)),"")</f>
        <v>https://images.edocket.azcc.gov/docketpdf/E000046230.pdf</v>
      </c>
      <c r="N517" s="118" t="str">
        <f>IFERROR(INDEX('Docketed Comments'!N:N,MATCH(A517,'Docketed Comments'!H:H,0)),"")</f>
        <v>No</v>
      </c>
      <c r="O517" s="118" t="str">
        <f>IFERROR(INDEX('Docketed Comments'!L:L,MATCH(A517,'Docketed Comments'!H:H,0)),"")</f>
        <v>Yes</v>
      </c>
      <c r="P517" s="119">
        <f t="shared" si="16"/>
        <v>0</v>
      </c>
      <c r="Q517" s="60"/>
      <c r="R517" s="64" t="s">
        <v>75</v>
      </c>
      <c r="S517" s="64" t="s">
        <v>1147</v>
      </c>
    </row>
    <row r="518" spans="1:19" ht="21.95" customHeight="1">
      <c r="A518" s="66" t="s">
        <v>1148</v>
      </c>
      <c r="B518" s="64"/>
      <c r="C518" s="65"/>
      <c r="D518" s="64"/>
      <c r="E518" s="64"/>
      <c r="F518" s="60"/>
      <c r="G518" s="60" t="s">
        <v>88</v>
      </c>
      <c r="H518" s="60" t="str">
        <f>IFERROR(INDEX('Docketed Comments'!C:C,MATCH(A518,'Docketed Comments'!H:H,0))&amp;", "&amp;INDEX('Docketed Comments'!B:B,MATCH(A518,'Docketed Comments'!H:H,0)),"")</f>
        <v>Ann , Albers</v>
      </c>
      <c r="I518" s="60" t="str">
        <f>IFERROR(INDEX('Docketed Comments'!D:D,MATCH(A518,'Docketed Comments'!H:H,0)),"")</f>
        <v>Phoenix</v>
      </c>
      <c r="J518" s="60" t="str">
        <f>IFERROR(INDEX('Docketed Comments'!I:I,MATCH(A518,'Docketed Comments'!H:H,0)),"")</f>
        <v>R-2</v>
      </c>
      <c r="K518" s="60" t="str">
        <f t="shared" si="17"/>
        <v>⚠ Frozen Rate</v>
      </c>
      <c r="L518" s="60" t="str">
        <f>IFERROR(INDEX('Docketed Comments'!F:F,MATCH(A518,'Docketed Comments'!H:H,0)),"")</f>
        <v>Form letter</v>
      </c>
      <c r="M518" s="120" t="str">
        <f>IFERROR(INDEX('Docketed Comments'!G:G,MATCH(A518,'Docketed Comments'!H:H,0)),"")</f>
        <v>https://images.edocket.azcc.gov/docketpdf/E000046230.pdf</v>
      </c>
      <c r="N518" s="118" t="str">
        <f>IFERROR(INDEX('Docketed Comments'!N:N,MATCH(A518,'Docketed Comments'!H:H,0)),"")</f>
        <v>No</v>
      </c>
      <c r="O518" s="118" t="str">
        <f>IFERROR(INDEX('Docketed Comments'!L:L,MATCH(A518,'Docketed Comments'!H:H,0)),"")</f>
        <v>Frozen Rate</v>
      </c>
      <c r="P518" s="119">
        <f t="shared" si="16"/>
        <v>0</v>
      </c>
      <c r="Q518" s="60"/>
      <c r="R518" s="64" t="s">
        <v>75</v>
      </c>
      <c r="S518" s="64" t="s">
        <v>1149</v>
      </c>
    </row>
    <row r="519" spans="1:19" ht="21.95" customHeight="1">
      <c r="A519" s="66" t="s">
        <v>1150</v>
      </c>
      <c r="B519" s="64"/>
      <c r="C519" s="65"/>
      <c r="D519" s="64"/>
      <c r="E519" s="64"/>
      <c r="F519" s="60"/>
      <c r="G519" s="60" t="s">
        <v>88</v>
      </c>
      <c r="H519" s="60" t="str">
        <f>IFERROR(INDEX('Docketed Comments'!C:C,MATCH(A519,'Docketed Comments'!H:H,0))&amp;", "&amp;INDEX('Docketed Comments'!B:B,MATCH(A519,'Docketed Comments'!H:H,0)),"")</f>
        <v>Duo, Li</v>
      </c>
      <c r="I519" s="60" t="str">
        <f>IFERROR(INDEX('Docketed Comments'!D:D,MATCH(A519,'Docketed Comments'!H:H,0)),"")</f>
        <v>Peoria</v>
      </c>
      <c r="J519" s="60" t="str">
        <f>IFERROR(INDEX('Docketed Comments'!I:I,MATCH(A519,'Docketed Comments'!H:H,0)),"")</f>
        <v>EPR-6w/E-12</v>
      </c>
      <c r="K519" s="60" t="str">
        <f t="shared" si="17"/>
        <v>⚠ Frozen Rate</v>
      </c>
      <c r="L519" s="60" t="str">
        <f>IFERROR(INDEX('Docketed Comments'!F:F,MATCH(A519,'Docketed Comments'!H:H,0)),"")</f>
        <v>Form letter</v>
      </c>
      <c r="M519" s="120" t="str">
        <f>IFERROR(INDEX('Docketed Comments'!G:G,MATCH(A519,'Docketed Comments'!H:H,0)),"")</f>
        <v>https://images.edocket.azcc.gov/docketpdf/E000046230.pdf</v>
      </c>
      <c r="N519" s="118" t="str">
        <f>IFERROR(INDEX('Docketed Comments'!N:N,MATCH(A519,'Docketed Comments'!H:H,0)),"")</f>
        <v>No</v>
      </c>
      <c r="O519" s="118" t="str">
        <f>IFERROR(INDEX('Docketed Comments'!L:L,MATCH(A519,'Docketed Comments'!H:H,0)),"")</f>
        <v>Frozen Rate</v>
      </c>
      <c r="P519" s="119">
        <f t="shared" si="16"/>
        <v>0</v>
      </c>
      <c r="Q519" s="60"/>
      <c r="R519" s="64" t="s">
        <v>75</v>
      </c>
      <c r="S519" s="64" t="s">
        <v>1151</v>
      </c>
    </row>
    <row r="520" spans="1:19" ht="21.95" customHeight="1">
      <c r="A520" s="66" t="s">
        <v>1152</v>
      </c>
      <c r="B520" s="64"/>
      <c r="C520" s="65"/>
      <c r="D520" s="64"/>
      <c r="E520" s="64"/>
      <c r="F520" s="60"/>
      <c r="G520" s="60" t="s">
        <v>88</v>
      </c>
      <c r="H520" s="60" t="str">
        <f>IFERROR(INDEX('Docketed Comments'!C:C,MATCH(A520,'Docketed Comments'!H:H,0))&amp;", "&amp;INDEX('Docketed Comments'!B:B,MATCH(A520,'Docketed Comments'!H:H,0)),"")</f>
        <v>Vasyl, Pereluka</v>
      </c>
      <c r="I520" s="60" t="str">
        <f>IFERROR(INDEX('Docketed Comments'!D:D,MATCH(A520,'Docketed Comments'!H:H,0)),"")</f>
        <v>Phoenix</v>
      </c>
      <c r="J520" s="60" t="str">
        <f>IFERROR(INDEX('Docketed Comments'!I:I,MATCH(A520,'Docketed Comments'!H:H,0)),"")</f>
        <v>R-XS</v>
      </c>
      <c r="K520" s="60" t="str">
        <f t="shared" si="17"/>
        <v>✅ On Best Plan</v>
      </c>
      <c r="L520" s="60" t="str">
        <f>IFERROR(INDEX('Docketed Comments'!F:F,MATCH(A520,'Docketed Comments'!H:H,0)),"")</f>
        <v>not interested in paying more</v>
      </c>
      <c r="M520" s="120" t="str">
        <f>IFERROR(INDEX('Docketed Comments'!G:G,MATCH(A520,'Docketed Comments'!H:H,0)),"")</f>
        <v>https://images.edocket.azcc.gov/docketpdf/E000046230.pdf</v>
      </c>
      <c r="N520" s="118" t="str">
        <f>IFERROR(INDEX('Docketed Comments'!N:N,MATCH(A520,'Docketed Comments'!H:H,0)),"")</f>
        <v>No</v>
      </c>
      <c r="O520" s="118" t="str">
        <f>IFERROR(INDEX('Docketed Comments'!L:L,MATCH(A520,'Docketed Comments'!H:H,0)),"")</f>
        <v>Yes</v>
      </c>
      <c r="P520" s="119">
        <f t="shared" si="16"/>
        <v>0</v>
      </c>
      <c r="Q520" s="60"/>
      <c r="R520" s="64" t="s">
        <v>75</v>
      </c>
      <c r="S520" s="64" t="s">
        <v>1153</v>
      </c>
    </row>
    <row r="521" spans="1:19" ht="21.95" customHeight="1">
      <c r="A521" s="66" t="s">
        <v>1154</v>
      </c>
      <c r="B521" s="64"/>
      <c r="C521" s="65"/>
      <c r="D521" s="64"/>
      <c r="E521" s="64"/>
      <c r="F521" s="60"/>
      <c r="G521" s="60" t="s">
        <v>88</v>
      </c>
      <c r="H521" s="60" t="str">
        <f>IFERROR(INDEX('Docketed Comments'!C:C,MATCH(A521,'Docketed Comments'!H:H,0))&amp;", "&amp;INDEX('Docketed Comments'!B:B,MATCH(A521,'Docketed Comments'!H:H,0)),"")</f>
        <v>Ryan, Wagner</v>
      </c>
      <c r="I521" s="60" t="str">
        <f>IFERROR(INDEX('Docketed Comments'!D:D,MATCH(A521,'Docketed Comments'!H:H,0)),"")</f>
        <v>Scottsdale</v>
      </c>
      <c r="J521" s="60" t="str">
        <f>IFERROR(INDEX('Docketed Comments'!I:I,MATCH(A521,'Docketed Comments'!H:H,0)),"")</f>
        <v>R3-47</v>
      </c>
      <c r="K521" s="60" t="str">
        <f t="shared" si="17"/>
        <v>✅ On Best Plan</v>
      </c>
      <c r="L521" s="60" t="str">
        <f>IFERROR(INDEX('Docketed Comments'!F:F,MATCH(A521,'Docketed Comments'!H:H,0)),"")</f>
        <v>Opposed</v>
      </c>
      <c r="M521" s="120" t="str">
        <f>IFERROR(INDEX('Docketed Comments'!G:G,MATCH(A521,'Docketed Comments'!H:H,0)),"")</f>
        <v>https://images.edocket.azcc.gov/docketpdf/E000046230.pdf</v>
      </c>
      <c r="N521" s="118" t="str">
        <f>IFERROR(INDEX('Docketed Comments'!N:N,MATCH(A521,'Docketed Comments'!H:H,0)),"")</f>
        <v>No</v>
      </c>
      <c r="O521" s="118" t="str">
        <f>IFERROR(INDEX('Docketed Comments'!L:L,MATCH(A521,'Docketed Comments'!H:H,0)),"")</f>
        <v>Yes</v>
      </c>
      <c r="P521" s="119">
        <f t="shared" si="16"/>
        <v>0</v>
      </c>
      <c r="Q521" s="60"/>
      <c r="R521" s="64" t="s">
        <v>75</v>
      </c>
      <c r="S521" s="64" t="s">
        <v>1155</v>
      </c>
    </row>
    <row r="522" spans="1:19" ht="21.95" customHeight="1">
      <c r="A522" s="66" t="s">
        <v>1156</v>
      </c>
      <c r="B522" s="64"/>
      <c r="C522" s="65"/>
      <c r="D522" s="64"/>
      <c r="E522" s="64"/>
      <c r="F522" s="60"/>
      <c r="G522" s="60" t="s">
        <v>88</v>
      </c>
      <c r="H522" s="60" t="str">
        <f>IFERROR(INDEX('Docketed Comments'!C:C,MATCH(A522,'Docketed Comments'!H:H,0))&amp;", "&amp;INDEX('Docketed Comments'!B:B,MATCH(A522,'Docketed Comments'!H:H,0)),"")</f>
        <v>Dana, Long</v>
      </c>
      <c r="I522" s="60" t="str">
        <f>IFERROR(INDEX('Docketed Comments'!D:D,MATCH(A522,'Docketed Comments'!H:H,0)),"")</f>
        <v>Phoenix</v>
      </c>
      <c r="J522" s="60" t="str">
        <f>IFERROR(INDEX('Docketed Comments'!I:I,MATCH(A522,'Docketed Comments'!H:H,0)),"")</f>
        <v>R-BASIC</v>
      </c>
      <c r="K522" s="60" t="str">
        <f t="shared" si="17"/>
        <v>✅ On Best Plan</v>
      </c>
      <c r="L522" s="60" t="str">
        <f>IFERROR(INDEX('Docketed Comments'!F:F,MATCH(A522,'Docketed Comments'!H:H,0)),"")</f>
        <v>Form letter</v>
      </c>
      <c r="M522" s="120" t="str">
        <f>IFERROR(INDEX('Docketed Comments'!G:G,MATCH(A522,'Docketed Comments'!H:H,0)),"")</f>
        <v>https://images.edocket.azcc.gov/docketpdf/E000046230.pdf</v>
      </c>
      <c r="N522" s="118" t="str">
        <f>IFERROR(INDEX('Docketed Comments'!N:N,MATCH(A522,'Docketed Comments'!H:H,0)),"")</f>
        <v>No</v>
      </c>
      <c r="O522" s="118" t="str">
        <f>IFERROR(INDEX('Docketed Comments'!L:L,MATCH(A522,'Docketed Comments'!H:H,0)),"")</f>
        <v>Yes</v>
      </c>
      <c r="P522" s="119">
        <f t="shared" si="16"/>
        <v>0</v>
      </c>
      <c r="Q522" s="60"/>
      <c r="R522" s="64" t="s">
        <v>75</v>
      </c>
      <c r="S522" s="64" t="s">
        <v>1157</v>
      </c>
    </row>
    <row r="523" spans="1:19" ht="21.95" customHeight="1">
      <c r="A523" s="66" t="s">
        <v>763</v>
      </c>
      <c r="B523" s="64"/>
      <c r="C523" s="65"/>
      <c r="D523" s="64"/>
      <c r="E523" s="64"/>
      <c r="F523" s="60"/>
      <c r="G523" s="60" t="s">
        <v>88</v>
      </c>
      <c r="H523" s="60" t="str">
        <f>IFERROR(INDEX('Docketed Comments'!C:C,MATCH(A523,'Docketed Comments'!H:H,0))&amp;", "&amp;INDEX('Docketed Comments'!B:B,MATCH(A523,'Docketed Comments'!H:H,0)),"")</f>
        <v>Nam, Huynh</v>
      </c>
      <c r="I523" s="60" t="str">
        <f>IFERROR(INDEX('Docketed Comments'!D:D,MATCH(A523,'Docketed Comments'!H:H,0)),"")</f>
        <v>Buckeye</v>
      </c>
      <c r="J523" s="60" t="str">
        <f>IFERROR(INDEX('Docketed Comments'!I:I,MATCH(A523,'Docketed Comments'!H:H,0)),"")</f>
        <v>R3-47</v>
      </c>
      <c r="K523" s="60" t="str">
        <f t="shared" si="17"/>
        <v>✅ On Best Plan</v>
      </c>
      <c r="L523" s="60" t="str">
        <f>IFERROR(INDEX('Docketed Comments'!F:F,MATCH(A523,'Docketed Comments'!H:H,0)),"")</f>
        <v>Opposed</v>
      </c>
      <c r="M523" s="120" t="str">
        <f>IFERROR(INDEX('Docketed Comments'!G:G,MATCH(A523,'Docketed Comments'!H:H,0)),"")</f>
        <v>https://images.edocket.azcc.gov/docketpdf/E000046155.pdf</v>
      </c>
      <c r="N523" s="118" t="str">
        <f>IFERROR(INDEX('Docketed Comments'!N:N,MATCH(A523,'Docketed Comments'!H:H,0)),"")</f>
        <v>No</v>
      </c>
      <c r="O523" s="118" t="str">
        <f>IFERROR(INDEX('Docketed Comments'!L:L,MATCH(A523,'Docketed Comments'!H:H,0)),"")</f>
        <v>Yes</v>
      </c>
      <c r="P523" s="119">
        <f t="shared" si="16"/>
        <v>0</v>
      </c>
      <c r="Q523" s="60"/>
      <c r="R523" s="64" t="s">
        <v>75</v>
      </c>
      <c r="S523" s="64" t="s">
        <v>1158</v>
      </c>
    </row>
    <row r="524" spans="1:19" ht="21.95" customHeight="1">
      <c r="A524" s="66" t="s">
        <v>1159</v>
      </c>
      <c r="B524" s="64"/>
      <c r="C524" s="65"/>
      <c r="D524" s="64"/>
      <c r="E524" s="64"/>
      <c r="F524" s="60"/>
      <c r="G524" s="60" t="s">
        <v>88</v>
      </c>
      <c r="H524" s="60" t="str">
        <f>IFERROR(INDEX('Docketed Comments'!C:C,MATCH(A524,'Docketed Comments'!H:H,0))&amp;", "&amp;INDEX('Docketed Comments'!B:B,MATCH(A524,'Docketed Comments'!H:H,0)),"")</f>
        <v>Nicholas, Duncan</v>
      </c>
      <c r="I524" s="60" t="str">
        <f>IFERROR(INDEX('Docketed Comments'!D:D,MATCH(A524,'Docketed Comments'!H:H,0)),"")</f>
        <v>Phoenix</v>
      </c>
      <c r="J524" s="60" t="str">
        <f>IFERROR(INDEX('Docketed Comments'!I:I,MATCH(A524,'Docketed Comments'!H:H,0)),"")</f>
        <v>RTOUE47</v>
      </c>
      <c r="K524" s="60" t="str">
        <f t="shared" si="17"/>
        <v>✅ On Best Plan</v>
      </c>
      <c r="L524" s="60" t="str">
        <f>IFERROR(INDEX('Docketed Comments'!F:F,MATCH(A524,'Docketed Comments'!H:H,0)),"")</f>
        <v>Form letter</v>
      </c>
      <c r="M524" s="120" t="str">
        <f>IFERROR(INDEX('Docketed Comments'!G:G,MATCH(A524,'Docketed Comments'!H:H,0)),"")</f>
        <v>https://images.edocket.azcc.gov/docketpdf/E000046230.pdf</v>
      </c>
      <c r="N524" s="118" t="str">
        <f>IFERROR(INDEX('Docketed Comments'!N:N,MATCH(A524,'Docketed Comments'!H:H,0)),"")</f>
        <v>No</v>
      </c>
      <c r="O524" s="118" t="str">
        <f>IFERROR(INDEX('Docketed Comments'!L:L,MATCH(A524,'Docketed Comments'!H:H,0)),"")</f>
        <v>Yes</v>
      </c>
      <c r="P524" s="119">
        <f t="shared" si="16"/>
        <v>0</v>
      </c>
      <c r="Q524" s="60"/>
      <c r="R524" s="64" t="s">
        <v>75</v>
      </c>
      <c r="S524" s="64" t="s">
        <v>1160</v>
      </c>
    </row>
    <row r="525" spans="1:19" ht="21.95" customHeight="1">
      <c r="A525" s="66" t="s">
        <v>1161</v>
      </c>
      <c r="B525" s="64"/>
      <c r="C525" s="65"/>
      <c r="D525" s="64"/>
      <c r="E525" s="64"/>
      <c r="F525" s="60"/>
      <c r="G525" s="60" t="s">
        <v>88</v>
      </c>
      <c r="H525" s="60" t="str">
        <f>IFERROR(INDEX('Docketed Comments'!C:C,MATCH(A525,'Docketed Comments'!H:H,0))&amp;", "&amp;INDEX('Docketed Comments'!B:B,MATCH(A525,'Docketed Comments'!H:H,0)),"")</f>
        <v>Joshua, Wood</v>
      </c>
      <c r="I525" s="60" t="str">
        <f>IFERROR(INDEX('Docketed Comments'!D:D,MATCH(A525,'Docketed Comments'!H:H,0)),"")</f>
        <v>Phoenix</v>
      </c>
      <c r="J525" s="60" t="str">
        <f>IFERROR(INDEX('Docketed Comments'!I:I,MATCH(A525,'Docketed Comments'!H:H,0)),"")</f>
        <v>R3-47</v>
      </c>
      <c r="K525" s="60" t="str">
        <f t="shared" si="17"/>
        <v>✅ On Best Plan</v>
      </c>
      <c r="L525" s="60" t="str">
        <f>IFERROR(INDEX('Docketed Comments'!F:F,MATCH(A525,'Docketed Comments'!H:H,0)),"")</f>
        <v>Increase outpaces inflation</v>
      </c>
      <c r="M525" s="120" t="str">
        <f>IFERROR(INDEX('Docketed Comments'!G:G,MATCH(A525,'Docketed Comments'!H:H,0)),"")</f>
        <v>https://images.edocket.azcc.gov/docketpdf/E000046230.pdf</v>
      </c>
      <c r="N525" s="118" t="str">
        <f>IFERROR(INDEX('Docketed Comments'!N:N,MATCH(A525,'Docketed Comments'!H:H,0)),"")</f>
        <v>No</v>
      </c>
      <c r="O525" s="118" t="str">
        <f>IFERROR(INDEX('Docketed Comments'!L:L,MATCH(A525,'Docketed Comments'!H:H,0)),"")</f>
        <v>Yes</v>
      </c>
      <c r="P525" s="119">
        <f t="shared" si="16"/>
        <v>0</v>
      </c>
      <c r="Q525" s="60"/>
      <c r="R525" s="64" t="s">
        <v>75</v>
      </c>
      <c r="S525" s="64" t="s">
        <v>1162</v>
      </c>
    </row>
    <row r="526" spans="1:19" ht="21.95" customHeight="1">
      <c r="A526" s="66" t="s">
        <v>1163</v>
      </c>
      <c r="B526" s="64"/>
      <c r="C526" s="65"/>
      <c r="D526" s="64"/>
      <c r="E526" s="64"/>
      <c r="F526" s="60"/>
      <c r="G526" s="60" t="s">
        <v>88</v>
      </c>
      <c r="H526" s="60" t="str">
        <f>IFERROR(INDEX('Docketed Comments'!C:C,MATCH(A526,'Docketed Comments'!H:H,0))&amp;", "&amp;INDEX('Docketed Comments'!B:B,MATCH(A526,'Docketed Comments'!H:H,0)),"")</f>
        <v>Kameron, Kaples</v>
      </c>
      <c r="I526" s="60" t="str">
        <f>IFERROR(INDEX('Docketed Comments'!D:D,MATCH(A526,'Docketed Comments'!H:H,0)),"")</f>
        <v>Coolidge</v>
      </c>
      <c r="J526" s="60" t="str">
        <f>IFERROR(INDEX('Docketed Comments'!I:I,MATCH(A526,'Docketed Comments'!H:H,0)),"")</f>
        <v>RCPw/RTOUE47</v>
      </c>
      <c r="K526" s="60" t="str">
        <f t="shared" si="17"/>
        <v>✅ On Best Plan</v>
      </c>
      <c r="L526" s="60" t="str">
        <f>IFERROR(INDEX('Docketed Comments'!F:F,MATCH(A526,'Docketed Comments'!H:H,0)),"")</f>
        <v>APS is predatory</v>
      </c>
      <c r="M526" s="120" t="str">
        <f>IFERROR(INDEX('Docketed Comments'!G:G,MATCH(A526,'Docketed Comments'!H:H,0)),"")</f>
        <v>https://images.edocket.azcc.gov/docketpdf/E000046230.pdf</v>
      </c>
      <c r="N526" s="118" t="str">
        <f>IFERROR(INDEX('Docketed Comments'!N:N,MATCH(A526,'Docketed Comments'!H:H,0)),"")</f>
        <v>No</v>
      </c>
      <c r="O526" s="118" t="str">
        <f>IFERROR(INDEX('Docketed Comments'!L:L,MATCH(A526,'Docketed Comments'!H:H,0)),"")</f>
        <v>Yes</v>
      </c>
      <c r="P526" s="119">
        <f t="shared" si="16"/>
        <v>0</v>
      </c>
      <c r="Q526" s="60"/>
      <c r="R526" s="64" t="s">
        <v>75</v>
      </c>
      <c r="S526" s="64" t="s">
        <v>1164</v>
      </c>
    </row>
    <row r="527" spans="1:19" ht="21.95" customHeight="1">
      <c r="A527" s="66" t="s">
        <v>532</v>
      </c>
      <c r="B527" s="64"/>
      <c r="C527" s="65"/>
      <c r="D527" s="64"/>
      <c r="E527" s="64"/>
      <c r="F527" s="60"/>
      <c r="G527" s="60" t="s">
        <v>88</v>
      </c>
      <c r="H527" s="60" t="str">
        <f>IFERROR(INDEX('Docketed Comments'!C:C,MATCH(A527,'Docketed Comments'!H:H,0))&amp;", "&amp;INDEX('Docketed Comments'!B:B,MATCH(A527,'Docketed Comments'!H:H,0)),"")</f>
        <v>Scott, Duffy</v>
      </c>
      <c r="I527" s="60" t="str">
        <f>IFERROR(INDEX('Docketed Comments'!D:D,MATCH(A527,'Docketed Comments'!H:H,0)),"")</f>
        <v>Dewey</v>
      </c>
      <c r="J527" s="60" t="str">
        <f>IFERROR(INDEX('Docketed Comments'!I:I,MATCH(A527,'Docketed Comments'!H:H,0)),"")</f>
        <v>R-BASIC</v>
      </c>
      <c r="K527" s="60" t="str">
        <f t="shared" si="17"/>
        <v>✅ On Best Plan</v>
      </c>
      <c r="L527" s="60" t="str">
        <f>IFERROR(INDEX('Docketed Comments'!F:F,MATCH(A527,'Docketed Comments'!H:H,0)),"")</f>
        <v>Opposed</v>
      </c>
      <c r="M527" s="120" t="str">
        <f>IFERROR(INDEX('Docketed Comments'!G:G,MATCH(A527,'Docketed Comments'!H:H,0)),"")</f>
        <v>https://images.edocket.azcc.gov/docketpdf/E000046230.pdf</v>
      </c>
      <c r="N527" s="118" t="str">
        <f>IFERROR(INDEX('Docketed Comments'!N:N,MATCH(A527,'Docketed Comments'!H:H,0)),"")</f>
        <v>No</v>
      </c>
      <c r="O527" s="118" t="str">
        <f>IFERROR(INDEX('Docketed Comments'!L:L,MATCH(A527,'Docketed Comments'!H:H,0)),"")</f>
        <v>Yes</v>
      </c>
      <c r="P527" s="119">
        <f t="shared" si="16"/>
        <v>0</v>
      </c>
      <c r="Q527" s="60"/>
      <c r="R527" s="64" t="s">
        <v>75</v>
      </c>
      <c r="S527" s="64" t="s">
        <v>1165</v>
      </c>
    </row>
    <row r="528" spans="1:19" ht="21.95" customHeight="1">
      <c r="A528" s="66" t="s">
        <v>1166</v>
      </c>
      <c r="B528" s="64"/>
      <c r="C528" s="65"/>
      <c r="D528" s="64"/>
      <c r="E528" s="64"/>
      <c r="F528" s="60"/>
      <c r="G528" s="60" t="s">
        <v>88</v>
      </c>
      <c r="H528" s="60" t="str">
        <f>IFERROR(INDEX('Docketed Comments'!C:C,MATCH(A528,'Docketed Comments'!H:H,0))&amp;", "&amp;INDEX('Docketed Comments'!B:B,MATCH(A528,'Docketed Comments'!H:H,0)),"")</f>
        <v>Aaron, Keehn</v>
      </c>
      <c r="I528" s="60" t="str">
        <f>IFERROR(INDEX('Docketed Comments'!D:D,MATCH(A528,'Docketed Comments'!H:H,0)),"")</f>
        <v>Casa Grande</v>
      </c>
      <c r="J528" s="60" t="str">
        <f>IFERROR(INDEX('Docketed Comments'!I:I,MATCH(A528,'Docketed Comments'!H:H,0)),"")</f>
        <v>R-XS</v>
      </c>
      <c r="K528" s="60" t="str">
        <f t="shared" si="17"/>
        <v>✅ On Best Plan</v>
      </c>
      <c r="L528" s="60" t="str">
        <f>IFERROR(INDEX('Docketed Comments'!F:F,MATCH(A528,'Docketed Comments'!H:H,0)),"")</f>
        <v>Opposed</v>
      </c>
      <c r="M528" s="120" t="str">
        <f>IFERROR(INDEX('Docketed Comments'!G:G,MATCH(A528,'Docketed Comments'!H:H,0)),"")</f>
        <v>https://images.edocket.azcc.gov/docketpdf/E000046230.pdf</v>
      </c>
      <c r="N528" s="118" t="str">
        <f>IFERROR(INDEX('Docketed Comments'!N:N,MATCH(A528,'Docketed Comments'!H:H,0)),"")</f>
        <v>No</v>
      </c>
      <c r="O528" s="118" t="str">
        <f>IFERROR(INDEX('Docketed Comments'!L:L,MATCH(A528,'Docketed Comments'!H:H,0)),"")</f>
        <v>Yes</v>
      </c>
      <c r="P528" s="119">
        <f t="shared" si="16"/>
        <v>0</v>
      </c>
      <c r="Q528" s="60"/>
      <c r="R528" s="64" t="s">
        <v>75</v>
      </c>
      <c r="S528" s="64" t="s">
        <v>1167</v>
      </c>
    </row>
    <row r="529" spans="1:19" ht="21.95" customHeight="1">
      <c r="A529" s="66" t="s">
        <v>1168</v>
      </c>
      <c r="B529" s="64"/>
      <c r="C529" s="65"/>
      <c r="D529" s="64"/>
      <c r="E529" s="64"/>
      <c r="F529" s="60"/>
      <c r="G529" s="60" t="s">
        <v>88</v>
      </c>
      <c r="H529" s="60" t="str">
        <f>IFERROR(INDEX('Docketed Comments'!C:C,MATCH(A529,'Docketed Comments'!H:H,0))&amp;", "&amp;INDEX('Docketed Comments'!B:B,MATCH(A529,'Docketed Comments'!H:H,0)),"")</f>
        <v>Ruth, Phillips</v>
      </c>
      <c r="I529" s="60" t="str">
        <f>IFERROR(INDEX('Docketed Comments'!D:D,MATCH(A529,'Docketed Comments'!H:H,0)),"")</f>
        <v>Casa Grande</v>
      </c>
      <c r="J529" s="60" t="str">
        <f>IFERROR(INDEX('Docketed Comments'!I:I,MATCH(A529,'Docketed Comments'!H:H,0)),"")</f>
        <v>R-2</v>
      </c>
      <c r="K529" s="60" t="str">
        <f t="shared" si="17"/>
        <v>⚠ Frozen Rate</v>
      </c>
      <c r="L529" s="60" t="str">
        <f>IFERROR(INDEX('Docketed Comments'!F:F,MATCH(A529,'Docketed Comments'!H:H,0)),"")</f>
        <v>Unnecessary</v>
      </c>
      <c r="M529" s="120" t="str">
        <f>IFERROR(INDEX('Docketed Comments'!G:G,MATCH(A529,'Docketed Comments'!H:H,0)),"")</f>
        <v>https://docket.images.azcc.gov/E000046235.pdf</v>
      </c>
      <c r="N529" s="118" t="str">
        <f>IFERROR(INDEX('Docketed Comments'!N:N,MATCH(A529,'Docketed Comments'!H:H,0)),"")</f>
        <v>No</v>
      </c>
      <c r="O529" s="118" t="str">
        <f>IFERROR(INDEX('Docketed Comments'!L:L,MATCH(A529,'Docketed Comments'!H:H,0)),"")</f>
        <v>Frozen Rate</v>
      </c>
      <c r="P529" s="119">
        <f t="shared" si="16"/>
        <v>0</v>
      </c>
      <c r="Q529" s="60"/>
      <c r="R529" s="64" t="s">
        <v>75</v>
      </c>
      <c r="S529" s="64" t="s">
        <v>1169</v>
      </c>
    </row>
    <row r="530" spans="1:19" ht="21.95" customHeight="1">
      <c r="A530" s="66" t="s">
        <v>1170</v>
      </c>
      <c r="B530" s="64"/>
      <c r="C530" s="65"/>
      <c r="D530" s="64"/>
      <c r="E530" s="64"/>
      <c r="F530" s="60"/>
      <c r="G530" s="60" t="s">
        <v>88</v>
      </c>
      <c r="H530" s="60" t="str">
        <f>IFERROR(INDEX('Docketed Comments'!C:C,MATCH(A530,'Docketed Comments'!H:H,0))&amp;", "&amp;INDEX('Docketed Comments'!B:B,MATCH(A530,'Docketed Comments'!H:H,0)),"")</f>
        <v>Mark, Willits</v>
      </c>
      <c r="I530" s="60" t="str">
        <f>IFERROR(INDEX('Docketed Comments'!D:D,MATCH(A530,'Docketed Comments'!H:H,0)),"")</f>
        <v>Scottsdale</v>
      </c>
      <c r="J530" s="60" t="str">
        <f>IFERROR(INDEX('Docketed Comments'!I:I,MATCH(A530,'Docketed Comments'!H:H,0)),"")</f>
        <v>R-2</v>
      </c>
      <c r="K530" s="60" t="str">
        <f t="shared" si="17"/>
        <v>⚠ Frozen Rate</v>
      </c>
      <c r="L530" s="60" t="str">
        <f>IFERROR(INDEX('Docketed Comments'!F:F,MATCH(A530,'Docketed Comments'!H:H,0)),"")</f>
        <v>Form letter</v>
      </c>
      <c r="M530" s="120" t="str">
        <f>IFERROR(INDEX('Docketed Comments'!G:G,MATCH(A530,'Docketed Comments'!H:H,0)),"")</f>
        <v>https://docket.images.azcc.gov/E000046235.pdf</v>
      </c>
      <c r="N530" s="118" t="str">
        <f>IFERROR(INDEX('Docketed Comments'!N:N,MATCH(A530,'Docketed Comments'!H:H,0)),"")</f>
        <v>No</v>
      </c>
      <c r="O530" s="118" t="str">
        <f>IFERROR(INDEX('Docketed Comments'!L:L,MATCH(A530,'Docketed Comments'!H:H,0)),"")</f>
        <v>Frozen Rate</v>
      </c>
      <c r="P530" s="119">
        <f t="shared" si="16"/>
        <v>0</v>
      </c>
      <c r="Q530" s="60"/>
      <c r="R530" s="64" t="s">
        <v>75</v>
      </c>
      <c r="S530" s="64" t="s">
        <v>1171</v>
      </c>
    </row>
    <row r="531" spans="1:19" ht="21.95" customHeight="1">
      <c r="A531" s="66" t="s">
        <v>1172</v>
      </c>
      <c r="B531" s="64"/>
      <c r="C531" s="65"/>
      <c r="D531" s="64"/>
      <c r="E531" s="64"/>
      <c r="F531" s="60"/>
      <c r="G531" s="60" t="s">
        <v>88</v>
      </c>
      <c r="H531" s="60" t="str">
        <f>IFERROR(INDEX('Docketed Comments'!C:C,MATCH(A531,'Docketed Comments'!H:H,0))&amp;", "&amp;INDEX('Docketed Comments'!B:B,MATCH(A531,'Docketed Comments'!H:H,0)),"")</f>
        <v>Benjamin, Grassi</v>
      </c>
      <c r="I531" s="60" t="str">
        <f>IFERROR(INDEX('Docketed Comments'!D:D,MATCH(A531,'Docketed Comments'!H:H,0)),"")</f>
        <v>Litchfield Park</v>
      </c>
      <c r="J531" s="60" t="str">
        <f>IFERROR(INDEX('Docketed Comments'!I:I,MATCH(A531,'Docketed Comments'!H:H,0)),"")</f>
        <v>EPR-6w/E-12</v>
      </c>
      <c r="K531" s="60" t="str">
        <f t="shared" si="17"/>
        <v>⚠ Frozen Rate</v>
      </c>
      <c r="L531" s="60" t="str">
        <f>IFERROR(INDEX('Docketed Comments'!F:F,MATCH(A531,'Docketed Comments'!H:H,0)),"")</f>
        <v>Opposed</v>
      </c>
      <c r="M531" s="120" t="str">
        <f>IFERROR(INDEX('Docketed Comments'!G:G,MATCH(A531,'Docketed Comments'!H:H,0)),"")</f>
        <v>https://docket.images.azcc.gov/E000046235.pdf</v>
      </c>
      <c r="N531" s="118" t="str">
        <f>IFERROR(INDEX('Docketed Comments'!N:N,MATCH(A531,'Docketed Comments'!H:H,0)),"")</f>
        <v>No</v>
      </c>
      <c r="O531" s="118" t="str">
        <f>IFERROR(INDEX('Docketed Comments'!L:L,MATCH(A531,'Docketed Comments'!H:H,0)),"")</f>
        <v>Frozen Rate</v>
      </c>
      <c r="P531" s="119">
        <f t="shared" si="16"/>
        <v>0</v>
      </c>
      <c r="Q531" s="60"/>
      <c r="R531" s="64" t="s">
        <v>75</v>
      </c>
      <c r="S531" s="64" t="s">
        <v>1173</v>
      </c>
    </row>
    <row r="532" spans="1:19" ht="21.95" customHeight="1">
      <c r="A532" s="66" t="s">
        <v>1174</v>
      </c>
      <c r="B532" s="64"/>
      <c r="C532" s="65"/>
      <c r="D532" s="64"/>
      <c r="E532" s="64"/>
      <c r="F532" s="60"/>
      <c r="G532" s="60" t="s">
        <v>88</v>
      </c>
      <c r="H532" s="60" t="str">
        <f>IFERROR(INDEX('Docketed Comments'!C:C,MATCH(A532,'Docketed Comments'!H:H,0))&amp;", "&amp;INDEX('Docketed Comments'!B:B,MATCH(A532,'Docketed Comments'!H:H,0)),"")</f>
        <v>Steven, Leslie</v>
      </c>
      <c r="I532" s="60" t="str">
        <f>IFERROR(INDEX('Docketed Comments'!D:D,MATCH(A532,'Docketed Comments'!H:H,0)),"")</f>
        <v>Gilbert</v>
      </c>
      <c r="J532" s="60" t="str">
        <f>IFERROR(INDEX('Docketed Comments'!I:I,MATCH(A532,'Docketed Comments'!H:H,0)),"")</f>
        <v>R-BASIC</v>
      </c>
      <c r="K532" s="60" t="str">
        <f t="shared" si="17"/>
        <v>✅ On Best Plan</v>
      </c>
      <c r="L532" s="60" t="str">
        <f>IFERROR(INDEX('Docketed Comments'!F:F,MATCH(A532,'Docketed Comments'!H:H,0)),"")</f>
        <v>Form letter</v>
      </c>
      <c r="M532" s="120" t="str">
        <f>IFERROR(INDEX('Docketed Comments'!G:G,MATCH(A532,'Docketed Comments'!H:H,0)),"")</f>
        <v>https://docket.images.azcc.gov/E000046235.pdf</v>
      </c>
      <c r="N532" s="118" t="str">
        <f>IFERROR(INDEX('Docketed Comments'!N:N,MATCH(A532,'Docketed Comments'!H:H,0)),"")</f>
        <v>No</v>
      </c>
      <c r="O532" s="118" t="str">
        <f>IFERROR(INDEX('Docketed Comments'!L:L,MATCH(A532,'Docketed Comments'!H:H,0)),"")</f>
        <v>Yes</v>
      </c>
      <c r="P532" s="119">
        <f t="shared" si="16"/>
        <v>0</v>
      </c>
      <c r="Q532" s="60"/>
      <c r="R532" s="64" t="s">
        <v>75</v>
      </c>
      <c r="S532" s="64" t="s">
        <v>1175</v>
      </c>
    </row>
    <row r="533" spans="1:19" ht="21.95" customHeight="1">
      <c r="A533" s="66" t="s">
        <v>1176</v>
      </c>
      <c r="B533" s="64"/>
      <c r="C533" s="65"/>
      <c r="D533" s="64"/>
      <c r="E533" s="64"/>
      <c r="F533" s="60"/>
      <c r="G533" s="60" t="s">
        <v>88</v>
      </c>
      <c r="H533" s="60" t="str">
        <f>IFERROR(INDEX('Docketed Comments'!C:C,MATCH(A533,'Docketed Comments'!H:H,0))&amp;", "&amp;INDEX('Docketed Comments'!B:B,MATCH(A533,'Docketed Comments'!H:H,0)),"")</f>
        <v>Justin, Bandy</v>
      </c>
      <c r="I533" s="60" t="str">
        <f>IFERROR(INDEX('Docketed Comments'!D:D,MATCH(A533,'Docketed Comments'!H:H,0)),"")</f>
        <v>Chandler</v>
      </c>
      <c r="J533" s="60" t="str">
        <f>IFERROR(INDEX('Docketed Comments'!I:I,MATCH(A533,'Docketed Comments'!H:H,0)),"")</f>
        <v>R3-47</v>
      </c>
      <c r="K533" s="60" t="str">
        <f t="shared" si="17"/>
        <v>✅ On Best Plan</v>
      </c>
      <c r="L533" s="60" t="str">
        <f>IFERROR(INDEX('Docketed Comments'!F:F,MATCH(A533,'Docketed Comments'!H:H,0)),"")</f>
        <v>Form letter</v>
      </c>
      <c r="M533" s="120" t="str">
        <f>IFERROR(INDEX('Docketed Comments'!G:G,MATCH(A533,'Docketed Comments'!H:H,0)),"")</f>
        <v>https://docket.images.azcc.gov/E000046235.pdf</v>
      </c>
      <c r="N533" s="118" t="str">
        <f>IFERROR(INDEX('Docketed Comments'!N:N,MATCH(A533,'Docketed Comments'!H:H,0)),"")</f>
        <v>No</v>
      </c>
      <c r="O533" s="118" t="str">
        <f>IFERROR(INDEX('Docketed Comments'!L:L,MATCH(A533,'Docketed Comments'!H:H,0)),"")</f>
        <v>Yes</v>
      </c>
      <c r="P533" s="119">
        <f t="shared" si="16"/>
        <v>0</v>
      </c>
      <c r="Q533" s="60"/>
      <c r="R533" s="64" t="s">
        <v>75</v>
      </c>
      <c r="S533" s="64" t="s">
        <v>1177</v>
      </c>
    </row>
    <row r="534" spans="1:19" ht="21.95" customHeight="1">
      <c r="A534" s="66" t="s">
        <v>1178</v>
      </c>
      <c r="B534" s="64"/>
      <c r="C534" s="65"/>
      <c r="D534" s="64"/>
      <c r="E534" s="64"/>
      <c r="F534" s="60"/>
      <c r="G534" s="60" t="s">
        <v>88</v>
      </c>
      <c r="H534" s="60" t="str">
        <f>IFERROR(INDEX('Docketed Comments'!C:C,MATCH(A534,'Docketed Comments'!H:H,0))&amp;", "&amp;INDEX('Docketed Comments'!B:B,MATCH(A534,'Docketed Comments'!H:H,0)),"")</f>
        <v>Jerome, James</v>
      </c>
      <c r="I534" s="60" t="str">
        <f>IFERROR(INDEX('Docketed Comments'!D:D,MATCH(A534,'Docketed Comments'!H:H,0)),"")</f>
        <v>Phoenix</v>
      </c>
      <c r="J534" s="60" t="str">
        <f>IFERROR(INDEX('Docketed Comments'!I:I,MATCH(A534,'Docketed Comments'!H:H,0)),"")</f>
        <v>R-XS</v>
      </c>
      <c r="K534" s="60" t="str">
        <f t="shared" si="17"/>
        <v>✅ On Best Plan</v>
      </c>
      <c r="L534" s="60" t="str">
        <f>IFERROR(INDEX('Docketed Comments'!F:F,MATCH(A534,'Docketed Comments'!H:H,0)),"")</f>
        <v>Form letter</v>
      </c>
      <c r="M534" s="120" t="str">
        <f>IFERROR(INDEX('Docketed Comments'!G:G,MATCH(A534,'Docketed Comments'!H:H,0)),"")</f>
        <v>https://docket.images.azcc.gov/E000046235.pdf</v>
      </c>
      <c r="N534" s="118" t="str">
        <f>IFERROR(INDEX('Docketed Comments'!N:N,MATCH(A534,'Docketed Comments'!H:H,0)),"")</f>
        <v>No</v>
      </c>
      <c r="O534" s="118" t="str">
        <f>IFERROR(INDEX('Docketed Comments'!L:L,MATCH(A534,'Docketed Comments'!H:H,0)),"")</f>
        <v>Yes</v>
      </c>
      <c r="P534" s="119">
        <f t="shared" si="16"/>
        <v>0</v>
      </c>
      <c r="Q534" s="60"/>
      <c r="R534" s="64" t="s">
        <v>75</v>
      </c>
      <c r="S534" s="64" t="s">
        <v>1179</v>
      </c>
    </row>
    <row r="535" spans="1:19" ht="21.95" customHeight="1">
      <c r="A535" s="66" t="s">
        <v>1180</v>
      </c>
      <c r="B535" s="64"/>
      <c r="C535" s="65"/>
      <c r="D535" s="64"/>
      <c r="E535" s="64"/>
      <c r="F535" s="60"/>
      <c r="G535" s="60" t="s">
        <v>88</v>
      </c>
      <c r="H535" s="60" t="str">
        <f>IFERROR(INDEX('Docketed Comments'!C:C,MATCH(A535,'Docketed Comments'!H:H,0))&amp;", "&amp;INDEX('Docketed Comments'!B:B,MATCH(A535,'Docketed Comments'!H:H,0)),"")</f>
        <v>Joey, Mongini</v>
      </c>
      <c r="I535" s="60" t="str">
        <f>IFERROR(INDEX('Docketed Comments'!D:D,MATCH(A535,'Docketed Comments'!H:H,0)),"")</f>
        <v>Cottonwood</v>
      </c>
      <c r="J535" s="60" t="str">
        <f>IFERROR(INDEX('Docketed Comments'!I:I,MATCH(A535,'Docketed Comments'!H:H,0)),"")</f>
        <v>RCPw/RTOUE47</v>
      </c>
      <c r="K535" s="60" t="str">
        <f t="shared" si="17"/>
        <v>✅ On Best Plan</v>
      </c>
      <c r="L535" s="60" t="str">
        <f>IFERROR(INDEX('Docketed Comments'!F:F,MATCH(A535,'Docketed Comments'!H:H,0)),"")</f>
        <v>Strongly opposed</v>
      </c>
      <c r="M535" s="120" t="str">
        <f>IFERROR(INDEX('Docketed Comments'!G:G,MATCH(A535,'Docketed Comments'!H:H,0)),"")</f>
        <v>https://docket.images.azcc.gov/E000046235.pdf</v>
      </c>
      <c r="N535" s="118" t="str">
        <f>IFERROR(INDEX('Docketed Comments'!N:N,MATCH(A535,'Docketed Comments'!H:H,0)),"")</f>
        <v>No</v>
      </c>
      <c r="O535" s="118" t="str">
        <f>IFERROR(INDEX('Docketed Comments'!L:L,MATCH(A535,'Docketed Comments'!H:H,0)),"")</f>
        <v>Yes</v>
      </c>
      <c r="P535" s="119">
        <f t="shared" si="16"/>
        <v>0</v>
      </c>
      <c r="Q535" s="60"/>
      <c r="R535" s="64" t="s">
        <v>75</v>
      </c>
      <c r="S535" s="64" t="s">
        <v>1181</v>
      </c>
    </row>
    <row r="536" spans="1:19" ht="21.95" customHeight="1">
      <c r="A536" s="66" t="s">
        <v>1182</v>
      </c>
      <c r="B536" s="64"/>
      <c r="C536" s="65"/>
      <c r="D536" s="64"/>
      <c r="E536" s="64"/>
      <c r="F536" s="60"/>
      <c r="G536" s="60" t="s">
        <v>88</v>
      </c>
      <c r="H536" s="60" t="str">
        <f>IFERROR(INDEX('Docketed Comments'!C:C,MATCH(A536,'Docketed Comments'!H:H,0))&amp;", "&amp;INDEX('Docketed Comments'!B:B,MATCH(A536,'Docketed Comments'!H:H,0)),"")</f>
        <v>Gabriel, Frey</v>
      </c>
      <c r="I536" s="60" t="str">
        <f>IFERROR(INDEX('Docketed Comments'!D:D,MATCH(A536,'Docketed Comments'!H:H,0)),"")</f>
        <v>Phoenix</v>
      </c>
      <c r="J536" s="60" t="str">
        <f>IFERROR(INDEX('Docketed Comments'!I:I,MATCH(A536,'Docketed Comments'!H:H,0)),"")</f>
        <v>R-BASIC</v>
      </c>
      <c r="K536" s="60" t="str">
        <f t="shared" si="17"/>
        <v>✅ On Best Plan</v>
      </c>
      <c r="L536" s="60" t="str">
        <f>IFERROR(INDEX('Docketed Comments'!F:F,MATCH(A536,'Docketed Comments'!H:H,0)),"")</f>
        <v>Form letter</v>
      </c>
      <c r="M536" s="120" t="str">
        <f>IFERROR(INDEX('Docketed Comments'!G:G,MATCH(A536,'Docketed Comments'!H:H,0)),"")</f>
        <v>https://docket.images.azcc.gov/E000046235.pdf</v>
      </c>
      <c r="N536" s="118" t="str">
        <f>IFERROR(INDEX('Docketed Comments'!N:N,MATCH(A536,'Docketed Comments'!H:H,0)),"")</f>
        <v>No</v>
      </c>
      <c r="O536" s="118" t="str">
        <f>IFERROR(INDEX('Docketed Comments'!L:L,MATCH(A536,'Docketed Comments'!H:H,0)),"")</f>
        <v>Yes</v>
      </c>
      <c r="P536" s="119">
        <f t="shared" si="16"/>
        <v>0</v>
      </c>
      <c r="Q536" s="60"/>
      <c r="R536" s="64" t="s">
        <v>75</v>
      </c>
      <c r="S536" s="64" t="s">
        <v>1183</v>
      </c>
    </row>
    <row r="537" spans="1:19" ht="21.95" customHeight="1">
      <c r="A537" s="66" t="s">
        <v>1184</v>
      </c>
      <c r="B537" s="64"/>
      <c r="C537" s="65"/>
      <c r="D537" s="64"/>
      <c r="E537" s="64"/>
      <c r="F537" s="60"/>
      <c r="G537" s="60" t="s">
        <v>88</v>
      </c>
      <c r="H537" s="60" t="str">
        <f>IFERROR(INDEX('Docketed Comments'!C:C,MATCH(A537,'Docketed Comments'!H:H,0))&amp;", "&amp;INDEX('Docketed Comments'!B:B,MATCH(A537,'Docketed Comments'!H:H,0)),"")</f>
        <v>Austin, Siegel</v>
      </c>
      <c r="I537" s="60" t="str">
        <f>IFERROR(INDEX('Docketed Comments'!D:D,MATCH(A537,'Docketed Comments'!H:H,0)),"")</f>
        <v>Phoenix</v>
      </c>
      <c r="J537" s="60" t="str">
        <f>IFERROR(INDEX('Docketed Comments'!I:I,MATCH(A537,'Docketed Comments'!H:H,0)),"")</f>
        <v>R3-47</v>
      </c>
      <c r="K537" s="60" t="str">
        <f t="shared" si="17"/>
        <v>✅ On Best Plan</v>
      </c>
      <c r="L537" s="60" t="str">
        <f>IFERROR(INDEX('Docketed Comments'!F:F,MATCH(A537,'Docketed Comments'!H:H,0)),"")</f>
        <v>Form letter</v>
      </c>
      <c r="M537" s="120" t="str">
        <f>IFERROR(INDEX('Docketed Comments'!G:G,MATCH(A537,'Docketed Comments'!H:H,0)),"")</f>
        <v>https://docket.images.azcc.gov/E000046235.pdf</v>
      </c>
      <c r="N537" s="118" t="str">
        <f>IFERROR(INDEX('Docketed Comments'!N:N,MATCH(A537,'Docketed Comments'!H:H,0)),"")</f>
        <v>No</v>
      </c>
      <c r="O537" s="118" t="str">
        <f>IFERROR(INDEX('Docketed Comments'!L:L,MATCH(A537,'Docketed Comments'!H:H,0)),"")</f>
        <v>Yes</v>
      </c>
      <c r="P537" s="119">
        <f t="shared" si="16"/>
        <v>0</v>
      </c>
      <c r="Q537" s="60"/>
      <c r="R537" s="64" t="s">
        <v>75</v>
      </c>
      <c r="S537" s="64" t="s">
        <v>1185</v>
      </c>
    </row>
    <row r="538" spans="1:19" ht="21.95" customHeight="1">
      <c r="A538" s="66" t="s">
        <v>1186</v>
      </c>
      <c r="B538" s="64"/>
      <c r="C538" s="65"/>
      <c r="D538" s="64"/>
      <c r="E538" s="64"/>
      <c r="F538" s="60"/>
      <c r="G538" s="60" t="s">
        <v>88</v>
      </c>
      <c r="H538" s="60" t="str">
        <f>IFERROR(INDEX('Docketed Comments'!C:C,MATCH(A538,'Docketed Comments'!H:H,0))&amp;", "&amp;INDEX('Docketed Comments'!B:B,MATCH(A538,'Docketed Comments'!H:H,0)),"")</f>
        <v xml:space="preserve">Harjeet, Singh </v>
      </c>
      <c r="I538" s="60" t="str">
        <f>IFERROR(INDEX('Docketed Comments'!D:D,MATCH(A538,'Docketed Comments'!H:H,0)),"")</f>
        <v>Phoenix</v>
      </c>
      <c r="J538" s="60" t="str">
        <f>IFERROR(INDEX('Docketed Comments'!I:I,MATCH(A538,'Docketed Comments'!H:H,0)),"")</f>
        <v>R3-47</v>
      </c>
      <c r="K538" s="60" t="str">
        <f t="shared" si="17"/>
        <v>✅ On Best Plan</v>
      </c>
      <c r="L538" s="60" t="str">
        <f>IFERROR(INDEX('Docketed Comments'!F:F,MATCH(A538,'Docketed Comments'!H:H,0)),"")</f>
        <v>Form letter</v>
      </c>
      <c r="M538" s="120" t="str">
        <f>IFERROR(INDEX('Docketed Comments'!G:G,MATCH(A538,'Docketed Comments'!H:H,0)),"")</f>
        <v>https://docket.images.azcc.gov/E000046235.pdf</v>
      </c>
      <c r="N538" s="118" t="str">
        <f>IFERROR(INDEX('Docketed Comments'!N:N,MATCH(A538,'Docketed Comments'!H:H,0)),"")</f>
        <v>No</v>
      </c>
      <c r="O538" s="118" t="str">
        <f>IFERROR(INDEX('Docketed Comments'!L:L,MATCH(A538,'Docketed Comments'!H:H,0)),"")</f>
        <v>Yes</v>
      </c>
      <c r="P538" s="119">
        <f t="shared" si="16"/>
        <v>0</v>
      </c>
      <c r="Q538" s="60"/>
      <c r="R538" s="64" t="s">
        <v>75</v>
      </c>
      <c r="S538" s="64" t="s">
        <v>1187</v>
      </c>
    </row>
    <row r="539" spans="1:19" ht="21.95" customHeight="1">
      <c r="A539" s="66" t="s">
        <v>1188</v>
      </c>
      <c r="B539" s="64"/>
      <c r="C539" s="65"/>
      <c r="D539" s="64"/>
      <c r="E539" s="64"/>
      <c r="F539" s="60"/>
      <c r="G539" s="60" t="s">
        <v>88</v>
      </c>
      <c r="H539" s="60" t="str">
        <f>IFERROR(INDEX('Docketed Comments'!C:C,MATCH(A539,'Docketed Comments'!H:H,0))&amp;", "&amp;INDEX('Docketed Comments'!B:B,MATCH(A539,'Docketed Comments'!H:H,0)),"")</f>
        <v>Ryan, Mesch</v>
      </c>
      <c r="I539" s="60" t="str">
        <f>IFERROR(INDEX('Docketed Comments'!D:D,MATCH(A539,'Docketed Comments'!H:H,0)),"")</f>
        <v>Phoenix</v>
      </c>
      <c r="J539" s="60" t="str">
        <f>IFERROR(INDEX('Docketed Comments'!I:I,MATCH(A539,'Docketed Comments'!H:H,0)),"")</f>
        <v>RCPw/RTOUE47</v>
      </c>
      <c r="K539" s="60" t="str">
        <f t="shared" si="17"/>
        <v>✅ On Best Plan</v>
      </c>
      <c r="L539" s="60" t="str">
        <f>IFERROR(INDEX('Docketed Comments'!F:F,MATCH(A539,'Docketed Comments'!H:H,0)),"")</f>
        <v xml:space="preserve">Strongly against </v>
      </c>
      <c r="M539" s="120" t="str">
        <f>IFERROR(INDEX('Docketed Comments'!G:G,MATCH(A539,'Docketed Comments'!H:H,0)),"")</f>
        <v>https://docket.images.azcc.gov/E000046235.pdf</v>
      </c>
      <c r="N539" s="118" t="str">
        <f>IFERROR(INDEX('Docketed Comments'!N:N,MATCH(A539,'Docketed Comments'!H:H,0)),"")</f>
        <v>No</v>
      </c>
      <c r="O539" s="118" t="str">
        <f>IFERROR(INDEX('Docketed Comments'!L:L,MATCH(A539,'Docketed Comments'!H:H,0)),"")</f>
        <v>Yes</v>
      </c>
      <c r="P539" s="119">
        <f t="shared" si="16"/>
        <v>0</v>
      </c>
      <c r="Q539" s="60"/>
      <c r="R539" s="64" t="s">
        <v>75</v>
      </c>
      <c r="S539" s="64" t="s">
        <v>1189</v>
      </c>
    </row>
    <row r="540" spans="1:19" ht="21.95" customHeight="1">
      <c r="A540" s="66" t="s">
        <v>1190</v>
      </c>
      <c r="B540" s="64"/>
      <c r="C540" s="65"/>
      <c r="D540" s="64"/>
      <c r="E540" s="64"/>
      <c r="F540" s="60"/>
      <c r="G540" s="60" t="s">
        <v>88</v>
      </c>
      <c r="H540" s="60" t="str">
        <f>IFERROR(INDEX('Docketed Comments'!C:C,MATCH(A540,'Docketed Comments'!H:H,0))&amp;", "&amp;INDEX('Docketed Comments'!B:B,MATCH(A540,'Docketed Comments'!H:H,0)),"")</f>
        <v>Andrew, Quine</v>
      </c>
      <c r="I540" s="60" t="str">
        <f>IFERROR(INDEX('Docketed Comments'!D:D,MATCH(A540,'Docketed Comments'!H:H,0)),"")</f>
        <v>Glendale</v>
      </c>
      <c r="J540" s="60" t="str">
        <f>IFERROR(INDEX('Docketed Comments'!I:I,MATCH(A540,'Docketed Comments'!H:H,0)),"")</f>
        <v>R3-47</v>
      </c>
      <c r="K540" s="60" t="str">
        <f t="shared" si="17"/>
        <v>✅ On Best Plan</v>
      </c>
      <c r="L540" s="60" t="str">
        <f>IFERROR(INDEX('Docketed Comments'!F:F,MATCH(A540,'Docketed Comments'!H:H,0)),"")</f>
        <v>Form letter</v>
      </c>
      <c r="M540" s="120" t="str">
        <f>IFERROR(INDEX('Docketed Comments'!G:G,MATCH(A540,'Docketed Comments'!H:H,0)),"")</f>
        <v>https://docket.images.azcc.gov/E000046235.pdf</v>
      </c>
      <c r="N540" s="118" t="str">
        <f>IFERROR(INDEX('Docketed Comments'!N:N,MATCH(A540,'Docketed Comments'!H:H,0)),"")</f>
        <v>No</v>
      </c>
      <c r="O540" s="118" t="str">
        <f>IFERROR(INDEX('Docketed Comments'!L:L,MATCH(A540,'Docketed Comments'!H:H,0)),"")</f>
        <v>Yes</v>
      </c>
      <c r="P540" s="119">
        <f t="shared" si="16"/>
        <v>0</v>
      </c>
      <c r="Q540" s="60"/>
      <c r="R540" s="64" t="s">
        <v>75</v>
      </c>
      <c r="S540" s="64" t="s">
        <v>1191</v>
      </c>
    </row>
    <row r="541" spans="1:19" ht="21.95" customHeight="1">
      <c r="A541" s="66" t="s">
        <v>1192</v>
      </c>
      <c r="B541" s="64"/>
      <c r="C541" s="65"/>
      <c r="D541" s="64"/>
      <c r="E541" s="64"/>
      <c r="F541" s="60"/>
      <c r="G541" s="60" t="s">
        <v>88</v>
      </c>
      <c r="H541" s="60" t="str">
        <f>IFERROR(INDEX('Docketed Comments'!C:C,MATCH(A541,'Docketed Comments'!H:H,0))&amp;", "&amp;INDEX('Docketed Comments'!B:B,MATCH(A541,'Docketed Comments'!H:H,0)),"")</f>
        <v>Sunsarae, Bowen</v>
      </c>
      <c r="I541" s="60" t="str">
        <f>IFERROR(INDEX('Docketed Comments'!D:D,MATCH(A541,'Docketed Comments'!H:H,0)),"")</f>
        <v>Goodyear</v>
      </c>
      <c r="J541" s="60" t="str">
        <f>IFERROR(INDEX('Docketed Comments'!I:I,MATCH(A541,'Docketed Comments'!H:H,0)),"")</f>
        <v>R-BASIC</v>
      </c>
      <c r="K541" s="60" t="str">
        <f t="shared" si="17"/>
        <v>✅ On Best Plan</v>
      </c>
      <c r="L541" s="60" t="str">
        <f>IFERROR(INDEX('Docketed Comments'!F:F,MATCH(A541,'Docketed Comments'!H:H,0)),"")</f>
        <v>Form letter</v>
      </c>
      <c r="M541" s="120" t="str">
        <f>IFERROR(INDEX('Docketed Comments'!G:G,MATCH(A541,'Docketed Comments'!H:H,0)),"")</f>
        <v>https://docket.images.azcc.gov/E000046235.pdf</v>
      </c>
      <c r="N541" s="118" t="str">
        <f>IFERROR(INDEX('Docketed Comments'!N:N,MATCH(A541,'Docketed Comments'!H:H,0)),"")</f>
        <v>No</v>
      </c>
      <c r="O541" s="118" t="str">
        <f>IFERROR(INDEX('Docketed Comments'!L:L,MATCH(A541,'Docketed Comments'!H:H,0)),"")</f>
        <v>Yes</v>
      </c>
      <c r="P541" s="119">
        <f t="shared" si="16"/>
        <v>0</v>
      </c>
      <c r="Q541" s="60"/>
      <c r="R541" s="64" t="s">
        <v>75</v>
      </c>
      <c r="S541" s="64" t="s">
        <v>1193</v>
      </c>
    </row>
    <row r="542" spans="1:19" ht="21.95" customHeight="1">
      <c r="A542" s="66" t="s">
        <v>1194</v>
      </c>
      <c r="B542" s="64"/>
      <c r="C542" s="65"/>
      <c r="D542" s="64"/>
      <c r="E542" s="64"/>
      <c r="F542" s="60"/>
      <c r="G542" s="60" t="s">
        <v>88</v>
      </c>
      <c r="H542" s="60" t="str">
        <f>IFERROR(INDEX('Docketed Comments'!C:C,MATCH(A542,'Docketed Comments'!H:H,0))&amp;", "&amp;INDEX('Docketed Comments'!B:B,MATCH(A542,'Docketed Comments'!H:H,0)),"")</f>
        <v>William, Irwin</v>
      </c>
      <c r="I542" s="60" t="str">
        <f>IFERROR(INDEX('Docketed Comments'!D:D,MATCH(A542,'Docketed Comments'!H:H,0)),"")</f>
        <v>Phoenix</v>
      </c>
      <c r="J542" s="60" t="str">
        <f>IFERROR(INDEX('Docketed Comments'!I:I,MATCH(A542,'Docketed Comments'!H:H,0)),"")</f>
        <v>R3-47</v>
      </c>
      <c r="K542" s="60" t="str">
        <f t="shared" si="17"/>
        <v>✅ On Best Plan</v>
      </c>
      <c r="L542" s="60" t="str">
        <f>IFERROR(INDEX('Docketed Comments'!F:F,MATCH(A542,'Docketed Comments'!H:H,0)),"")</f>
        <v>Form letter</v>
      </c>
      <c r="M542" s="120" t="str">
        <f>IFERROR(INDEX('Docketed Comments'!G:G,MATCH(A542,'Docketed Comments'!H:H,0)),"")</f>
        <v>https://docket.images.azcc.gov/E000046235.pdf</v>
      </c>
      <c r="N542" s="118" t="str">
        <f>IFERROR(INDEX('Docketed Comments'!N:N,MATCH(A542,'Docketed Comments'!H:H,0)),"")</f>
        <v>No</v>
      </c>
      <c r="O542" s="118" t="str">
        <f>IFERROR(INDEX('Docketed Comments'!L:L,MATCH(A542,'Docketed Comments'!H:H,0)),"")</f>
        <v>Yes</v>
      </c>
      <c r="P542" s="119">
        <f t="shared" si="16"/>
        <v>0</v>
      </c>
      <c r="Q542" s="60"/>
      <c r="R542" s="64" t="s">
        <v>75</v>
      </c>
      <c r="S542" s="64" t="s">
        <v>1195</v>
      </c>
    </row>
    <row r="543" spans="1:19" ht="21.95" customHeight="1">
      <c r="A543" s="66" t="s">
        <v>1196</v>
      </c>
      <c r="B543" s="64"/>
      <c r="C543" s="65"/>
      <c r="D543" s="64"/>
      <c r="E543" s="64"/>
      <c r="F543" s="60"/>
      <c r="G543" s="60" t="s">
        <v>88</v>
      </c>
      <c r="H543" s="60" t="str">
        <f>IFERROR(INDEX('Docketed Comments'!C:C,MATCH(A543,'Docketed Comments'!H:H,0))&amp;", "&amp;INDEX('Docketed Comments'!B:B,MATCH(A543,'Docketed Comments'!H:H,0)),"")</f>
        <v>Marc, DeMelo</v>
      </c>
      <c r="I543" s="60" t="str">
        <f>IFERROR(INDEX('Docketed Comments'!D:D,MATCH(A543,'Docketed Comments'!H:H,0)),"")</f>
        <v>Scottsdale</v>
      </c>
      <c r="J543" s="60" t="str">
        <f>IFERROR(INDEX('Docketed Comments'!I:I,MATCH(A543,'Docketed Comments'!H:H,0)),"")</f>
        <v>R3-47</v>
      </c>
      <c r="K543" s="60" t="str">
        <f t="shared" si="17"/>
        <v>✅ On Best Plan</v>
      </c>
      <c r="L543" s="60" t="str">
        <f>IFERROR(INDEX('Docketed Comments'!F:F,MATCH(A543,'Docketed Comments'!H:H,0)),"")</f>
        <v>Blatant gouging</v>
      </c>
      <c r="M543" s="120" t="str">
        <f>IFERROR(INDEX('Docketed Comments'!G:G,MATCH(A543,'Docketed Comments'!H:H,0)),"")</f>
        <v>https://docket.images.azcc.gov/E000046235.pdf</v>
      </c>
      <c r="N543" s="118" t="str">
        <f>IFERROR(INDEX('Docketed Comments'!N:N,MATCH(A543,'Docketed Comments'!H:H,0)),"")</f>
        <v>No</v>
      </c>
      <c r="O543" s="118" t="str">
        <f>IFERROR(INDEX('Docketed Comments'!L:L,MATCH(A543,'Docketed Comments'!H:H,0)),"")</f>
        <v>Yes</v>
      </c>
      <c r="P543" s="119">
        <f t="shared" si="16"/>
        <v>0</v>
      </c>
      <c r="Q543" s="60"/>
      <c r="R543" s="64" t="s">
        <v>75</v>
      </c>
      <c r="S543" s="64" t="s">
        <v>1197</v>
      </c>
    </row>
    <row r="544" spans="1:19" ht="21.95" customHeight="1">
      <c r="A544" s="66" t="s">
        <v>1198</v>
      </c>
      <c r="B544" s="64"/>
      <c r="C544" s="65"/>
      <c r="D544" s="64"/>
      <c r="E544" s="64"/>
      <c r="F544" s="60"/>
      <c r="G544" s="60" t="s">
        <v>88</v>
      </c>
      <c r="H544" s="60" t="str">
        <f>IFERROR(INDEX('Docketed Comments'!C:C,MATCH(A544,'Docketed Comments'!H:H,0))&amp;", "&amp;INDEX('Docketed Comments'!B:B,MATCH(A544,'Docketed Comments'!H:H,0)),"")</f>
        <v>Ryan, Sidebottom</v>
      </c>
      <c r="I544" s="60" t="str">
        <f>IFERROR(INDEX('Docketed Comments'!D:D,MATCH(A544,'Docketed Comments'!H:H,0)),"")</f>
        <v>Phoenix</v>
      </c>
      <c r="J544" s="60" t="str">
        <f>IFERROR(INDEX('Docketed Comments'!I:I,MATCH(A544,'Docketed Comments'!H:H,0)),"")</f>
        <v>R-BASIC</v>
      </c>
      <c r="K544" s="60" t="str">
        <f t="shared" si="17"/>
        <v>✅ On Best Plan</v>
      </c>
      <c r="L544" s="60" t="str">
        <f>IFERROR(INDEX('Docketed Comments'!F:F,MATCH(A544,'Docketed Comments'!H:H,0)),"")</f>
        <v>Form letter</v>
      </c>
      <c r="M544" s="120" t="str">
        <f>IFERROR(INDEX('Docketed Comments'!G:G,MATCH(A544,'Docketed Comments'!H:H,0)),"")</f>
        <v>https://docket.images.azcc.gov/E000046235.pdf</v>
      </c>
      <c r="N544" s="118" t="str">
        <f>IFERROR(INDEX('Docketed Comments'!N:N,MATCH(A544,'Docketed Comments'!H:H,0)),"")</f>
        <v>No</v>
      </c>
      <c r="O544" s="118" t="str">
        <f>IFERROR(INDEX('Docketed Comments'!L:L,MATCH(A544,'Docketed Comments'!H:H,0)),"")</f>
        <v>Yes</v>
      </c>
      <c r="P544" s="119">
        <f t="shared" si="16"/>
        <v>0</v>
      </c>
      <c r="Q544" s="60"/>
      <c r="R544" s="64" t="s">
        <v>75</v>
      </c>
      <c r="S544" s="64" t="s">
        <v>1199</v>
      </c>
    </row>
    <row r="545" spans="1:19" ht="21.95" hidden="1" customHeight="1">
      <c r="A545" s="66" t="s">
        <v>1200</v>
      </c>
      <c r="B545" s="64" t="s">
        <v>20</v>
      </c>
      <c r="C545" s="65">
        <v>45997</v>
      </c>
      <c r="D545" s="64" t="s">
        <v>27</v>
      </c>
      <c r="E545" s="64" t="s">
        <v>22</v>
      </c>
      <c r="F545" s="60" t="s">
        <v>1201</v>
      </c>
      <c r="G545" s="60"/>
      <c r="H545" s="60" t="str">
        <f>IFERROR(INDEX('Docketed Comments'!C:C,MATCH(A545,'Docketed Comments'!H:H,0))&amp;", "&amp;INDEX('Docketed Comments'!B:B,MATCH(A545,'Docketed Comments'!H:H,0)),"")</f>
        <v>Joshua, McKinney</v>
      </c>
      <c r="I545" s="60" t="str">
        <f>IFERROR(INDEX('Docketed Comments'!D:D,MATCH(A545,'Docketed Comments'!H:H,0)),"")</f>
        <v>Phoenix</v>
      </c>
      <c r="J545" s="60" t="str">
        <f>IFERROR(INDEX('Docketed Comments'!I:I,MATCH(A545,'Docketed Comments'!H:H,0)),"")</f>
        <v>R-XS</v>
      </c>
      <c r="K545" s="60" t="str">
        <f t="shared" si="17"/>
        <v>✅ On Best Plan</v>
      </c>
      <c r="L545" s="60" t="str">
        <f>IFERROR(INDEX('Docketed Comments'!F:F,MATCH(A545,'Docketed Comments'!H:H,0)),"")</f>
        <v>Form letter</v>
      </c>
      <c r="M545" s="120" t="str">
        <f>IFERROR(INDEX('Docketed Comments'!G:G,MATCH(A545,'Docketed Comments'!H:H,0)),"")</f>
        <v>https://docket.images.azcc.gov/E000046235.pdf</v>
      </c>
      <c r="N545" s="118" t="str">
        <f>IFERROR(INDEX('Docketed Comments'!N:N,MATCH(A545,'Docketed Comments'!H:H,0)),"")</f>
        <v>No</v>
      </c>
      <c r="O545" s="118" t="str">
        <f>IFERROR(INDEX('Docketed Comments'!L:L,MATCH(A545,'Docketed Comments'!H:H,0)),"")</f>
        <v>Yes</v>
      </c>
      <c r="P545" s="119">
        <f t="shared" si="16"/>
        <v>0</v>
      </c>
      <c r="Q545" s="60" t="s">
        <v>23</v>
      </c>
      <c r="R545" s="64" t="s">
        <v>24</v>
      </c>
      <c r="S545" s="64" t="s">
        <v>1202</v>
      </c>
    </row>
    <row r="546" spans="1:19" ht="21.95" customHeight="1">
      <c r="A546" s="66" t="s">
        <v>1203</v>
      </c>
      <c r="B546" s="64"/>
      <c r="C546" s="65"/>
      <c r="D546" s="64"/>
      <c r="E546" s="64"/>
      <c r="F546" s="60"/>
      <c r="G546" s="60" t="s">
        <v>88</v>
      </c>
      <c r="H546" s="60" t="str">
        <f>IFERROR(INDEX('Docketed Comments'!C:C,MATCH(A546,'Docketed Comments'!H:H,0))&amp;", "&amp;INDEX('Docketed Comments'!B:B,MATCH(A546,'Docketed Comments'!H:H,0)),"")</f>
        <v>Brady, Vontran</v>
      </c>
      <c r="I546" s="60" t="str">
        <f>IFERROR(INDEX('Docketed Comments'!D:D,MATCH(A546,'Docketed Comments'!H:H,0)),"")</f>
        <v>Glendale</v>
      </c>
      <c r="J546" s="60" t="str">
        <f>IFERROR(INDEX('Docketed Comments'!I:I,MATCH(A546,'Docketed Comments'!H:H,0)),"")</f>
        <v>R3-47</v>
      </c>
      <c r="K546" s="60" t="str">
        <f t="shared" si="17"/>
        <v>✅ On Best Plan</v>
      </c>
      <c r="L546" s="60" t="str">
        <f>IFERROR(INDEX('Docketed Comments'!F:F,MATCH(A546,'Docketed Comments'!H:H,0)),"")</f>
        <v>Form letter</v>
      </c>
      <c r="M546" s="120" t="str">
        <f>IFERROR(INDEX('Docketed Comments'!G:G,MATCH(A546,'Docketed Comments'!H:H,0)),"")</f>
        <v>https://docket.images.azcc.gov/E000046235.pdf</v>
      </c>
      <c r="N546" s="118" t="str">
        <f>IFERROR(INDEX('Docketed Comments'!N:N,MATCH(A546,'Docketed Comments'!H:H,0)),"")</f>
        <v>No</v>
      </c>
      <c r="O546" s="118" t="str">
        <f>IFERROR(INDEX('Docketed Comments'!L:L,MATCH(A546,'Docketed Comments'!H:H,0)),"")</f>
        <v>Yes</v>
      </c>
      <c r="P546" s="119">
        <f t="shared" si="16"/>
        <v>0</v>
      </c>
      <c r="Q546" s="60"/>
      <c r="R546" s="64" t="s">
        <v>75</v>
      </c>
      <c r="S546" s="64" t="s">
        <v>1204</v>
      </c>
    </row>
    <row r="547" spans="1:19" ht="21.95" customHeight="1">
      <c r="A547" s="66" t="s">
        <v>1205</v>
      </c>
      <c r="B547" s="64"/>
      <c r="C547" s="65"/>
      <c r="D547" s="64"/>
      <c r="E547" s="64"/>
      <c r="F547" s="60"/>
      <c r="G547" s="60" t="s">
        <v>88</v>
      </c>
      <c r="H547" s="60" t="str">
        <f>IFERROR(INDEX('Docketed Comments'!C:C,MATCH(A547,'Docketed Comments'!H:H,0))&amp;", "&amp;INDEX('Docketed Comments'!B:B,MATCH(A547,'Docketed Comments'!H:H,0)),"")</f>
        <v>Corey, Ingraham</v>
      </c>
      <c r="I547" s="60" t="str">
        <f>IFERROR(INDEX('Docketed Comments'!D:D,MATCH(A547,'Docketed Comments'!H:H,0)),"")</f>
        <v>Buckeye</v>
      </c>
      <c r="J547" s="60" t="str">
        <f>IFERROR(INDEX('Docketed Comments'!I:I,MATCH(A547,'Docketed Comments'!H:H,0)),"")</f>
        <v>R3-47</v>
      </c>
      <c r="K547" s="60" t="str">
        <f t="shared" si="17"/>
        <v>✅ On Best Plan</v>
      </c>
      <c r="L547" s="60" t="str">
        <f>IFERROR(INDEX('Docketed Comments'!F:F,MATCH(A547,'Docketed Comments'!H:H,0)),"")</f>
        <v>Form letter</v>
      </c>
      <c r="M547" s="120" t="str">
        <f>IFERROR(INDEX('Docketed Comments'!G:G,MATCH(A547,'Docketed Comments'!H:H,0)),"")</f>
        <v>https://docket.images.azcc.gov/E000046235.pdf</v>
      </c>
      <c r="N547" s="118" t="str">
        <f>IFERROR(INDEX('Docketed Comments'!N:N,MATCH(A547,'Docketed Comments'!H:H,0)),"")</f>
        <v>No</v>
      </c>
      <c r="O547" s="118" t="str">
        <f>IFERROR(INDEX('Docketed Comments'!L:L,MATCH(A547,'Docketed Comments'!H:H,0)),"")</f>
        <v>Yes</v>
      </c>
      <c r="P547" s="119">
        <f t="shared" si="16"/>
        <v>0</v>
      </c>
      <c r="Q547" s="60"/>
      <c r="R547" s="64" t="s">
        <v>75</v>
      </c>
      <c r="S547" s="64" t="s">
        <v>1206</v>
      </c>
    </row>
    <row r="548" spans="1:19" ht="21.95" customHeight="1">
      <c r="A548" s="66" t="s">
        <v>1207</v>
      </c>
      <c r="B548" s="64"/>
      <c r="C548" s="65"/>
      <c r="D548" s="64"/>
      <c r="E548" s="64"/>
      <c r="F548" s="60"/>
      <c r="G548" s="60" t="s">
        <v>88</v>
      </c>
      <c r="H548" s="60" t="str">
        <f>IFERROR(INDEX('Docketed Comments'!C:C,MATCH(A548,'Docketed Comments'!H:H,0))&amp;", "&amp;INDEX('Docketed Comments'!B:B,MATCH(A548,'Docketed Comments'!H:H,0)),"")</f>
        <v>Ronald, Greenfield</v>
      </c>
      <c r="I548" s="60" t="str">
        <f>IFERROR(INDEX('Docketed Comments'!D:D,MATCH(A548,'Docketed Comments'!H:H,0)),"")</f>
        <v>Buckeye</v>
      </c>
      <c r="J548" s="60" t="str">
        <f>IFERROR(INDEX('Docketed Comments'!I:I,MATCH(A548,'Docketed Comments'!H:H,0)),"")</f>
        <v>EPR-6w/ET-2</v>
      </c>
      <c r="K548" s="60" t="str">
        <f t="shared" si="17"/>
        <v>⚠ Frozen Rate</v>
      </c>
      <c r="L548" s="60" t="str">
        <f>IFERROR(INDEX('Docketed Comments'!F:F,MATCH(A548,'Docketed Comments'!H:H,0)),"")</f>
        <v>Opposed</v>
      </c>
      <c r="M548" s="120" t="str">
        <f>IFERROR(INDEX('Docketed Comments'!G:G,MATCH(A548,'Docketed Comments'!H:H,0)),"")</f>
        <v>https://docket.images.azcc.gov/E000046235.pdf</v>
      </c>
      <c r="N548" s="118" t="str">
        <f>IFERROR(INDEX('Docketed Comments'!N:N,MATCH(A548,'Docketed Comments'!H:H,0)),"")</f>
        <v>No</v>
      </c>
      <c r="O548" s="118" t="str">
        <f>IFERROR(INDEX('Docketed Comments'!L:L,MATCH(A548,'Docketed Comments'!H:H,0)),"")</f>
        <v>Frozen Rate</v>
      </c>
      <c r="P548" s="119">
        <f t="shared" si="16"/>
        <v>0</v>
      </c>
      <c r="Q548" s="60"/>
      <c r="R548" s="64" t="s">
        <v>75</v>
      </c>
      <c r="S548" s="64" t="s">
        <v>1208</v>
      </c>
    </row>
    <row r="549" spans="1:19" ht="21.95" customHeight="1">
      <c r="A549" s="66" t="s">
        <v>1209</v>
      </c>
      <c r="B549" s="64"/>
      <c r="C549" s="65"/>
      <c r="D549" s="64"/>
      <c r="E549" s="64"/>
      <c r="F549" s="60"/>
      <c r="G549" s="60" t="s">
        <v>88</v>
      </c>
      <c r="H549" s="60" t="str">
        <f>IFERROR(INDEX('Docketed Comments'!C:C,MATCH(A549,'Docketed Comments'!H:H,0))&amp;", "&amp;INDEX('Docketed Comments'!B:B,MATCH(A549,'Docketed Comments'!H:H,0)),"")</f>
        <v>Bryan, Duclos</v>
      </c>
      <c r="I549" s="60" t="str">
        <f>IFERROR(INDEX('Docketed Comments'!D:D,MATCH(A549,'Docketed Comments'!H:H,0)),"")</f>
        <v>Goodyear</v>
      </c>
      <c r="J549" s="60" t="str">
        <f>IFERROR(INDEX('Docketed Comments'!I:I,MATCH(A549,'Docketed Comments'!H:H,0)),"")</f>
        <v>EPR-6w/ET-2</v>
      </c>
      <c r="K549" s="60" t="str">
        <f t="shared" si="17"/>
        <v>⚠ Frozen Rate</v>
      </c>
      <c r="L549" s="60" t="str">
        <f>IFERROR(INDEX('Docketed Comments'!F:F,MATCH(A549,'Docketed Comments'!H:H,0)),"")</f>
        <v xml:space="preserve">Monopoly,  </v>
      </c>
      <c r="M549" s="120" t="str">
        <f>IFERROR(INDEX('Docketed Comments'!G:G,MATCH(A549,'Docketed Comments'!H:H,0)),"")</f>
        <v>https://docket.images.azcc.gov/E000046235.pdf</v>
      </c>
      <c r="N549" s="118" t="str">
        <f>IFERROR(INDEX('Docketed Comments'!N:N,MATCH(A549,'Docketed Comments'!H:H,0)),"")</f>
        <v>No</v>
      </c>
      <c r="O549" s="118" t="str">
        <f>IFERROR(INDEX('Docketed Comments'!L:L,MATCH(A549,'Docketed Comments'!H:H,0)),"")</f>
        <v>Frozen Rate</v>
      </c>
      <c r="P549" s="119">
        <f t="shared" si="16"/>
        <v>0</v>
      </c>
      <c r="Q549" s="60"/>
      <c r="R549" s="64" t="s">
        <v>75</v>
      </c>
      <c r="S549" s="64" t="s">
        <v>1210</v>
      </c>
    </row>
    <row r="550" spans="1:19" ht="21.95" customHeight="1">
      <c r="A550" s="66" t="s">
        <v>1211</v>
      </c>
      <c r="B550" s="64"/>
      <c r="C550" s="65"/>
      <c r="D550" s="64"/>
      <c r="E550" s="64"/>
      <c r="F550" s="60"/>
      <c r="G550" s="60" t="s">
        <v>88</v>
      </c>
      <c r="H550" s="60" t="str">
        <f>IFERROR(INDEX('Docketed Comments'!C:C,MATCH(A550,'Docketed Comments'!H:H,0))&amp;", "&amp;INDEX('Docketed Comments'!B:B,MATCH(A550,'Docketed Comments'!H:H,0)),"")</f>
        <v>Patrick, Guerin</v>
      </c>
      <c r="I550" s="60" t="str">
        <f>IFERROR(INDEX('Docketed Comments'!D:D,MATCH(A550,'Docketed Comments'!H:H,0)),"")</f>
        <v>Ajo</v>
      </c>
      <c r="J550" s="60" t="str">
        <f>IFERROR(INDEX('Docketed Comments'!I:I,MATCH(A550,'Docketed Comments'!H:H,0)),"")</f>
        <v>RCPw/RTOUE47</v>
      </c>
      <c r="K550" s="60" t="str">
        <f t="shared" si="17"/>
        <v>✅ On Best Plan</v>
      </c>
      <c r="L550" s="60" t="str">
        <f>IFERROR(INDEX('Docketed Comments'!F:F,MATCH(A550,'Docketed Comments'!H:H,0)),"")</f>
        <v>Form letter</v>
      </c>
      <c r="M550" s="120" t="str">
        <f>IFERROR(INDEX('Docketed Comments'!G:G,MATCH(A550,'Docketed Comments'!H:H,0)),"")</f>
        <v>https://docket.images.azcc.gov/E000046235.pdf</v>
      </c>
      <c r="N550" s="118" t="str">
        <f>IFERROR(INDEX('Docketed Comments'!N:N,MATCH(A550,'Docketed Comments'!H:H,0)),"")</f>
        <v>No</v>
      </c>
      <c r="O550" s="118" t="str">
        <f>IFERROR(INDEX('Docketed Comments'!L:L,MATCH(A550,'Docketed Comments'!H:H,0)),"")</f>
        <v>Yes</v>
      </c>
      <c r="P550" s="119">
        <f t="shared" si="16"/>
        <v>0</v>
      </c>
      <c r="Q550" s="60"/>
      <c r="R550" s="64" t="s">
        <v>75</v>
      </c>
      <c r="S550" s="64" t="s">
        <v>1212</v>
      </c>
    </row>
    <row r="551" spans="1:19" ht="21.95" customHeight="1">
      <c r="A551" s="66" t="s">
        <v>1213</v>
      </c>
      <c r="B551" s="64"/>
      <c r="C551" s="65"/>
      <c r="D551" s="64"/>
      <c r="E551" s="64"/>
      <c r="F551" s="60"/>
      <c r="G551" s="60" t="s">
        <v>88</v>
      </c>
      <c r="H551" s="60" t="str">
        <f>IFERROR(INDEX('Docketed Comments'!C:C,MATCH(A551,'Docketed Comments'!H:H,0))&amp;", "&amp;INDEX('Docketed Comments'!B:B,MATCH(A551,'Docketed Comments'!H:H,0)),"")</f>
        <v>Jose, Bello</v>
      </c>
      <c r="I551" s="60" t="str">
        <f>IFERROR(INDEX('Docketed Comments'!D:D,MATCH(A551,'Docketed Comments'!H:H,0)),"")</f>
        <v>Goodyear</v>
      </c>
      <c r="J551" s="60" t="str">
        <f>IFERROR(INDEX('Docketed Comments'!I:I,MATCH(A551,'Docketed Comments'!H:H,0)),"")</f>
        <v>RCPw/RTOUE47</v>
      </c>
      <c r="K551" s="60" t="str">
        <f t="shared" si="17"/>
        <v>✅ On Best Plan</v>
      </c>
      <c r="L551" s="60" t="str">
        <f>IFERROR(INDEX('Docketed Comments'!F:F,MATCH(A551,'Docketed Comments'!H:H,0)),"")</f>
        <v>Ridiculously high</v>
      </c>
      <c r="M551" s="120" t="str">
        <f>IFERROR(INDEX('Docketed Comments'!G:G,MATCH(A551,'Docketed Comments'!H:H,0)),"")</f>
        <v>https://docket.images.azcc.gov/E000046235.pdf</v>
      </c>
      <c r="N551" s="118" t="str">
        <f>IFERROR(INDEX('Docketed Comments'!N:N,MATCH(A551,'Docketed Comments'!H:H,0)),"")</f>
        <v>No</v>
      </c>
      <c r="O551" s="118" t="str">
        <f>IFERROR(INDEX('Docketed Comments'!L:L,MATCH(A551,'Docketed Comments'!H:H,0)),"")</f>
        <v>Yes</v>
      </c>
      <c r="P551" s="119">
        <f t="shared" si="16"/>
        <v>0</v>
      </c>
      <c r="Q551" s="60"/>
      <c r="R551" s="64" t="s">
        <v>75</v>
      </c>
      <c r="S551" s="64" t="s">
        <v>1214</v>
      </c>
    </row>
    <row r="552" spans="1:19" ht="21.95" customHeight="1">
      <c r="A552" s="66" t="s">
        <v>1215</v>
      </c>
      <c r="B552" s="64"/>
      <c r="C552" s="65"/>
      <c r="D552" s="64"/>
      <c r="E552" s="64"/>
      <c r="F552" s="60"/>
      <c r="G552" s="60" t="s">
        <v>88</v>
      </c>
      <c r="H552" s="60" t="str">
        <f>IFERROR(INDEX('Docketed Comments'!C:C,MATCH(A552,'Docketed Comments'!H:H,0))&amp;", "&amp;INDEX('Docketed Comments'!B:B,MATCH(A552,'Docketed Comments'!H:H,0)),"")</f>
        <v>Eric, Fransen</v>
      </c>
      <c r="I552" s="60" t="str">
        <f>IFERROR(INDEX('Docketed Comments'!D:D,MATCH(A552,'Docketed Comments'!H:H,0)),"")</f>
        <v>Scottsdale</v>
      </c>
      <c r="J552" s="60" t="str">
        <f>IFERROR(INDEX('Docketed Comments'!I:I,MATCH(A552,'Docketed Comments'!H:H,0)),"")</f>
        <v>R-2</v>
      </c>
      <c r="K552" s="60" t="str">
        <f t="shared" si="17"/>
        <v>⚠ Frozen Rate</v>
      </c>
      <c r="L552" s="60" t="str">
        <f>IFERROR(INDEX('Docketed Comments'!F:F,MATCH(A552,'Docketed Comments'!H:H,0)),"")</f>
        <v>Form letter</v>
      </c>
      <c r="M552" s="120" t="str">
        <f>IFERROR(INDEX('Docketed Comments'!G:G,MATCH(A552,'Docketed Comments'!H:H,0)),"")</f>
        <v>https://docket.images.azcc.gov/E000046235.pdf</v>
      </c>
      <c r="N552" s="118" t="str">
        <f>IFERROR(INDEX('Docketed Comments'!N:N,MATCH(A552,'Docketed Comments'!H:H,0)),"")</f>
        <v>No</v>
      </c>
      <c r="O552" s="118" t="str">
        <f>IFERROR(INDEX('Docketed Comments'!L:L,MATCH(A552,'Docketed Comments'!H:H,0)),"")</f>
        <v>Frozen Rate</v>
      </c>
      <c r="P552" s="119">
        <f t="shared" si="16"/>
        <v>0</v>
      </c>
      <c r="Q552" s="60"/>
      <c r="R552" s="64" t="s">
        <v>75</v>
      </c>
      <c r="S552" s="64" t="s">
        <v>1216</v>
      </c>
    </row>
    <row r="553" spans="1:19" ht="21.95" customHeight="1">
      <c r="A553" s="66" t="s">
        <v>1217</v>
      </c>
      <c r="B553" s="64"/>
      <c r="C553" s="65"/>
      <c r="D553" s="64"/>
      <c r="E553" s="64"/>
      <c r="F553" s="60"/>
      <c r="G553" s="60" t="s">
        <v>88</v>
      </c>
      <c r="H553" s="60" t="str">
        <f>IFERROR(INDEX('Docketed Comments'!C:C,MATCH(A553,'Docketed Comments'!H:H,0))&amp;", "&amp;INDEX('Docketed Comments'!B:B,MATCH(A553,'Docketed Comments'!H:H,0)),"")</f>
        <v>Ellen, Alba</v>
      </c>
      <c r="I553" s="60" t="str">
        <f>IFERROR(INDEX('Docketed Comments'!D:D,MATCH(A553,'Docketed Comments'!H:H,0)),"")</f>
        <v>Scottsdale</v>
      </c>
      <c r="J553" s="60" t="str">
        <f>IFERROR(INDEX('Docketed Comments'!I:I,MATCH(A553,'Docketed Comments'!H:H,0)),"")</f>
        <v>R3-47</v>
      </c>
      <c r="K553" s="60" t="str">
        <f t="shared" si="17"/>
        <v>✅ On Best Plan</v>
      </c>
      <c r="L553" s="60" t="str">
        <f>IFERROR(INDEX('Docketed Comments'!F:F,MATCH(A553,'Docketed Comments'!H:H,0)),"")</f>
        <v>Opposed</v>
      </c>
      <c r="M553" s="120" t="str">
        <f>IFERROR(INDEX('Docketed Comments'!G:G,MATCH(A553,'Docketed Comments'!H:H,0)),"")</f>
        <v>https://docket.images.azcc.gov/E000046235.pdf</v>
      </c>
      <c r="N553" s="118" t="str">
        <f>IFERROR(INDEX('Docketed Comments'!N:N,MATCH(A553,'Docketed Comments'!H:H,0)),"")</f>
        <v>No</v>
      </c>
      <c r="O553" s="118" t="str">
        <f>IFERROR(INDEX('Docketed Comments'!L:L,MATCH(A553,'Docketed Comments'!H:H,0)),"")</f>
        <v>Yes</v>
      </c>
      <c r="P553" s="119">
        <f t="shared" si="16"/>
        <v>0</v>
      </c>
      <c r="Q553" s="60"/>
      <c r="R553" s="64" t="s">
        <v>75</v>
      </c>
      <c r="S553" s="64" t="s">
        <v>1218</v>
      </c>
    </row>
    <row r="554" spans="1:19" ht="21.95" customHeight="1">
      <c r="A554" s="66" t="s">
        <v>1219</v>
      </c>
      <c r="B554" s="64"/>
      <c r="C554" s="65"/>
      <c r="D554" s="64"/>
      <c r="E554" s="64"/>
      <c r="F554" s="60"/>
      <c r="G554" s="60" t="s">
        <v>88</v>
      </c>
      <c r="H554" s="60" t="str">
        <f>IFERROR(INDEX('Docketed Comments'!C:C,MATCH(A554,'Docketed Comments'!H:H,0))&amp;", "&amp;INDEX('Docketed Comments'!B:B,MATCH(A554,'Docketed Comments'!H:H,0)),"")</f>
        <v>Jeffrey, Willer</v>
      </c>
      <c r="I554" s="60" t="str">
        <f>IFERROR(INDEX('Docketed Comments'!D:D,MATCH(A554,'Docketed Comments'!H:H,0)),"")</f>
        <v>Phoenix</v>
      </c>
      <c r="J554" s="60" t="str">
        <f>IFERROR(INDEX('Docketed Comments'!I:I,MATCH(A554,'Docketed Comments'!H:H,0)),"")</f>
        <v>R3-47</v>
      </c>
      <c r="K554" s="60" t="str">
        <f t="shared" si="17"/>
        <v>✅ On Best Plan</v>
      </c>
      <c r="L554" s="60" t="str">
        <f>IFERROR(INDEX('Docketed Comments'!F:F,MATCH(A554,'Docketed Comments'!H:H,0)),"")</f>
        <v>can't afford</v>
      </c>
      <c r="M554" s="120" t="str">
        <f>IFERROR(INDEX('Docketed Comments'!G:G,MATCH(A554,'Docketed Comments'!H:H,0)),"")</f>
        <v>https://docket.images.azcc.gov/E000046235.pdf</v>
      </c>
      <c r="N554" s="118" t="str">
        <f>IFERROR(INDEX('Docketed Comments'!N:N,MATCH(A554,'Docketed Comments'!H:H,0)),"")</f>
        <v>No</v>
      </c>
      <c r="O554" s="118" t="str">
        <f>IFERROR(INDEX('Docketed Comments'!L:L,MATCH(A554,'Docketed Comments'!H:H,0)),"")</f>
        <v>Yes</v>
      </c>
      <c r="P554" s="119">
        <f t="shared" si="16"/>
        <v>0</v>
      </c>
      <c r="Q554" s="60"/>
      <c r="R554" s="64" t="s">
        <v>75</v>
      </c>
      <c r="S554" s="64" t="s">
        <v>1220</v>
      </c>
    </row>
    <row r="555" spans="1:19" ht="21.95" customHeight="1">
      <c r="A555" s="66" t="s">
        <v>1221</v>
      </c>
      <c r="B555" s="64"/>
      <c r="C555" s="65"/>
      <c r="D555" s="64"/>
      <c r="E555" s="64"/>
      <c r="F555" s="60"/>
      <c r="G555" s="60" t="s">
        <v>88</v>
      </c>
      <c r="H555" s="60" t="str">
        <f>IFERROR(INDEX('Docketed Comments'!C:C,MATCH(A555,'Docketed Comments'!H:H,0))&amp;", "&amp;INDEX('Docketed Comments'!B:B,MATCH(A555,'Docketed Comments'!H:H,0)),"")</f>
        <v>Colin, Johnson</v>
      </c>
      <c r="I555" s="60" t="str">
        <f>IFERROR(INDEX('Docketed Comments'!D:D,MATCH(A555,'Docketed Comments'!H:H,0)),"")</f>
        <v>Phoenix</v>
      </c>
      <c r="J555" s="60" t="str">
        <f>IFERROR(INDEX('Docketed Comments'!I:I,MATCH(A555,'Docketed Comments'!H:H,0)),"")</f>
        <v>R-XS</v>
      </c>
      <c r="K555" s="60" t="str">
        <f t="shared" si="17"/>
        <v>✅ On Best Plan</v>
      </c>
      <c r="L555" s="60" t="str">
        <f>IFERROR(INDEX('Docketed Comments'!F:F,MATCH(A555,'Docketed Comments'!H:H,0)),"")</f>
        <v>Form letter</v>
      </c>
      <c r="M555" s="120" t="str">
        <f>IFERROR(INDEX('Docketed Comments'!G:G,MATCH(A555,'Docketed Comments'!H:H,0)),"")</f>
        <v>https://docket.images.azcc.gov/E000046235.pdf</v>
      </c>
      <c r="N555" s="118" t="str">
        <f>IFERROR(INDEX('Docketed Comments'!N:N,MATCH(A555,'Docketed Comments'!H:H,0)),"")</f>
        <v>No</v>
      </c>
      <c r="O555" s="118" t="str">
        <f>IFERROR(INDEX('Docketed Comments'!L:L,MATCH(A555,'Docketed Comments'!H:H,0)),"")</f>
        <v>Yes</v>
      </c>
      <c r="P555" s="119">
        <f t="shared" si="16"/>
        <v>0</v>
      </c>
      <c r="Q555" s="60"/>
      <c r="R555" s="64" t="s">
        <v>75</v>
      </c>
      <c r="S555" s="64" t="s">
        <v>1222</v>
      </c>
    </row>
    <row r="556" spans="1:19" ht="21.95" customHeight="1">
      <c r="A556" s="66" t="s">
        <v>1223</v>
      </c>
      <c r="B556" s="64"/>
      <c r="C556" s="65"/>
      <c r="D556" s="64"/>
      <c r="E556" s="64"/>
      <c r="F556" s="60"/>
      <c r="G556" s="60" t="s">
        <v>88</v>
      </c>
      <c r="H556" s="60" t="str">
        <f>IFERROR(INDEX('Docketed Comments'!C:C,MATCH(A556,'Docketed Comments'!H:H,0))&amp;", "&amp;INDEX('Docketed Comments'!B:B,MATCH(A556,'Docketed Comments'!H:H,0)),"")</f>
        <v>James, Rothen</v>
      </c>
      <c r="I556" s="60" t="str">
        <f>IFERROR(INDEX('Docketed Comments'!D:D,MATCH(A556,'Docketed Comments'!H:H,0)),"")</f>
        <v>Phoenix</v>
      </c>
      <c r="J556" s="60" t="str">
        <f>IFERROR(INDEX('Docketed Comments'!I:I,MATCH(A556,'Docketed Comments'!H:H,0)),"")</f>
        <v>R-BASIC</v>
      </c>
      <c r="K556" s="60" t="str">
        <f t="shared" si="17"/>
        <v>✅ On Best Plan</v>
      </c>
      <c r="L556" s="60" t="str">
        <f>IFERROR(INDEX('Docketed Comments'!F:F,MATCH(A556,'Docketed Comments'!H:H,0)),"")</f>
        <v>Form letter</v>
      </c>
      <c r="M556" s="120" t="str">
        <f>IFERROR(INDEX('Docketed Comments'!G:G,MATCH(A556,'Docketed Comments'!H:H,0)),"")</f>
        <v>https://docket.images.azcc.gov/E000046235.pdf</v>
      </c>
      <c r="N556" s="118" t="str">
        <f>IFERROR(INDEX('Docketed Comments'!N:N,MATCH(A556,'Docketed Comments'!H:H,0)),"")</f>
        <v>No</v>
      </c>
      <c r="O556" s="118" t="str">
        <f>IFERROR(INDEX('Docketed Comments'!L:L,MATCH(A556,'Docketed Comments'!H:H,0)),"")</f>
        <v>Yes</v>
      </c>
      <c r="P556" s="119">
        <f t="shared" si="16"/>
        <v>0</v>
      </c>
      <c r="Q556" s="60"/>
      <c r="R556" s="64" t="s">
        <v>75</v>
      </c>
      <c r="S556" s="64" t="s">
        <v>1224</v>
      </c>
    </row>
    <row r="557" spans="1:19" ht="21.95" customHeight="1">
      <c r="A557" s="66" t="s">
        <v>1225</v>
      </c>
      <c r="B557" s="64"/>
      <c r="C557" s="65"/>
      <c r="D557" s="64"/>
      <c r="E557" s="64"/>
      <c r="F557" s="60"/>
      <c r="G557" s="60" t="s">
        <v>88</v>
      </c>
      <c r="H557" s="60" t="str">
        <f>IFERROR(INDEX('Docketed Comments'!C:C,MATCH(A557,'Docketed Comments'!H:H,0))&amp;", "&amp;INDEX('Docketed Comments'!B:B,MATCH(A557,'Docketed Comments'!H:H,0)),"")</f>
        <v>Aaron, Ling</v>
      </c>
      <c r="I557" s="60" t="str">
        <f>IFERROR(INDEX('Docketed Comments'!D:D,MATCH(A557,'Docketed Comments'!H:H,0)),"")</f>
        <v>Scottsdale</v>
      </c>
      <c r="J557" s="60" t="str">
        <f>IFERROR(INDEX('Docketed Comments'!I:I,MATCH(A557,'Docketed Comments'!H:H,0)),"")</f>
        <v>EPR-6w/E-12</v>
      </c>
      <c r="K557" s="60" t="str">
        <f t="shared" si="17"/>
        <v>⚠ Frozen Rate</v>
      </c>
      <c r="L557" s="60" t="str">
        <f>IFERROR(INDEX('Docketed Comments'!F:F,MATCH(A557,'Docketed Comments'!H:H,0)),"")</f>
        <v>Against rate hike</v>
      </c>
      <c r="M557" s="120" t="str">
        <f>IFERROR(INDEX('Docketed Comments'!G:G,MATCH(A557,'Docketed Comments'!H:H,0)),"")</f>
        <v>https://docket.images.azcc.gov/E000046235.pdf</v>
      </c>
      <c r="N557" s="118" t="str">
        <f>IFERROR(INDEX('Docketed Comments'!N:N,MATCH(A557,'Docketed Comments'!H:H,0)),"")</f>
        <v>No</v>
      </c>
      <c r="O557" s="118" t="str">
        <f>IFERROR(INDEX('Docketed Comments'!L:L,MATCH(A557,'Docketed Comments'!H:H,0)),"")</f>
        <v>Frozen Rate</v>
      </c>
      <c r="P557" s="119">
        <f t="shared" si="16"/>
        <v>0</v>
      </c>
      <c r="Q557" s="60"/>
      <c r="R557" s="64" t="s">
        <v>75</v>
      </c>
      <c r="S557" s="64" t="s">
        <v>1226</v>
      </c>
    </row>
    <row r="558" spans="1:19" ht="21.95" customHeight="1">
      <c r="A558" s="66" t="s">
        <v>1227</v>
      </c>
      <c r="B558" s="64"/>
      <c r="C558" s="65"/>
      <c r="D558" s="64"/>
      <c r="E558" s="64"/>
      <c r="F558" s="60"/>
      <c r="G558" s="60" t="s">
        <v>88</v>
      </c>
      <c r="H558" s="60" t="str">
        <f>IFERROR(INDEX('Docketed Comments'!C:C,MATCH(A558,'Docketed Comments'!H:H,0))&amp;", "&amp;INDEX('Docketed Comments'!B:B,MATCH(A558,'Docketed Comments'!H:H,0)),"")</f>
        <v>Brian, Noel</v>
      </c>
      <c r="I558" s="60" t="str">
        <f>IFERROR(INDEX('Docketed Comments'!D:D,MATCH(A558,'Docketed Comments'!H:H,0)),"")</f>
        <v>Phoenix</v>
      </c>
      <c r="J558" s="60" t="str">
        <f>IFERROR(INDEX('Docketed Comments'!I:I,MATCH(A558,'Docketed Comments'!H:H,0)),"")</f>
        <v>R3-47</v>
      </c>
      <c r="K558" s="60" t="str">
        <f t="shared" si="17"/>
        <v>✅ On Best Plan</v>
      </c>
      <c r="L558" s="60" t="str">
        <f>IFERROR(INDEX('Docketed Comments'!F:F,MATCH(A558,'Docketed Comments'!H:H,0)),"")</f>
        <v>Opposed</v>
      </c>
      <c r="M558" s="120" t="str">
        <f>IFERROR(INDEX('Docketed Comments'!G:G,MATCH(A558,'Docketed Comments'!H:H,0)),"")</f>
        <v>https://docket.images.azcc.gov/E000046235.pdf</v>
      </c>
      <c r="N558" s="118" t="str">
        <f>IFERROR(INDEX('Docketed Comments'!N:N,MATCH(A558,'Docketed Comments'!H:H,0)),"")</f>
        <v>No</v>
      </c>
      <c r="O558" s="118" t="str">
        <f>IFERROR(INDEX('Docketed Comments'!L:L,MATCH(A558,'Docketed Comments'!H:H,0)),"")</f>
        <v>Yes</v>
      </c>
      <c r="P558" s="119">
        <f t="shared" si="16"/>
        <v>0</v>
      </c>
      <c r="Q558" s="60"/>
      <c r="R558" s="64" t="s">
        <v>75</v>
      </c>
      <c r="S558" s="64" t="s">
        <v>1228</v>
      </c>
    </row>
    <row r="559" spans="1:19" ht="21.95" customHeight="1">
      <c r="A559" s="66" t="s">
        <v>1229</v>
      </c>
      <c r="B559" s="64"/>
      <c r="C559" s="65"/>
      <c r="D559" s="64"/>
      <c r="E559" s="64"/>
      <c r="F559" s="60"/>
      <c r="G559" s="60" t="s">
        <v>88</v>
      </c>
      <c r="H559" s="60" t="str">
        <f>IFERROR(INDEX('Docketed Comments'!C:C,MATCH(A559,'Docketed Comments'!H:H,0))&amp;", "&amp;INDEX('Docketed Comments'!B:B,MATCH(A559,'Docketed Comments'!H:H,0)),"")</f>
        <v>Rayanne, Mroczek</v>
      </c>
      <c r="I559" s="60" t="str">
        <f>IFERROR(INDEX('Docketed Comments'!D:D,MATCH(A559,'Docketed Comments'!H:H,0)),"")</f>
        <v>Bisbee</v>
      </c>
      <c r="J559" s="60" t="str">
        <f>IFERROR(INDEX('Docketed Comments'!I:I,MATCH(A559,'Docketed Comments'!H:H,0)),"")</f>
        <v>R3-47</v>
      </c>
      <c r="K559" s="60" t="str">
        <f t="shared" si="17"/>
        <v>✅ On Best Plan</v>
      </c>
      <c r="L559" s="60" t="str">
        <f>IFERROR(INDEX('Docketed Comments'!F:F,MATCH(A559,'Docketed Comments'!H:H,0)),"")</f>
        <v>Opposed</v>
      </c>
      <c r="M559" s="120" t="str">
        <f>IFERROR(INDEX('Docketed Comments'!G:G,MATCH(A559,'Docketed Comments'!H:H,0)),"")</f>
        <v>https://docket.images.azcc.gov/E000046235.pdf</v>
      </c>
      <c r="N559" s="118" t="str">
        <f>IFERROR(INDEX('Docketed Comments'!N:N,MATCH(A559,'Docketed Comments'!H:H,0)),"")</f>
        <v>No</v>
      </c>
      <c r="O559" s="118" t="str">
        <f>IFERROR(INDEX('Docketed Comments'!L:L,MATCH(A559,'Docketed Comments'!H:H,0)),"")</f>
        <v>Yes</v>
      </c>
      <c r="P559" s="119">
        <f t="shared" si="16"/>
        <v>0</v>
      </c>
      <c r="Q559" s="60"/>
      <c r="R559" s="64" t="s">
        <v>75</v>
      </c>
      <c r="S559" s="64" t="s">
        <v>1230</v>
      </c>
    </row>
    <row r="560" spans="1:19" ht="21.95" customHeight="1">
      <c r="A560" s="66" t="s">
        <v>1231</v>
      </c>
      <c r="B560" s="64"/>
      <c r="C560" s="65"/>
      <c r="D560" s="64"/>
      <c r="E560" s="64"/>
      <c r="F560" s="60"/>
      <c r="G560" s="60" t="s">
        <v>88</v>
      </c>
      <c r="H560" s="60" t="str">
        <f>IFERROR(INDEX('Docketed Comments'!C:C,MATCH(A560,'Docketed Comments'!H:H,0))&amp;", "&amp;INDEX('Docketed Comments'!B:B,MATCH(A560,'Docketed Comments'!H:H,0)),"")</f>
        <v>Jason, Hull</v>
      </c>
      <c r="I560" s="60" t="str">
        <f>IFERROR(INDEX('Docketed Comments'!D:D,MATCH(A560,'Docketed Comments'!H:H,0)),"")</f>
        <v>Glendale</v>
      </c>
      <c r="J560" s="60" t="str">
        <f>IFERROR(INDEX('Docketed Comments'!I:I,MATCH(A560,'Docketed Comments'!H:H,0)),"")</f>
        <v>RTOUE47</v>
      </c>
      <c r="K560" s="60" t="str">
        <f t="shared" si="17"/>
        <v>✅ On Best Plan</v>
      </c>
      <c r="L560" s="60" t="str">
        <f>IFERROR(INDEX('Docketed Comments'!F:F,MATCH(A560,'Docketed Comments'!H:H,0)),"")</f>
        <v>Opposed</v>
      </c>
      <c r="M560" s="120" t="str">
        <f>IFERROR(INDEX('Docketed Comments'!G:G,MATCH(A560,'Docketed Comments'!H:H,0)),"")</f>
        <v>https://docket.images.azcc.gov/E000046235.pdf</v>
      </c>
      <c r="N560" s="118" t="str">
        <f>IFERROR(INDEX('Docketed Comments'!N:N,MATCH(A560,'Docketed Comments'!H:H,0)),"")</f>
        <v>No</v>
      </c>
      <c r="O560" s="118" t="str">
        <f>IFERROR(INDEX('Docketed Comments'!L:L,MATCH(A560,'Docketed Comments'!H:H,0)),"")</f>
        <v>Yes</v>
      </c>
      <c r="P560" s="119">
        <f t="shared" si="16"/>
        <v>0</v>
      </c>
      <c r="Q560" s="60"/>
      <c r="R560" s="64" t="s">
        <v>75</v>
      </c>
      <c r="S560" s="64" t="s">
        <v>1232</v>
      </c>
    </row>
    <row r="561" spans="1:19" ht="21.95" customHeight="1">
      <c r="A561" s="66" t="s">
        <v>1233</v>
      </c>
      <c r="B561" s="64"/>
      <c r="C561" s="65"/>
      <c r="D561" s="64"/>
      <c r="E561" s="64"/>
      <c r="F561" s="60"/>
      <c r="G561" s="60" t="s">
        <v>88</v>
      </c>
      <c r="H561" s="60" t="str">
        <f>IFERROR(INDEX('Docketed Comments'!C:C,MATCH(A561,'Docketed Comments'!H:H,0))&amp;", "&amp;INDEX('Docketed Comments'!B:B,MATCH(A561,'Docketed Comments'!H:H,0)),"")</f>
        <v>James, Fajardo</v>
      </c>
      <c r="I561" s="60" t="str">
        <f>IFERROR(INDEX('Docketed Comments'!D:D,MATCH(A561,'Docketed Comments'!H:H,0)),"")</f>
        <v>Phoenix</v>
      </c>
      <c r="J561" s="60" t="str">
        <f>IFERROR(INDEX('Docketed Comments'!I:I,MATCH(A561,'Docketed Comments'!H:H,0)),"")</f>
        <v>R3-47</v>
      </c>
      <c r="K561" s="60" t="str">
        <f t="shared" si="17"/>
        <v>✅ On Best Plan</v>
      </c>
      <c r="L561" s="60" t="str">
        <f>IFERROR(INDEX('Docketed Comments'!F:F,MATCH(A561,'Docketed Comments'!H:H,0)),"")</f>
        <v>Form letter</v>
      </c>
      <c r="M561" s="120" t="str">
        <f>IFERROR(INDEX('Docketed Comments'!G:G,MATCH(A561,'Docketed Comments'!H:H,0)),"")</f>
        <v>https://docket.images.azcc.gov/E000046235.pdf</v>
      </c>
      <c r="N561" s="118" t="str">
        <f>IFERROR(INDEX('Docketed Comments'!N:N,MATCH(A561,'Docketed Comments'!H:H,0)),"")</f>
        <v>No</v>
      </c>
      <c r="O561" s="118" t="str">
        <f>IFERROR(INDEX('Docketed Comments'!L:L,MATCH(A561,'Docketed Comments'!H:H,0)),"")</f>
        <v>Yes</v>
      </c>
      <c r="P561" s="119">
        <f t="shared" si="16"/>
        <v>0</v>
      </c>
      <c r="Q561" s="60"/>
      <c r="R561" s="64" t="s">
        <v>75</v>
      </c>
      <c r="S561" s="64" t="s">
        <v>1234</v>
      </c>
    </row>
    <row r="562" spans="1:19" ht="21.95" customHeight="1">
      <c r="A562" s="66" t="s">
        <v>1235</v>
      </c>
      <c r="B562" s="64"/>
      <c r="C562" s="65"/>
      <c r="D562" s="64"/>
      <c r="E562" s="64"/>
      <c r="F562" s="60"/>
      <c r="G562" s="60" t="s">
        <v>88</v>
      </c>
      <c r="H562" s="60" t="str">
        <f>IFERROR(INDEX('Docketed Comments'!C:C,MATCH(A562,'Docketed Comments'!H:H,0))&amp;", "&amp;INDEX('Docketed Comments'!B:B,MATCH(A562,'Docketed Comments'!H:H,0)),"")</f>
        <v>Joseph, Zamenick</v>
      </c>
      <c r="I562" s="60" t="str">
        <f>IFERROR(INDEX('Docketed Comments'!D:D,MATCH(A562,'Docketed Comments'!H:H,0)),"")</f>
        <v>Litchfield Park</v>
      </c>
      <c r="J562" s="60" t="str">
        <f>IFERROR(INDEX('Docketed Comments'!I:I,MATCH(A562,'Docketed Comments'!H:H,0)),"")</f>
        <v>R3-47</v>
      </c>
      <c r="K562" s="60" t="str">
        <f t="shared" si="17"/>
        <v>✅ On Best Plan</v>
      </c>
      <c r="L562" s="60" t="str">
        <f>IFERROR(INDEX('Docketed Comments'!F:F,MATCH(A562,'Docketed Comments'!H:H,0)),"")</f>
        <v>Enough is enough</v>
      </c>
      <c r="M562" s="120" t="str">
        <f>IFERROR(INDEX('Docketed Comments'!G:G,MATCH(A562,'Docketed Comments'!H:H,0)),"")</f>
        <v>https://docket.images.azcc.gov/E000046235.pdf</v>
      </c>
      <c r="N562" s="118" t="str">
        <f>IFERROR(INDEX('Docketed Comments'!N:N,MATCH(A562,'Docketed Comments'!H:H,0)),"")</f>
        <v>No</v>
      </c>
      <c r="O562" s="118" t="str">
        <f>IFERROR(INDEX('Docketed Comments'!L:L,MATCH(A562,'Docketed Comments'!H:H,0)),"")</f>
        <v>Yes</v>
      </c>
      <c r="P562" s="119">
        <f t="shared" si="16"/>
        <v>0</v>
      </c>
      <c r="Q562" s="60"/>
      <c r="R562" s="64" t="s">
        <v>75</v>
      </c>
      <c r="S562" s="64" t="s">
        <v>1236</v>
      </c>
    </row>
    <row r="563" spans="1:19" ht="21.95" customHeight="1">
      <c r="A563" s="66" t="s">
        <v>748</v>
      </c>
      <c r="B563" s="64"/>
      <c r="C563" s="65"/>
      <c r="D563" s="64"/>
      <c r="E563" s="64"/>
      <c r="F563" s="60"/>
      <c r="G563" s="60" t="s">
        <v>88</v>
      </c>
      <c r="H563" s="60" t="str">
        <f>IFERROR(INDEX('Docketed Comments'!C:C,MATCH(A563,'Docketed Comments'!H:H,0))&amp;", "&amp;INDEX('Docketed Comments'!B:B,MATCH(A563,'Docketed Comments'!H:H,0)),"")</f>
        <v>Isabella, Sanchez</v>
      </c>
      <c r="I563" s="60" t="str">
        <f>IFERROR(INDEX('Docketed Comments'!D:D,MATCH(A563,'Docketed Comments'!H:H,0)),"")</f>
        <v>Phoenix</v>
      </c>
      <c r="J563" s="60" t="str">
        <f>IFERROR(INDEX('Docketed Comments'!I:I,MATCH(A563,'Docketed Comments'!H:H,0)),"")</f>
        <v>R-BASIC</v>
      </c>
      <c r="K563" s="60" t="str">
        <f t="shared" si="17"/>
        <v>✅ On Best Plan</v>
      </c>
      <c r="L563" s="60" t="str">
        <f>IFERROR(INDEX('Docketed Comments'!F:F,MATCH(A563,'Docketed Comments'!H:H,0)),"")</f>
        <v>Opposed</v>
      </c>
      <c r="M563" s="120" t="str">
        <f>IFERROR(INDEX('Docketed Comments'!G:G,MATCH(A563,'Docketed Comments'!H:H,0)),"")</f>
        <v>https://images.edocket.azcc.gov/docketpdf/E000045059.pdf</v>
      </c>
      <c r="N563" s="118" t="str">
        <f>IFERROR(INDEX('Docketed Comments'!N:N,MATCH(A563,'Docketed Comments'!H:H,0)),"")</f>
        <v>No</v>
      </c>
      <c r="O563" s="118" t="str">
        <f>IFERROR(INDEX('Docketed Comments'!L:L,MATCH(A563,'Docketed Comments'!H:H,0)),"")</f>
        <v>Yes</v>
      </c>
      <c r="P563" s="119">
        <f t="shared" si="16"/>
        <v>0</v>
      </c>
      <c r="Q563" s="60"/>
      <c r="R563" s="64" t="s">
        <v>75</v>
      </c>
      <c r="S563" s="64" t="s">
        <v>1237</v>
      </c>
    </row>
    <row r="564" spans="1:19" ht="21.95" customHeight="1">
      <c r="A564" s="66" t="s">
        <v>1238</v>
      </c>
      <c r="B564" s="64"/>
      <c r="C564" s="65"/>
      <c r="D564" s="64"/>
      <c r="E564" s="64"/>
      <c r="F564" s="60"/>
      <c r="G564" s="60" t="s">
        <v>88</v>
      </c>
      <c r="H564" s="60" t="str">
        <f>IFERROR(INDEX('Docketed Comments'!C:C,MATCH(A564,'Docketed Comments'!H:H,0))&amp;", "&amp;INDEX('Docketed Comments'!B:B,MATCH(A564,'Docketed Comments'!H:H,0)),"")</f>
        <v>Travis, Good</v>
      </c>
      <c r="I564" s="60" t="str">
        <f>IFERROR(INDEX('Docketed Comments'!D:D,MATCH(A564,'Docketed Comments'!H:H,0)),"")</f>
        <v>Phoenix</v>
      </c>
      <c r="J564" s="60" t="str">
        <f>IFERROR(INDEX('Docketed Comments'!I:I,MATCH(A564,'Docketed Comments'!H:H,0)),"")</f>
        <v>R3-47</v>
      </c>
      <c r="K564" s="60" t="str">
        <f t="shared" si="17"/>
        <v>✅ On Best Plan</v>
      </c>
      <c r="L564" s="60" t="str">
        <f>IFERROR(INDEX('Docketed Comments'!F:F,MATCH(A564,'Docketed Comments'!H:H,0)),"")</f>
        <v>Form letter</v>
      </c>
      <c r="M564" s="120" t="str">
        <f>IFERROR(INDEX('Docketed Comments'!G:G,MATCH(A564,'Docketed Comments'!H:H,0)),"")</f>
        <v>https://docket.images.azcc.gov/E000046235.pdf</v>
      </c>
      <c r="N564" s="118" t="str">
        <f>IFERROR(INDEX('Docketed Comments'!N:N,MATCH(A564,'Docketed Comments'!H:H,0)),"")</f>
        <v>No</v>
      </c>
      <c r="O564" s="118" t="str">
        <f>IFERROR(INDEX('Docketed Comments'!L:L,MATCH(A564,'Docketed Comments'!H:H,0)),"")</f>
        <v>Yes</v>
      </c>
      <c r="P564" s="119">
        <f t="shared" si="16"/>
        <v>0</v>
      </c>
      <c r="Q564" s="60"/>
      <c r="R564" s="64" t="s">
        <v>75</v>
      </c>
      <c r="S564" s="64" t="s">
        <v>1239</v>
      </c>
    </row>
    <row r="565" spans="1:19" ht="21.95" hidden="1" customHeight="1">
      <c r="A565" s="66" t="s">
        <v>1240</v>
      </c>
      <c r="B565" s="64" t="s">
        <v>20</v>
      </c>
      <c r="C565" s="65">
        <v>45997</v>
      </c>
      <c r="D565" s="64" t="s">
        <v>27</v>
      </c>
      <c r="E565" s="64" t="s">
        <v>22</v>
      </c>
      <c r="F565" s="60" t="s">
        <v>1241</v>
      </c>
      <c r="G565" s="60"/>
      <c r="H565" s="60" t="str">
        <f>IFERROR(INDEX('Docketed Comments'!C:C,MATCH(A565,'Docketed Comments'!H:H,0))&amp;", "&amp;INDEX('Docketed Comments'!B:B,MATCH(A565,'Docketed Comments'!H:H,0)),"")</f>
        <v>Michael, McKeever</v>
      </c>
      <c r="I565" s="60" t="str">
        <f>IFERROR(INDEX('Docketed Comments'!D:D,MATCH(A565,'Docketed Comments'!H:H,0)),"")</f>
        <v>Surprise</v>
      </c>
      <c r="J565" s="60" t="str">
        <f>IFERROR(INDEX('Docketed Comments'!I:I,MATCH(A565,'Docketed Comments'!H:H,0)),"")</f>
        <v>R3-47</v>
      </c>
      <c r="K565" s="60" t="str">
        <f t="shared" si="17"/>
        <v>✅ On Best Plan</v>
      </c>
      <c r="L565" s="60" t="str">
        <f>IFERROR(INDEX('Docketed Comments'!F:F,MATCH(A565,'Docketed Comments'!H:H,0)),"")</f>
        <v>This is insanity</v>
      </c>
      <c r="M565" s="120" t="str">
        <f>IFERROR(INDEX('Docketed Comments'!G:G,MATCH(A565,'Docketed Comments'!H:H,0)),"")</f>
        <v>https://docket.images.azcc.gov/E000046235.pdf</v>
      </c>
      <c r="N565" s="118" t="str">
        <f>IFERROR(INDEX('Docketed Comments'!N:N,MATCH(A565,'Docketed Comments'!H:H,0)),"")</f>
        <v>No</v>
      </c>
      <c r="O565" s="118" t="str">
        <f>IFERROR(INDEX('Docketed Comments'!L:L,MATCH(A565,'Docketed Comments'!H:H,0)),"")</f>
        <v>Yes</v>
      </c>
      <c r="P565" s="119">
        <f t="shared" si="16"/>
        <v>0</v>
      </c>
      <c r="Q565" s="60" t="s">
        <v>23</v>
      </c>
      <c r="R565" s="64" t="s">
        <v>24</v>
      </c>
      <c r="S565" s="64" t="s">
        <v>1242</v>
      </c>
    </row>
    <row r="566" spans="1:19" ht="21.95" customHeight="1">
      <c r="A566" s="66" t="s">
        <v>1243</v>
      </c>
      <c r="B566" s="64"/>
      <c r="C566" s="65"/>
      <c r="D566" s="64"/>
      <c r="E566" s="64"/>
      <c r="F566" s="60"/>
      <c r="G566" s="60" t="s">
        <v>88</v>
      </c>
      <c r="H566" s="60" t="str">
        <f>IFERROR(INDEX('Docketed Comments'!C:C,MATCH(A566,'Docketed Comments'!H:H,0))&amp;", "&amp;INDEX('Docketed Comments'!B:B,MATCH(A566,'Docketed Comments'!H:H,0)),"")</f>
        <v>Macario, Vega</v>
      </c>
      <c r="I566" s="60" t="str">
        <f>IFERROR(INDEX('Docketed Comments'!D:D,MATCH(A566,'Docketed Comments'!H:H,0)),"")</f>
        <v>Phoenix</v>
      </c>
      <c r="J566" s="60" t="str">
        <f>IFERROR(INDEX('Docketed Comments'!I:I,MATCH(A566,'Docketed Comments'!H:H,0)),"")</f>
        <v>EPR-6w/ET-2</v>
      </c>
      <c r="K566" s="60" t="str">
        <f t="shared" si="17"/>
        <v>⚠ Frozen Rate</v>
      </c>
      <c r="L566" s="60" t="str">
        <f>IFERROR(INDEX('Docketed Comments'!F:F,MATCH(A566,'Docketed Comments'!H:H,0)),"")</f>
        <v>Form letter</v>
      </c>
      <c r="M566" s="120" t="str">
        <f>IFERROR(INDEX('Docketed Comments'!G:G,MATCH(A566,'Docketed Comments'!H:H,0)),"")</f>
        <v>https://docket.images.azcc.gov/E000046235.pdf</v>
      </c>
      <c r="N566" s="118" t="str">
        <f>IFERROR(INDEX('Docketed Comments'!N:N,MATCH(A566,'Docketed Comments'!H:H,0)),"")</f>
        <v>No</v>
      </c>
      <c r="O566" s="118" t="str">
        <f>IFERROR(INDEX('Docketed Comments'!L:L,MATCH(A566,'Docketed Comments'!H:H,0)),"")</f>
        <v>Frozen Rate</v>
      </c>
      <c r="P566" s="119">
        <f t="shared" si="16"/>
        <v>0</v>
      </c>
      <c r="Q566" s="60"/>
      <c r="R566" s="64" t="s">
        <v>75</v>
      </c>
      <c r="S566" s="64" t="s">
        <v>1244</v>
      </c>
    </row>
    <row r="567" spans="1:19" ht="21.95" customHeight="1">
      <c r="A567" s="66" t="s">
        <v>1245</v>
      </c>
      <c r="B567" s="64"/>
      <c r="C567" s="65"/>
      <c r="D567" s="64"/>
      <c r="E567" s="64"/>
      <c r="F567" s="60"/>
      <c r="G567" s="60" t="s">
        <v>88</v>
      </c>
      <c r="H567" s="60" t="str">
        <f>IFERROR(INDEX('Docketed Comments'!C:C,MATCH(A567,'Docketed Comments'!H:H,0))&amp;", "&amp;INDEX('Docketed Comments'!B:B,MATCH(A567,'Docketed Comments'!H:H,0)),"")</f>
        <v>Jonathan, Talamantez</v>
      </c>
      <c r="I567" s="60" t="str">
        <f>IFERROR(INDEX('Docketed Comments'!D:D,MATCH(A567,'Docketed Comments'!H:H,0)),"")</f>
        <v>Phoenix</v>
      </c>
      <c r="J567" s="60" t="str">
        <f>IFERROR(INDEX('Docketed Comments'!I:I,MATCH(A567,'Docketed Comments'!H:H,0)),"")</f>
        <v>R3-47</v>
      </c>
      <c r="K567" s="60" t="str">
        <f t="shared" si="17"/>
        <v>✅ On Best Plan</v>
      </c>
      <c r="L567" s="60" t="str">
        <f>IFERROR(INDEX('Docketed Comments'!F:F,MATCH(A567,'Docketed Comments'!H:H,0)),"")</f>
        <v>Form letter</v>
      </c>
      <c r="M567" s="120" t="str">
        <f>IFERROR(INDEX('Docketed Comments'!G:G,MATCH(A567,'Docketed Comments'!H:H,0)),"")</f>
        <v>https://docket.images.azcc.gov/E000046235.pdf</v>
      </c>
      <c r="N567" s="118" t="str">
        <f>IFERROR(INDEX('Docketed Comments'!N:N,MATCH(A567,'Docketed Comments'!H:H,0)),"")</f>
        <v>No</v>
      </c>
      <c r="O567" s="118" t="str">
        <f>IFERROR(INDEX('Docketed Comments'!L:L,MATCH(A567,'Docketed Comments'!H:H,0)),"")</f>
        <v>Yes</v>
      </c>
      <c r="P567" s="119">
        <f t="shared" si="16"/>
        <v>0</v>
      </c>
      <c r="Q567" s="60"/>
      <c r="R567" s="64" t="s">
        <v>75</v>
      </c>
      <c r="S567" s="64" t="s">
        <v>1246</v>
      </c>
    </row>
    <row r="568" spans="1:19" ht="21.95" customHeight="1">
      <c r="A568" s="66" t="s">
        <v>1247</v>
      </c>
      <c r="B568" s="64"/>
      <c r="C568" s="65"/>
      <c r="D568" s="64"/>
      <c r="E568" s="64"/>
      <c r="F568" s="60"/>
      <c r="G568" s="60" t="s">
        <v>88</v>
      </c>
      <c r="H568" s="60" t="str">
        <f>IFERROR(INDEX('Docketed Comments'!C:C,MATCH(A568,'Docketed Comments'!H:H,0))&amp;", "&amp;INDEX('Docketed Comments'!B:B,MATCH(A568,'Docketed Comments'!H:H,0)),"")</f>
        <v>Lorraine, Feehery</v>
      </c>
      <c r="I568" s="60" t="str">
        <f>IFERROR(INDEX('Docketed Comments'!D:D,MATCH(A568,'Docketed Comments'!H:H,0)),"")</f>
        <v>Phoenix</v>
      </c>
      <c r="J568" s="60" t="str">
        <f>IFERROR(INDEX('Docketed Comments'!I:I,MATCH(A568,'Docketed Comments'!H:H,0)),"")</f>
        <v>R-XS</v>
      </c>
      <c r="K568" s="60" t="str">
        <f t="shared" si="17"/>
        <v>✅ On Best Plan</v>
      </c>
      <c r="L568" s="60" t="str">
        <f>IFERROR(INDEX('Docketed Comments'!F:F,MATCH(A568,'Docketed Comments'!H:H,0)),"")</f>
        <v>Unjust and greedy money grab</v>
      </c>
      <c r="M568" s="120" t="str">
        <f>IFERROR(INDEX('Docketed Comments'!G:G,MATCH(A568,'Docketed Comments'!H:H,0)),"")</f>
        <v>https://docket.images.azcc.gov/E000046235.pdf</v>
      </c>
      <c r="N568" s="118" t="str">
        <f>IFERROR(INDEX('Docketed Comments'!N:N,MATCH(A568,'Docketed Comments'!H:H,0)),"")</f>
        <v>No</v>
      </c>
      <c r="O568" s="118" t="str">
        <f>IFERROR(INDEX('Docketed Comments'!L:L,MATCH(A568,'Docketed Comments'!H:H,0)),"")</f>
        <v>Yes</v>
      </c>
      <c r="P568" s="119">
        <f t="shared" si="16"/>
        <v>0</v>
      </c>
      <c r="Q568" s="60"/>
      <c r="R568" s="64" t="s">
        <v>75</v>
      </c>
      <c r="S568" s="64" t="s">
        <v>1248</v>
      </c>
    </row>
    <row r="569" spans="1:19" ht="21.95" customHeight="1">
      <c r="A569" s="66" t="s">
        <v>1249</v>
      </c>
      <c r="B569" s="64"/>
      <c r="C569" s="65"/>
      <c r="D569" s="64"/>
      <c r="E569" s="64"/>
      <c r="F569" s="60"/>
      <c r="G569" s="60" t="s">
        <v>88</v>
      </c>
      <c r="H569" s="60" t="str">
        <f>IFERROR(INDEX('Docketed Comments'!C:C,MATCH(A569,'Docketed Comments'!H:H,0))&amp;", "&amp;INDEX('Docketed Comments'!B:B,MATCH(A569,'Docketed Comments'!H:H,0)),"")</f>
        <v>Reyna, Penaloza</v>
      </c>
      <c r="I569" s="60" t="str">
        <f>IFERROR(INDEX('Docketed Comments'!D:D,MATCH(A569,'Docketed Comments'!H:H,0)),"")</f>
        <v>Buckeye</v>
      </c>
      <c r="J569" s="60" t="str">
        <f>IFERROR(INDEX('Docketed Comments'!I:I,MATCH(A569,'Docketed Comments'!H:H,0)),"")</f>
        <v>R-2</v>
      </c>
      <c r="K569" s="60" t="str">
        <f t="shared" si="17"/>
        <v>⚠ Frozen Rate</v>
      </c>
      <c r="L569" s="60" t="str">
        <f>IFERROR(INDEX('Docketed Comments'!F:F,MATCH(A569,'Docketed Comments'!H:H,0)),"")</f>
        <v>Form letter</v>
      </c>
      <c r="M569" s="120" t="str">
        <f>IFERROR(INDEX('Docketed Comments'!G:G,MATCH(A569,'Docketed Comments'!H:H,0)),"")</f>
        <v>https://docket.images.azcc.gov/E000046235.pdf</v>
      </c>
      <c r="N569" s="118" t="str">
        <f>IFERROR(INDEX('Docketed Comments'!N:N,MATCH(A569,'Docketed Comments'!H:H,0)),"")</f>
        <v>No</v>
      </c>
      <c r="O569" s="118" t="str">
        <f>IFERROR(INDEX('Docketed Comments'!L:L,MATCH(A569,'Docketed Comments'!H:H,0)),"")</f>
        <v>Frozen Rate</v>
      </c>
      <c r="P569" s="119">
        <f t="shared" si="16"/>
        <v>0</v>
      </c>
      <c r="Q569" s="60"/>
      <c r="R569" s="64" t="s">
        <v>75</v>
      </c>
      <c r="S569" s="64" t="s">
        <v>1250</v>
      </c>
    </row>
    <row r="570" spans="1:19" ht="21.95" customHeight="1">
      <c r="A570" s="66" t="s">
        <v>1251</v>
      </c>
      <c r="B570" s="64"/>
      <c r="C570" s="65"/>
      <c r="D570" s="64"/>
      <c r="E570" s="64"/>
      <c r="F570" s="60"/>
      <c r="G570" s="60" t="s">
        <v>88</v>
      </c>
      <c r="H570" s="60" t="str">
        <f>IFERROR(INDEX('Docketed Comments'!C:C,MATCH(A570,'Docketed Comments'!H:H,0))&amp;", "&amp;INDEX('Docketed Comments'!B:B,MATCH(A570,'Docketed Comments'!H:H,0)),"")</f>
        <v>Rose, Parrish</v>
      </c>
      <c r="I570" s="60" t="str">
        <f>IFERROR(INDEX('Docketed Comments'!D:D,MATCH(A570,'Docketed Comments'!H:H,0)),"")</f>
        <v>Phoenix</v>
      </c>
      <c r="J570" s="60" t="str">
        <f>IFERROR(INDEX('Docketed Comments'!I:I,MATCH(A570,'Docketed Comments'!H:H,0)),"")</f>
        <v>R3-47</v>
      </c>
      <c r="K570" s="60" t="str">
        <f t="shared" si="17"/>
        <v>✅ On Best Plan</v>
      </c>
      <c r="L570" s="60" t="str">
        <f>IFERROR(INDEX('Docketed Comments'!F:F,MATCH(A570,'Docketed Comments'!H:H,0)),"")</f>
        <v>Opposed</v>
      </c>
      <c r="M570" s="120" t="str">
        <f>IFERROR(INDEX('Docketed Comments'!G:G,MATCH(A570,'Docketed Comments'!H:H,0)),"")</f>
        <v>https://docket.images.azcc.gov/E000046235.pdf</v>
      </c>
      <c r="N570" s="118" t="str">
        <f>IFERROR(INDEX('Docketed Comments'!N:N,MATCH(A570,'Docketed Comments'!H:H,0)),"")</f>
        <v>No</v>
      </c>
      <c r="O570" s="118" t="str">
        <f>IFERROR(INDEX('Docketed Comments'!L:L,MATCH(A570,'Docketed Comments'!H:H,0)),"")</f>
        <v>Yes</v>
      </c>
      <c r="P570" s="119">
        <f t="shared" si="16"/>
        <v>0</v>
      </c>
      <c r="Q570" s="60"/>
      <c r="R570" s="64" t="s">
        <v>75</v>
      </c>
      <c r="S570" s="64" t="s">
        <v>1252</v>
      </c>
    </row>
    <row r="571" spans="1:19" ht="21.95" customHeight="1">
      <c r="A571" s="66" t="s">
        <v>1253</v>
      </c>
      <c r="B571" s="64"/>
      <c r="C571" s="65"/>
      <c r="D571" s="64"/>
      <c r="E571" s="64"/>
      <c r="F571" s="60"/>
      <c r="G571" s="60" t="s">
        <v>88</v>
      </c>
      <c r="H571" s="60" t="str">
        <f>IFERROR(INDEX('Docketed Comments'!C:C,MATCH(A571,'Docketed Comments'!H:H,0))&amp;", "&amp;INDEX('Docketed Comments'!B:B,MATCH(A571,'Docketed Comments'!H:H,0)),"")</f>
        <v xml:space="preserve">Ronald, Kovacs </v>
      </c>
      <c r="I571" s="60" t="str">
        <f>IFERROR(INDEX('Docketed Comments'!D:D,MATCH(A571,'Docketed Comments'!H:H,0)),"")</f>
        <v>Unknown</v>
      </c>
      <c r="J571" s="60" t="str">
        <f>IFERROR(INDEX('Docketed Comments'!I:I,MATCH(A571,'Docketed Comments'!H:H,0)),"")</f>
        <v>R-BASIC</v>
      </c>
      <c r="K571" s="60" t="str">
        <f t="shared" si="17"/>
        <v>✅ On Best Plan</v>
      </c>
      <c r="L571" s="60" t="str">
        <f>IFERROR(INDEX('Docketed Comments'!F:F,MATCH(A571,'Docketed Comments'!H:H,0)),"")</f>
        <v>Beyond reason, outrageous request</v>
      </c>
      <c r="M571" s="120" t="str">
        <f>IFERROR(INDEX('Docketed Comments'!G:G,MATCH(A571,'Docketed Comments'!H:H,0)),"")</f>
        <v>https://docket.images.azcc.gov/E000046235.pdf</v>
      </c>
      <c r="N571" s="118" t="str">
        <f>IFERROR(INDEX('Docketed Comments'!N:N,MATCH(A571,'Docketed Comments'!H:H,0)),"")</f>
        <v>No</v>
      </c>
      <c r="O571" s="118" t="str">
        <f>IFERROR(INDEX('Docketed Comments'!L:L,MATCH(A571,'Docketed Comments'!H:H,0)),"")</f>
        <v>Yes</v>
      </c>
      <c r="P571" s="119">
        <f t="shared" si="16"/>
        <v>0</v>
      </c>
      <c r="Q571" s="60"/>
      <c r="R571" s="64" t="s">
        <v>75</v>
      </c>
      <c r="S571" s="64" t="s">
        <v>1254</v>
      </c>
    </row>
    <row r="572" spans="1:19" ht="21.95" customHeight="1">
      <c r="A572" s="66" t="s">
        <v>1255</v>
      </c>
      <c r="B572" s="64"/>
      <c r="C572" s="65"/>
      <c r="D572" s="64"/>
      <c r="E572" s="64"/>
      <c r="F572" s="60"/>
      <c r="G572" s="60" t="s">
        <v>88</v>
      </c>
      <c r="H572" s="60" t="str">
        <f>IFERROR(INDEX('Docketed Comments'!C:C,MATCH(A572,'Docketed Comments'!H:H,0))&amp;", "&amp;INDEX('Docketed Comments'!B:B,MATCH(A572,'Docketed Comments'!H:H,0)),"")</f>
        <v>Nicholas, Borror</v>
      </c>
      <c r="I572" s="60" t="str">
        <f>IFERROR(INDEX('Docketed Comments'!D:D,MATCH(A572,'Docketed Comments'!H:H,0)),"")</f>
        <v>Phoenix</v>
      </c>
      <c r="J572" s="60" t="str">
        <f>IFERROR(INDEX('Docketed Comments'!I:I,MATCH(A572,'Docketed Comments'!H:H,0)),"")</f>
        <v>R3-47</v>
      </c>
      <c r="K572" s="60" t="str">
        <f t="shared" si="17"/>
        <v>✅ On Best Plan</v>
      </c>
      <c r="L572" s="60" t="str">
        <f>IFERROR(INDEX('Docketed Comments'!F:F,MATCH(A572,'Docketed Comments'!H:H,0)),"")</f>
        <v>Keep it affordable</v>
      </c>
      <c r="M572" s="120" t="str">
        <f>IFERROR(INDEX('Docketed Comments'!G:G,MATCH(A572,'Docketed Comments'!H:H,0)),"")</f>
        <v>https://docket.images.azcc.gov/E000046266.pdf</v>
      </c>
      <c r="N572" s="118" t="str">
        <f>IFERROR(INDEX('Docketed Comments'!N:N,MATCH(A572,'Docketed Comments'!H:H,0)),"")</f>
        <v>No</v>
      </c>
      <c r="O572" s="118" t="str">
        <f>IFERROR(INDEX('Docketed Comments'!L:L,MATCH(A572,'Docketed Comments'!H:H,0)),"")</f>
        <v>Yes</v>
      </c>
      <c r="P572" s="119">
        <f t="shared" si="16"/>
        <v>0</v>
      </c>
      <c r="Q572" s="60"/>
      <c r="R572" s="64" t="s">
        <v>75</v>
      </c>
      <c r="S572" s="64" t="s">
        <v>1256</v>
      </c>
    </row>
    <row r="573" spans="1:19" ht="21.95" customHeight="1">
      <c r="A573" s="66" t="s">
        <v>1257</v>
      </c>
      <c r="B573" s="64"/>
      <c r="C573" s="65"/>
      <c r="D573" s="64"/>
      <c r="E573" s="64"/>
      <c r="F573" s="60"/>
      <c r="G573" s="60" t="s">
        <v>88</v>
      </c>
      <c r="H573" s="60" t="str">
        <f>IFERROR(INDEX('Docketed Comments'!C:C,MATCH(A573,'Docketed Comments'!H:H,0))&amp;", "&amp;INDEX('Docketed Comments'!B:B,MATCH(A573,'Docketed Comments'!H:H,0)),"")</f>
        <v>Ken, Ferguson</v>
      </c>
      <c r="I573" s="60" t="str">
        <f>IFERROR(INDEX('Docketed Comments'!D:D,MATCH(A573,'Docketed Comments'!H:H,0)),"")</f>
        <v>Scottsdale</v>
      </c>
      <c r="J573" s="60" t="str">
        <f>IFERROR(INDEX('Docketed Comments'!I:I,MATCH(A573,'Docketed Comments'!H:H,0)),"")</f>
        <v>R3-47</v>
      </c>
      <c r="K573" s="60" t="str">
        <f t="shared" si="17"/>
        <v>✅ On Best Plan</v>
      </c>
      <c r="L573" s="60" t="str">
        <f>IFERROR(INDEX('Docketed Comments'!F:F,MATCH(A573,'Docketed Comments'!H:H,0)),"")</f>
        <v>Form letter</v>
      </c>
      <c r="M573" s="120" t="str">
        <f>IFERROR(INDEX('Docketed Comments'!G:G,MATCH(A573,'Docketed Comments'!H:H,0)),"")</f>
        <v>https://docket.images.azcc.gov/E000046266.pdf</v>
      </c>
      <c r="N573" s="118" t="str">
        <f>IFERROR(INDEX('Docketed Comments'!N:N,MATCH(A573,'Docketed Comments'!H:H,0)),"")</f>
        <v>No</v>
      </c>
      <c r="O573" s="118" t="str">
        <f>IFERROR(INDEX('Docketed Comments'!L:L,MATCH(A573,'Docketed Comments'!H:H,0)),"")</f>
        <v>Yes</v>
      </c>
      <c r="P573" s="119">
        <f t="shared" si="16"/>
        <v>0</v>
      </c>
      <c r="Q573" s="60"/>
      <c r="R573" s="64" t="s">
        <v>75</v>
      </c>
      <c r="S573" s="64" t="s">
        <v>1258</v>
      </c>
    </row>
    <row r="574" spans="1:19" ht="21.95" customHeight="1">
      <c r="A574" s="66" t="s">
        <v>1259</v>
      </c>
      <c r="B574" s="64"/>
      <c r="C574" s="65"/>
      <c r="D574" s="64"/>
      <c r="E574" s="64"/>
      <c r="F574" s="60"/>
      <c r="G574" s="60" t="s">
        <v>88</v>
      </c>
      <c r="H574" s="60" t="str">
        <f>IFERROR(INDEX('Docketed Comments'!C:C,MATCH(A574,'Docketed Comments'!H:H,0))&amp;", "&amp;INDEX('Docketed Comments'!B:B,MATCH(A574,'Docketed Comments'!H:H,0)),"")</f>
        <v>Ian, Cobb</v>
      </c>
      <c r="I574" s="60" t="str">
        <f>IFERROR(INDEX('Docketed Comments'!D:D,MATCH(A574,'Docketed Comments'!H:H,0)),"")</f>
        <v>Phoenix</v>
      </c>
      <c r="J574" s="60" t="str">
        <f>IFERROR(INDEX('Docketed Comments'!I:I,MATCH(A574,'Docketed Comments'!H:H,0)),"")</f>
        <v>R-BASIC</v>
      </c>
      <c r="K574" s="60" t="str">
        <f t="shared" si="17"/>
        <v>✅ On Best Plan</v>
      </c>
      <c r="L574" s="60" t="str">
        <f>IFERROR(INDEX('Docketed Comments'!F:F,MATCH(A574,'Docketed Comments'!H:H,0)),"")</f>
        <v>People are already hurting</v>
      </c>
      <c r="M574" s="120" t="str">
        <f>IFERROR(INDEX('Docketed Comments'!G:G,MATCH(A574,'Docketed Comments'!H:H,0)),"")</f>
        <v>https://docket.images.azcc.gov/E000046266.pdf</v>
      </c>
      <c r="N574" s="118" t="str">
        <f>IFERROR(INDEX('Docketed Comments'!N:N,MATCH(A574,'Docketed Comments'!H:H,0)),"")</f>
        <v>No</v>
      </c>
      <c r="O574" s="118" t="str">
        <f>IFERROR(INDEX('Docketed Comments'!L:L,MATCH(A574,'Docketed Comments'!H:H,0)),"")</f>
        <v>Yes</v>
      </c>
      <c r="P574" s="119">
        <f t="shared" si="16"/>
        <v>0</v>
      </c>
      <c r="Q574" s="60"/>
      <c r="R574" s="64" t="s">
        <v>75</v>
      </c>
      <c r="S574" s="64" t="s">
        <v>1260</v>
      </c>
    </row>
    <row r="575" spans="1:19" ht="21.95" customHeight="1">
      <c r="A575" s="66" t="s">
        <v>1261</v>
      </c>
      <c r="B575" s="64"/>
      <c r="C575" s="65"/>
      <c r="D575" s="64"/>
      <c r="E575" s="64"/>
      <c r="F575" s="60"/>
      <c r="G575" s="60" t="s">
        <v>88</v>
      </c>
      <c r="H575" s="60" t="str">
        <f>IFERROR(INDEX('Docketed Comments'!C:C,MATCH(A575,'Docketed Comments'!H:H,0))&amp;", "&amp;INDEX('Docketed Comments'!B:B,MATCH(A575,'Docketed Comments'!H:H,0)),"")</f>
        <v>Lisa, Pray</v>
      </c>
      <c r="I575" s="60" t="str">
        <f>IFERROR(INDEX('Docketed Comments'!D:D,MATCH(A575,'Docketed Comments'!H:H,0)),"")</f>
        <v>Phoenix</v>
      </c>
      <c r="J575" s="60" t="str">
        <f>IFERROR(INDEX('Docketed Comments'!I:I,MATCH(A575,'Docketed Comments'!H:H,0)),"")</f>
        <v>R-2</v>
      </c>
      <c r="K575" s="60" t="str">
        <f t="shared" si="17"/>
        <v>⚠ Frozen Rate</v>
      </c>
      <c r="L575" s="60" t="str">
        <f>IFERROR(INDEX('Docketed Comments'!F:F,MATCH(A575,'Docketed Comments'!H:H,0)),"")</f>
        <v>Object to charging residential customer for the power needs of AI &amp; IT</v>
      </c>
      <c r="M575" s="120" t="str">
        <f>IFERROR(INDEX('Docketed Comments'!G:G,MATCH(A575,'Docketed Comments'!H:H,0)),"")</f>
        <v>https://docket.images.azcc.gov/E000046266.pdf</v>
      </c>
      <c r="N575" s="118" t="str">
        <f>IFERROR(INDEX('Docketed Comments'!N:N,MATCH(A575,'Docketed Comments'!H:H,0)),"")</f>
        <v>No</v>
      </c>
      <c r="O575" s="118" t="str">
        <f>IFERROR(INDEX('Docketed Comments'!L:L,MATCH(A575,'Docketed Comments'!H:H,0)),"")</f>
        <v>Frozen Rate</v>
      </c>
      <c r="P575" s="119">
        <f t="shared" si="16"/>
        <v>0</v>
      </c>
      <c r="Q575" s="60"/>
      <c r="R575" s="64" t="s">
        <v>75</v>
      </c>
      <c r="S575" s="64" t="s">
        <v>1262</v>
      </c>
    </row>
    <row r="576" spans="1:19" ht="21.95" customHeight="1">
      <c r="A576" s="66" t="s">
        <v>1263</v>
      </c>
      <c r="B576" s="64"/>
      <c r="C576" s="65"/>
      <c r="D576" s="64"/>
      <c r="E576" s="64"/>
      <c r="F576" s="60"/>
      <c r="G576" s="60" t="s">
        <v>88</v>
      </c>
      <c r="H576" s="60" t="str">
        <f>IFERROR(INDEX('Docketed Comments'!C:C,MATCH(A576,'Docketed Comments'!H:H,0))&amp;", "&amp;INDEX('Docketed Comments'!B:B,MATCH(A576,'Docketed Comments'!H:H,0)),"")</f>
        <v xml:space="preserve">Dennis, Scheid </v>
      </c>
      <c r="I576" s="60" t="str">
        <f>IFERROR(INDEX('Docketed Comments'!D:D,MATCH(A576,'Docketed Comments'!H:H,0)),"")</f>
        <v>Payson</v>
      </c>
      <c r="J576" s="60" t="str">
        <f>IFERROR(INDEX('Docketed Comments'!I:I,MATCH(A576,'Docketed Comments'!H:H,0)),"")</f>
        <v>R3-47</v>
      </c>
      <c r="K576" s="60" t="str">
        <f t="shared" si="17"/>
        <v>✅ On Best Plan</v>
      </c>
      <c r="L576" s="60" t="str">
        <f>IFERROR(INDEX('Docketed Comments'!F:F,MATCH(A576,'Docketed Comments'!H:H,0)),"")</f>
        <v>Opposed, need oversight on their contractors</v>
      </c>
      <c r="M576" s="120" t="str">
        <f>IFERROR(INDEX('Docketed Comments'!G:G,MATCH(A576,'Docketed Comments'!H:H,0)),"")</f>
        <v>https://docket.images.azcc.gov/E000046266.pdf</v>
      </c>
      <c r="N576" s="118" t="str">
        <f>IFERROR(INDEX('Docketed Comments'!N:N,MATCH(A576,'Docketed Comments'!H:H,0)),"")</f>
        <v>No</v>
      </c>
      <c r="O576" s="118" t="str">
        <f>IFERROR(INDEX('Docketed Comments'!L:L,MATCH(A576,'Docketed Comments'!H:H,0)),"")</f>
        <v>Yes</v>
      </c>
      <c r="P576" s="119">
        <f t="shared" si="16"/>
        <v>0</v>
      </c>
      <c r="Q576" s="60"/>
      <c r="R576" s="64" t="s">
        <v>75</v>
      </c>
      <c r="S576" s="64" t="s">
        <v>1264</v>
      </c>
    </row>
    <row r="577" spans="1:19" ht="21.95" customHeight="1">
      <c r="A577" s="66" t="s">
        <v>1265</v>
      </c>
      <c r="B577" s="64"/>
      <c r="C577" s="65"/>
      <c r="D577" s="64"/>
      <c r="E577" s="64"/>
      <c r="F577" s="60"/>
      <c r="G577" s="60" t="s">
        <v>88</v>
      </c>
      <c r="H577" s="60" t="str">
        <f>IFERROR(INDEX('Docketed Comments'!C:C,MATCH(A577,'Docketed Comments'!H:H,0))&amp;", "&amp;INDEX('Docketed Comments'!B:B,MATCH(A577,'Docketed Comments'!H:H,0)),"")</f>
        <v>Gary, Burt</v>
      </c>
      <c r="I577" s="60" t="str">
        <f>IFERROR(INDEX('Docketed Comments'!D:D,MATCH(A577,'Docketed Comments'!H:H,0)),"")</f>
        <v xml:space="preserve">Sun City </v>
      </c>
      <c r="J577" s="60" t="str">
        <f>IFERROR(INDEX('Docketed Comments'!I:I,MATCH(A577,'Docketed Comments'!H:H,0)),"")</f>
        <v>RCPw/RTOUE47</v>
      </c>
      <c r="K577" s="60" t="str">
        <f t="shared" si="17"/>
        <v>✅ On Best Plan</v>
      </c>
      <c r="L577" s="60" t="str">
        <f>IFERROR(INDEX('Docketed Comments'!F:F,MATCH(A577,'Docketed Comments'!H:H,0)),"")</f>
        <v>On the backs of struggling seniors statewide</v>
      </c>
      <c r="M577" s="120" t="str">
        <f>IFERROR(INDEX('Docketed Comments'!G:G,MATCH(A577,'Docketed Comments'!H:H,0)),"")</f>
        <v>https://docket.images.azcc.gov/E000046266.pdf</v>
      </c>
      <c r="N577" s="118" t="str">
        <f>IFERROR(INDEX('Docketed Comments'!N:N,MATCH(A577,'Docketed Comments'!H:H,0)),"")</f>
        <v>No</v>
      </c>
      <c r="O577" s="118" t="str">
        <f>IFERROR(INDEX('Docketed Comments'!L:L,MATCH(A577,'Docketed Comments'!H:H,0)),"")</f>
        <v>Yes</v>
      </c>
      <c r="P577" s="119">
        <f t="shared" si="16"/>
        <v>0</v>
      </c>
      <c r="Q577" s="60"/>
      <c r="R577" s="64" t="s">
        <v>75</v>
      </c>
      <c r="S577" s="64" t="s">
        <v>1266</v>
      </c>
    </row>
    <row r="578" spans="1:19" ht="21.95" customHeight="1">
      <c r="A578" s="66" t="s">
        <v>1267</v>
      </c>
      <c r="B578" s="64"/>
      <c r="C578" s="65"/>
      <c r="D578" s="64"/>
      <c r="E578" s="64"/>
      <c r="F578" s="60"/>
      <c r="G578" s="60" t="s">
        <v>88</v>
      </c>
      <c r="H578" s="60" t="str">
        <f>IFERROR(INDEX('Docketed Comments'!C:C,MATCH(A578,'Docketed Comments'!H:H,0))&amp;", "&amp;INDEX('Docketed Comments'!B:B,MATCH(A578,'Docketed Comments'!H:H,0)),"")</f>
        <v>Ramiz, Toma</v>
      </c>
      <c r="I578" s="60" t="str">
        <f>IFERROR(INDEX('Docketed Comments'!D:D,MATCH(A578,'Docketed Comments'!H:H,0)),"")</f>
        <v>Phoenix</v>
      </c>
      <c r="J578" s="60" t="str">
        <f>IFERROR(INDEX('Docketed Comments'!I:I,MATCH(A578,'Docketed Comments'!H:H,0)),"")</f>
        <v>R-BASIC</v>
      </c>
      <c r="K578" s="60" t="str">
        <f t="shared" si="17"/>
        <v>✅ On Best Plan</v>
      </c>
      <c r="L578" s="60" t="str">
        <f>IFERROR(INDEX('Docketed Comments'!F:F,MATCH(A578,'Docketed Comments'!H:H,0)),"")</f>
        <v>opposed</v>
      </c>
      <c r="M578" s="120" t="str">
        <f>IFERROR(INDEX('Docketed Comments'!G:G,MATCH(A578,'Docketed Comments'!H:H,0)),"")</f>
        <v>https://docket.images.azcc.gov/E000046266.pdf</v>
      </c>
      <c r="N578" s="118" t="str">
        <f>IFERROR(INDEX('Docketed Comments'!N:N,MATCH(A578,'Docketed Comments'!H:H,0)),"")</f>
        <v>No</v>
      </c>
      <c r="O578" s="118" t="str">
        <f>IFERROR(INDEX('Docketed Comments'!L:L,MATCH(A578,'Docketed Comments'!H:H,0)),"")</f>
        <v>Yes</v>
      </c>
      <c r="P578" s="119">
        <f t="shared" ref="P578:P641" si="18">IFERROR(IF(ISNUMBER(SEARCH("$",O578)),VALUE(SUBSTITUTE(SUBSTITUTE(MID(O578,FIND("$",O578)+1,FIND(")",O578)-FIND("$",O578)-1),",","")," ","")),VALUE(SUBSTITUTE(SUBSTITUTE(MID(O578,FIND("(",O578)+1,FIND(")",O578)-FIND("(",O578)-1),",","")," ",""))),0)</f>
        <v>0</v>
      </c>
      <c r="Q578" s="60"/>
      <c r="R578" s="64" t="s">
        <v>75</v>
      </c>
      <c r="S578" s="64" t="s">
        <v>1268</v>
      </c>
    </row>
    <row r="579" spans="1:19" ht="21.95" customHeight="1">
      <c r="A579" s="66" t="s">
        <v>1269</v>
      </c>
      <c r="B579" s="64"/>
      <c r="C579" s="65"/>
      <c r="D579" s="64"/>
      <c r="E579" s="64"/>
      <c r="F579" s="60"/>
      <c r="G579" s="60" t="s">
        <v>88</v>
      </c>
      <c r="H579" s="60" t="str">
        <f>IFERROR(INDEX('Docketed Comments'!C:C,MATCH(A579,'Docketed Comments'!H:H,0))&amp;", "&amp;INDEX('Docketed Comments'!B:B,MATCH(A579,'Docketed Comments'!H:H,0)),"")</f>
        <v>Alexander, Misner</v>
      </c>
      <c r="I579" s="60" t="str">
        <f>IFERROR(INDEX('Docketed Comments'!D:D,MATCH(A579,'Docketed Comments'!H:H,0)),"")</f>
        <v>Phoenix</v>
      </c>
      <c r="J579" s="60" t="str">
        <f>IFERROR(INDEX('Docketed Comments'!I:I,MATCH(A579,'Docketed Comments'!H:H,0)),"")</f>
        <v>R-XS</v>
      </c>
      <c r="K579" s="60" t="str">
        <f t="shared" ref="K579:K642" si="19">IFERROR(IF(OR(LEFT(O579,2)="No",LEFT(O579,3)="Not"),"❌ Not on Best Plan",IF(OR(O579="Yes",O579="Y",O579="Yes "),"✅ On Best Plan","⚠ "&amp;O579)),"")</f>
        <v>✅ On Best Plan</v>
      </c>
      <c r="L579" s="60" t="str">
        <f>IFERROR(INDEX('Docketed Comments'!F:F,MATCH(A579,'Docketed Comments'!H:H,0)),"")</f>
        <v>Form letter</v>
      </c>
      <c r="M579" s="120" t="str">
        <f>IFERROR(INDEX('Docketed Comments'!G:G,MATCH(A579,'Docketed Comments'!H:H,0)),"")</f>
        <v>https://docket.images.azcc.gov/E000046266.pdf</v>
      </c>
      <c r="N579" s="118" t="str">
        <f>IFERROR(INDEX('Docketed Comments'!N:N,MATCH(A579,'Docketed Comments'!H:H,0)),"")</f>
        <v>No</v>
      </c>
      <c r="O579" s="118" t="str">
        <f>IFERROR(INDEX('Docketed Comments'!L:L,MATCH(A579,'Docketed Comments'!H:H,0)),"")</f>
        <v>Yes</v>
      </c>
      <c r="P579" s="119">
        <f t="shared" si="18"/>
        <v>0</v>
      </c>
      <c r="Q579" s="60"/>
      <c r="R579" s="64" t="s">
        <v>75</v>
      </c>
      <c r="S579" s="64" t="s">
        <v>1270</v>
      </c>
    </row>
    <row r="580" spans="1:19" ht="21.95" customHeight="1">
      <c r="A580" s="66" t="s">
        <v>1271</v>
      </c>
      <c r="B580" s="64"/>
      <c r="C580" s="65"/>
      <c r="D580" s="64"/>
      <c r="E580" s="64"/>
      <c r="F580" s="60"/>
      <c r="G580" s="60" t="s">
        <v>88</v>
      </c>
      <c r="H580" s="60" t="str">
        <f>IFERROR(INDEX('Docketed Comments'!C:C,MATCH(A580,'Docketed Comments'!H:H,0))&amp;", "&amp;INDEX('Docketed Comments'!B:B,MATCH(A580,'Docketed Comments'!H:H,0)),"")</f>
        <v>Clark, Gilliland</v>
      </c>
      <c r="I580" s="60" t="str">
        <f>IFERROR(INDEX('Docketed Comments'!D:D,MATCH(A580,'Docketed Comments'!H:H,0)),"")</f>
        <v>Scottsdale</v>
      </c>
      <c r="J580" s="60" t="str">
        <f>IFERROR(INDEX('Docketed Comments'!I:I,MATCH(A580,'Docketed Comments'!H:H,0)),"")</f>
        <v>R3-47</v>
      </c>
      <c r="K580" s="60" t="str">
        <f t="shared" si="19"/>
        <v>✅ On Best Plan</v>
      </c>
      <c r="L580" s="60" t="str">
        <f>IFERROR(INDEX('Docketed Comments'!F:F,MATCH(A580,'Docketed Comments'!H:H,0)),"")</f>
        <v>They are in a class action suit, we do not want to foot this bill</v>
      </c>
      <c r="M580" s="120" t="str">
        <f>IFERROR(INDEX('Docketed Comments'!G:G,MATCH(A580,'Docketed Comments'!H:H,0)),"")</f>
        <v>https://docket.images.azcc.gov/E000046266.pdf</v>
      </c>
      <c r="N580" s="118" t="str">
        <f>IFERROR(INDEX('Docketed Comments'!N:N,MATCH(A580,'Docketed Comments'!H:H,0)),"")</f>
        <v>No</v>
      </c>
      <c r="O580" s="118" t="str">
        <f>IFERROR(INDEX('Docketed Comments'!L:L,MATCH(A580,'Docketed Comments'!H:H,0)),"")</f>
        <v>Yes</v>
      </c>
      <c r="P580" s="119">
        <f t="shared" si="18"/>
        <v>0</v>
      </c>
      <c r="Q580" s="60"/>
      <c r="R580" s="64" t="s">
        <v>75</v>
      </c>
      <c r="S580" s="64" t="s">
        <v>1272</v>
      </c>
    </row>
    <row r="581" spans="1:19" ht="21.95" customHeight="1">
      <c r="A581" s="66" t="s">
        <v>1273</v>
      </c>
      <c r="B581" s="64"/>
      <c r="C581" s="65"/>
      <c r="D581" s="64"/>
      <c r="E581" s="64"/>
      <c r="F581" s="60"/>
      <c r="G581" s="60" t="s">
        <v>88</v>
      </c>
      <c r="H581" s="60" t="str">
        <f>IFERROR(INDEX('Docketed Comments'!C:C,MATCH(A581,'Docketed Comments'!H:H,0))&amp;", "&amp;INDEX('Docketed Comments'!B:B,MATCH(A581,'Docketed Comments'!H:H,0)),"")</f>
        <v>Chris, Franovich</v>
      </c>
      <c r="I581" s="60" t="str">
        <f>IFERROR(INDEX('Docketed Comments'!D:D,MATCH(A581,'Docketed Comments'!H:H,0)),"")</f>
        <v>Glendale</v>
      </c>
      <c r="J581" s="60" t="str">
        <f>IFERROR(INDEX('Docketed Comments'!I:I,MATCH(A581,'Docketed Comments'!H:H,0)),"")</f>
        <v>R-BASIC</v>
      </c>
      <c r="K581" s="60" t="str">
        <f t="shared" si="19"/>
        <v>✅ On Best Plan</v>
      </c>
      <c r="L581" s="60" t="str">
        <f>IFERROR(INDEX('Docketed Comments'!F:F,MATCH(A581,'Docketed Comments'!H:H,0)),"")</f>
        <v xml:space="preserve">Ridiculous </v>
      </c>
      <c r="M581" s="120" t="str">
        <f>IFERROR(INDEX('Docketed Comments'!G:G,MATCH(A581,'Docketed Comments'!H:H,0)),"")</f>
        <v>https://docket.images.azcc.gov/E000046266.pdf</v>
      </c>
      <c r="N581" s="118" t="str">
        <f>IFERROR(INDEX('Docketed Comments'!N:N,MATCH(A581,'Docketed Comments'!H:H,0)),"")</f>
        <v>No</v>
      </c>
      <c r="O581" s="118" t="str">
        <f>IFERROR(INDEX('Docketed Comments'!L:L,MATCH(A581,'Docketed Comments'!H:H,0)),"")</f>
        <v>Yes</v>
      </c>
      <c r="P581" s="119">
        <f t="shared" si="18"/>
        <v>0</v>
      </c>
      <c r="Q581" s="60"/>
      <c r="R581" s="64" t="s">
        <v>75</v>
      </c>
      <c r="S581" s="64" t="s">
        <v>1274</v>
      </c>
    </row>
    <row r="582" spans="1:19" ht="21.95" customHeight="1">
      <c r="A582" s="66" t="s">
        <v>1275</v>
      </c>
      <c r="B582" s="64"/>
      <c r="C582" s="65"/>
      <c r="D582" s="64"/>
      <c r="E582" s="64"/>
      <c r="F582" s="60"/>
      <c r="G582" s="60" t="s">
        <v>88</v>
      </c>
      <c r="H582" s="60" t="str">
        <f>IFERROR(INDEX('Docketed Comments'!C:C,MATCH(A582,'Docketed Comments'!H:H,0))&amp;", "&amp;INDEX('Docketed Comments'!B:B,MATCH(A582,'Docketed Comments'!H:H,0)),"")</f>
        <v>Melissa, Rosenberger</v>
      </c>
      <c r="I582" s="60" t="str">
        <f>IFERROR(INDEX('Docketed Comments'!D:D,MATCH(A582,'Docketed Comments'!H:H,0)),"")</f>
        <v>Glendale</v>
      </c>
      <c r="J582" s="60" t="str">
        <f>IFERROR(INDEX('Docketed Comments'!I:I,MATCH(A582,'Docketed Comments'!H:H,0)),"")</f>
        <v>R3-47</v>
      </c>
      <c r="K582" s="60" t="str">
        <f t="shared" si="19"/>
        <v>✅ On Best Plan</v>
      </c>
      <c r="L582" s="60" t="str">
        <f>IFERROR(INDEX('Docketed Comments'!F:F,MATCH(A582,'Docketed Comments'!H:H,0)),"")</f>
        <v>Absolutely insane</v>
      </c>
      <c r="M582" s="120" t="str">
        <f>IFERROR(INDEX('Docketed Comments'!G:G,MATCH(A582,'Docketed Comments'!H:H,0)),"")</f>
        <v>https://docket.images.azcc.gov/E000046266.pdf</v>
      </c>
      <c r="N582" s="118" t="str">
        <f>IFERROR(INDEX('Docketed Comments'!N:N,MATCH(A582,'Docketed Comments'!H:H,0)),"")</f>
        <v>No</v>
      </c>
      <c r="O582" s="118" t="str">
        <f>IFERROR(INDEX('Docketed Comments'!L:L,MATCH(A582,'Docketed Comments'!H:H,0)),"")</f>
        <v>Yes</v>
      </c>
      <c r="P582" s="119">
        <f t="shared" si="18"/>
        <v>0</v>
      </c>
      <c r="Q582" s="60"/>
      <c r="R582" s="64" t="s">
        <v>75</v>
      </c>
      <c r="S582" s="64" t="s">
        <v>1276</v>
      </c>
    </row>
    <row r="583" spans="1:19" ht="21.95" customHeight="1">
      <c r="A583" s="66" t="s">
        <v>1277</v>
      </c>
      <c r="B583" s="64"/>
      <c r="C583" s="65"/>
      <c r="D583" s="64"/>
      <c r="E583" s="64"/>
      <c r="F583" s="60"/>
      <c r="G583" s="60" t="s">
        <v>88</v>
      </c>
      <c r="H583" s="60" t="str">
        <f>IFERROR(INDEX('Docketed Comments'!C:C,MATCH(A583,'Docketed Comments'!H:H,0))&amp;", "&amp;INDEX('Docketed Comments'!B:B,MATCH(A583,'Docketed Comments'!H:H,0)),"")</f>
        <v>Richard, Mora</v>
      </c>
      <c r="I583" s="60" t="str">
        <f>IFERROR(INDEX('Docketed Comments'!D:D,MATCH(A583,'Docketed Comments'!H:H,0)),"")</f>
        <v>Gilbert</v>
      </c>
      <c r="J583" s="60" t="str">
        <f>IFERROR(INDEX('Docketed Comments'!I:I,MATCH(A583,'Docketed Comments'!H:H,0)),"")</f>
        <v>EPR-6w/E-12</v>
      </c>
      <c r="K583" s="60" t="str">
        <f t="shared" si="19"/>
        <v>⚠ Frozen Rate</v>
      </c>
      <c r="L583" s="60" t="str">
        <f>IFERROR(INDEX('Docketed Comments'!F:F,MATCH(A583,'Docketed Comments'!H:H,0)),"")</f>
        <v>Form letter</v>
      </c>
      <c r="M583" s="120" t="str">
        <f>IFERROR(INDEX('Docketed Comments'!G:G,MATCH(A583,'Docketed Comments'!H:H,0)),"")</f>
        <v>https://docket.images.azcc.gov/E000046266.pdf</v>
      </c>
      <c r="N583" s="118" t="str">
        <f>IFERROR(INDEX('Docketed Comments'!N:N,MATCH(A583,'Docketed Comments'!H:H,0)),"")</f>
        <v>No</v>
      </c>
      <c r="O583" s="118" t="str">
        <f>IFERROR(INDEX('Docketed Comments'!L:L,MATCH(A583,'Docketed Comments'!H:H,0)),"")</f>
        <v>Frozen Rate</v>
      </c>
      <c r="P583" s="119">
        <f t="shared" si="18"/>
        <v>0</v>
      </c>
      <c r="Q583" s="60"/>
      <c r="R583" s="64" t="s">
        <v>75</v>
      </c>
      <c r="S583" s="64" t="s">
        <v>1278</v>
      </c>
    </row>
    <row r="584" spans="1:19" ht="21.95" customHeight="1">
      <c r="A584" s="66" t="s">
        <v>1279</v>
      </c>
      <c r="B584" s="64"/>
      <c r="C584" s="65"/>
      <c r="D584" s="64"/>
      <c r="E584" s="64"/>
      <c r="F584" s="60"/>
      <c r="G584" s="60" t="s">
        <v>88</v>
      </c>
      <c r="H584" s="60" t="str">
        <f>IFERROR(INDEX('Docketed Comments'!C:C,MATCH(A584,'Docketed Comments'!H:H,0))&amp;", "&amp;INDEX('Docketed Comments'!B:B,MATCH(A584,'Docketed Comments'!H:H,0)),"")</f>
        <v>Armand, Altiveros</v>
      </c>
      <c r="I584" s="60" t="str">
        <f>IFERROR(INDEX('Docketed Comments'!D:D,MATCH(A584,'Docketed Comments'!H:H,0)),"")</f>
        <v>Phoenix</v>
      </c>
      <c r="J584" s="60" t="str">
        <f>IFERROR(INDEX('Docketed Comments'!I:I,MATCH(A584,'Docketed Comments'!H:H,0)),"")</f>
        <v>R-XS</v>
      </c>
      <c r="K584" s="60" t="str">
        <f t="shared" si="19"/>
        <v>✅ On Best Plan</v>
      </c>
      <c r="L584" s="60" t="str">
        <f>IFERROR(INDEX('Docketed Comments'!F:F,MATCH(A584,'Docketed Comments'!H:H,0)),"")</f>
        <v>Form letter</v>
      </c>
      <c r="M584" s="120" t="str">
        <f>IFERROR(INDEX('Docketed Comments'!G:G,MATCH(A584,'Docketed Comments'!H:H,0)),"")</f>
        <v>https://docket.images.azcc.gov/E000046266.pdf</v>
      </c>
      <c r="N584" s="118" t="str">
        <f>IFERROR(INDEX('Docketed Comments'!N:N,MATCH(A584,'Docketed Comments'!H:H,0)),"")</f>
        <v>No</v>
      </c>
      <c r="O584" s="118" t="str">
        <f>IFERROR(INDEX('Docketed Comments'!L:L,MATCH(A584,'Docketed Comments'!H:H,0)),"")</f>
        <v>Yes</v>
      </c>
      <c r="P584" s="119">
        <f t="shared" si="18"/>
        <v>0</v>
      </c>
      <c r="Q584" s="60"/>
      <c r="R584" s="64" t="s">
        <v>75</v>
      </c>
      <c r="S584" s="64" t="s">
        <v>1280</v>
      </c>
    </row>
    <row r="585" spans="1:19" ht="21.95" customHeight="1">
      <c r="A585" s="66" t="s">
        <v>1281</v>
      </c>
      <c r="B585" s="64"/>
      <c r="C585" s="65"/>
      <c r="D585" s="64"/>
      <c r="E585" s="64"/>
      <c r="F585" s="60"/>
      <c r="G585" s="60" t="s">
        <v>88</v>
      </c>
      <c r="H585" s="60" t="str">
        <f>IFERROR(INDEX('Docketed Comments'!C:C,MATCH(A585,'Docketed Comments'!H:H,0))&amp;", "&amp;INDEX('Docketed Comments'!B:B,MATCH(A585,'Docketed Comments'!H:H,0)),"")</f>
        <v>Kim, Roman</v>
      </c>
      <c r="I585" s="60" t="str">
        <f>IFERROR(INDEX('Docketed Comments'!D:D,MATCH(A585,'Docketed Comments'!H:H,0)),"")</f>
        <v>Florence</v>
      </c>
      <c r="J585" s="60" t="str">
        <f>IFERROR(INDEX('Docketed Comments'!I:I,MATCH(A585,'Docketed Comments'!H:H,0)),"")</f>
        <v>RCPw/RTOUE47</v>
      </c>
      <c r="K585" s="60" t="str">
        <f t="shared" si="19"/>
        <v>✅ On Best Plan</v>
      </c>
      <c r="L585" s="60" t="str">
        <f>IFERROR(INDEX('Docketed Comments'!F:F,MATCH(A585,'Docketed Comments'!H:H,0)),"")</f>
        <v>Retired, cannot afford this</v>
      </c>
      <c r="M585" s="120" t="str">
        <f>IFERROR(INDEX('Docketed Comments'!G:G,MATCH(A585,'Docketed Comments'!H:H,0)),"")</f>
        <v>https://docket.images.azcc.gov/E000046266.pdf</v>
      </c>
      <c r="N585" s="118" t="str">
        <f>IFERROR(INDEX('Docketed Comments'!N:N,MATCH(A585,'Docketed Comments'!H:H,0)),"")</f>
        <v>No</v>
      </c>
      <c r="O585" s="118" t="str">
        <f>IFERROR(INDEX('Docketed Comments'!L:L,MATCH(A585,'Docketed Comments'!H:H,0)),"")</f>
        <v>Yes</v>
      </c>
      <c r="P585" s="119">
        <f t="shared" si="18"/>
        <v>0</v>
      </c>
      <c r="Q585" s="60"/>
      <c r="R585" s="64" t="s">
        <v>75</v>
      </c>
      <c r="S585" s="64" t="s">
        <v>1282</v>
      </c>
    </row>
    <row r="586" spans="1:19" ht="21.95" customHeight="1">
      <c r="A586" s="66" t="s">
        <v>1283</v>
      </c>
      <c r="B586" s="64"/>
      <c r="C586" s="65"/>
      <c r="D586" s="64"/>
      <c r="E586" s="64"/>
      <c r="F586" s="60"/>
      <c r="G586" s="60" t="s">
        <v>88</v>
      </c>
      <c r="H586" s="60" t="str">
        <f>IFERROR(INDEX('Docketed Comments'!C:C,MATCH(A586,'Docketed Comments'!H:H,0))&amp;", "&amp;INDEX('Docketed Comments'!B:B,MATCH(A586,'Docketed Comments'!H:H,0)),"")</f>
        <v>Michael, Hooker</v>
      </c>
      <c r="I586" s="60" t="str">
        <f>IFERROR(INDEX('Docketed Comments'!D:D,MATCH(A586,'Docketed Comments'!H:H,0)),"")</f>
        <v>Glendale</v>
      </c>
      <c r="J586" s="60" t="str">
        <f>IFERROR(INDEX('Docketed Comments'!I:I,MATCH(A586,'Docketed Comments'!H:H,0)),"")</f>
        <v>R3-47</v>
      </c>
      <c r="K586" s="60" t="str">
        <f t="shared" si="19"/>
        <v>✅ On Best Plan</v>
      </c>
      <c r="L586" s="60" t="str">
        <f>IFERROR(INDEX('Docketed Comments'!F:F,MATCH(A586,'Docketed Comments'!H:H,0)),"")</f>
        <v>Opposed</v>
      </c>
      <c r="M586" s="120" t="str">
        <f>IFERROR(INDEX('Docketed Comments'!G:G,MATCH(A586,'Docketed Comments'!H:H,0)),"")</f>
        <v>https://docket.images.azcc.gov/E000046266.pdf</v>
      </c>
      <c r="N586" s="118" t="str">
        <f>IFERROR(INDEX('Docketed Comments'!N:N,MATCH(A586,'Docketed Comments'!H:H,0)),"")</f>
        <v>No</v>
      </c>
      <c r="O586" s="118" t="str">
        <f>IFERROR(INDEX('Docketed Comments'!L:L,MATCH(A586,'Docketed Comments'!H:H,0)),"")</f>
        <v>Yes</v>
      </c>
      <c r="P586" s="119">
        <f t="shared" si="18"/>
        <v>0</v>
      </c>
      <c r="Q586" s="60"/>
      <c r="R586" s="64" t="s">
        <v>75</v>
      </c>
      <c r="S586" s="64" t="s">
        <v>1284</v>
      </c>
    </row>
    <row r="587" spans="1:19" ht="21.95" customHeight="1">
      <c r="A587" s="66" t="s">
        <v>1285</v>
      </c>
      <c r="B587" s="64"/>
      <c r="C587" s="65"/>
      <c r="D587" s="64"/>
      <c r="E587" s="64"/>
      <c r="F587" s="60"/>
      <c r="G587" s="60" t="s">
        <v>88</v>
      </c>
      <c r="H587" s="60" t="str">
        <f>IFERROR(INDEX('Docketed Comments'!C:C,MATCH(A587,'Docketed Comments'!H:H,0))&amp;", "&amp;INDEX('Docketed Comments'!B:B,MATCH(A587,'Docketed Comments'!H:H,0)),"")</f>
        <v>Sarah, Bihms</v>
      </c>
      <c r="I587" s="60" t="str">
        <f>IFERROR(INDEX('Docketed Comments'!D:D,MATCH(A587,'Docketed Comments'!H:H,0)),"")</f>
        <v>Surprise</v>
      </c>
      <c r="J587" s="60" t="str">
        <f>IFERROR(INDEX('Docketed Comments'!I:I,MATCH(A587,'Docketed Comments'!H:H,0)),"")</f>
        <v>RCPw/RTOUE47</v>
      </c>
      <c r="K587" s="60" t="str">
        <f t="shared" si="19"/>
        <v>✅ On Best Plan</v>
      </c>
      <c r="L587" s="60" t="str">
        <f>IFERROR(INDEX('Docketed Comments'!F:F,MATCH(A587,'Docketed Comments'!H:H,0)),"")</f>
        <v>Opposed</v>
      </c>
      <c r="M587" s="120" t="str">
        <f>IFERROR(INDEX('Docketed Comments'!G:G,MATCH(A587,'Docketed Comments'!H:H,0)),"")</f>
        <v>https://docket.images.azcc.gov/E000046266.pdf</v>
      </c>
      <c r="N587" s="118" t="str">
        <f>IFERROR(INDEX('Docketed Comments'!N:N,MATCH(A587,'Docketed Comments'!H:H,0)),"")</f>
        <v>No</v>
      </c>
      <c r="O587" s="118" t="str">
        <f>IFERROR(INDEX('Docketed Comments'!L:L,MATCH(A587,'Docketed Comments'!H:H,0)),"")</f>
        <v>Yes</v>
      </c>
      <c r="P587" s="119">
        <f t="shared" si="18"/>
        <v>0</v>
      </c>
      <c r="Q587" s="60"/>
      <c r="R587" s="64" t="s">
        <v>75</v>
      </c>
      <c r="S587" s="64" t="s">
        <v>1286</v>
      </c>
    </row>
    <row r="588" spans="1:19" ht="21.95" hidden="1" customHeight="1">
      <c r="A588" s="66" t="s">
        <v>1287</v>
      </c>
      <c r="B588" s="64" t="s">
        <v>20</v>
      </c>
      <c r="C588" s="65">
        <v>45997</v>
      </c>
      <c r="D588" s="64" t="s">
        <v>21</v>
      </c>
      <c r="E588" s="64" t="s">
        <v>22</v>
      </c>
      <c r="F588" s="60" t="s">
        <v>1288</v>
      </c>
      <c r="G588" s="60"/>
      <c r="H588" s="60" t="str">
        <f>IFERROR(INDEX('Docketed Comments'!C:C,MATCH(A588,'Docketed Comments'!H:H,0))&amp;", "&amp;INDEX('Docketed Comments'!B:B,MATCH(A588,'Docketed Comments'!H:H,0)),"")</f>
        <v>Dean, Hayter</v>
      </c>
      <c r="I588" s="60" t="str">
        <f>IFERROR(INDEX('Docketed Comments'!D:D,MATCH(A588,'Docketed Comments'!H:H,0)),"")</f>
        <v>Phoenix</v>
      </c>
      <c r="J588" s="60" t="str">
        <f>IFERROR(INDEX('Docketed Comments'!I:I,MATCH(A588,'Docketed Comments'!H:H,0)),"")</f>
        <v>R-XS</v>
      </c>
      <c r="K588" s="60" t="str">
        <f t="shared" si="19"/>
        <v>✅ On Best Plan</v>
      </c>
      <c r="L588" s="60" t="str">
        <f>IFERROR(INDEX('Docketed Comments'!F:F,MATCH(A588,'Docketed Comments'!H:H,0)),"")</f>
        <v>Form letter</v>
      </c>
      <c r="M588" s="120" t="str">
        <f>IFERROR(INDEX('Docketed Comments'!G:G,MATCH(A588,'Docketed Comments'!H:H,0)),"")</f>
        <v>https://docket.images.azcc.gov/E000046266.pdf</v>
      </c>
      <c r="N588" s="118" t="str">
        <f>IFERROR(INDEX('Docketed Comments'!N:N,MATCH(A588,'Docketed Comments'!H:H,0)),"")</f>
        <v>No</v>
      </c>
      <c r="O588" s="118" t="str">
        <f>IFERROR(INDEX('Docketed Comments'!L:L,MATCH(A588,'Docketed Comments'!H:H,0)),"")</f>
        <v>Yes</v>
      </c>
      <c r="P588" s="119">
        <f t="shared" si="18"/>
        <v>0</v>
      </c>
      <c r="Q588" s="60" t="s">
        <v>23</v>
      </c>
      <c r="R588" s="64" t="s">
        <v>24</v>
      </c>
      <c r="S588" s="64" t="s">
        <v>1289</v>
      </c>
    </row>
    <row r="589" spans="1:19" ht="21.95" customHeight="1">
      <c r="A589" s="66" t="s">
        <v>1290</v>
      </c>
      <c r="B589" s="64"/>
      <c r="C589" s="65"/>
      <c r="D589" s="64"/>
      <c r="E589" s="64"/>
      <c r="F589" s="60"/>
      <c r="G589" s="60" t="s">
        <v>88</v>
      </c>
      <c r="H589" s="60" t="str">
        <f>IFERROR(INDEX('Docketed Comments'!C:C,MATCH(A589,'Docketed Comments'!H:H,0))&amp;", "&amp;INDEX('Docketed Comments'!B:B,MATCH(A589,'Docketed Comments'!H:H,0)),"")</f>
        <v>Jacob, Rhodes</v>
      </c>
      <c r="I589" s="60" t="str">
        <f>IFERROR(INDEX('Docketed Comments'!D:D,MATCH(A589,'Docketed Comments'!H:H,0)),"")</f>
        <v>Phoenix</v>
      </c>
      <c r="J589" s="60" t="str">
        <f>IFERROR(INDEX('Docketed Comments'!I:I,MATCH(A589,'Docketed Comments'!H:H,0)),"")</f>
        <v>RCPw/R3-47</v>
      </c>
      <c r="K589" s="60" t="str">
        <f t="shared" si="19"/>
        <v>✅ On Best Plan</v>
      </c>
      <c r="L589" s="60" t="str">
        <f>IFERROR(INDEX('Docketed Comments'!F:F,MATCH(A589,'Docketed Comments'!H:H,0)),"")</f>
        <v>Form letter</v>
      </c>
      <c r="M589" s="120" t="str">
        <f>IFERROR(INDEX('Docketed Comments'!G:G,MATCH(A589,'Docketed Comments'!H:H,0)),"")</f>
        <v>https://docket.images.azcc.gov/E000046266.pdf</v>
      </c>
      <c r="N589" s="118" t="str">
        <f>IFERROR(INDEX('Docketed Comments'!N:N,MATCH(A589,'Docketed Comments'!H:H,0)),"")</f>
        <v>No</v>
      </c>
      <c r="O589" s="118" t="str">
        <f>IFERROR(INDEX('Docketed Comments'!L:L,MATCH(A589,'Docketed Comments'!H:H,0)),"")</f>
        <v>Yes</v>
      </c>
      <c r="P589" s="119">
        <f t="shared" si="18"/>
        <v>0</v>
      </c>
      <c r="Q589" s="60"/>
      <c r="R589" s="64" t="s">
        <v>75</v>
      </c>
      <c r="S589" s="64" t="s">
        <v>1291</v>
      </c>
    </row>
    <row r="590" spans="1:19" ht="21.95" customHeight="1">
      <c r="A590" s="66" t="s">
        <v>1292</v>
      </c>
      <c r="B590" s="64"/>
      <c r="C590" s="65"/>
      <c r="D590" s="64"/>
      <c r="E590" s="64"/>
      <c r="F590" s="60"/>
      <c r="G590" s="60" t="s">
        <v>88</v>
      </c>
      <c r="H590" s="60" t="str">
        <f>IFERROR(INDEX('Docketed Comments'!C:C,MATCH(A590,'Docketed Comments'!H:H,0))&amp;", "&amp;INDEX('Docketed Comments'!B:B,MATCH(A590,'Docketed Comments'!H:H,0)),"")</f>
        <v>Janene, Coltom</v>
      </c>
      <c r="I590" s="60" t="str">
        <f>IFERROR(INDEX('Docketed Comments'!D:D,MATCH(A590,'Docketed Comments'!H:H,0)),"")</f>
        <v>Surprise</v>
      </c>
      <c r="J590" s="60" t="str">
        <f>IFERROR(INDEX('Docketed Comments'!I:I,MATCH(A590,'Docketed Comments'!H:H,0)),"")</f>
        <v>R3-47</v>
      </c>
      <c r="K590" s="60" t="str">
        <f t="shared" si="19"/>
        <v>✅ On Best Plan</v>
      </c>
      <c r="L590" s="60" t="str">
        <f>IFERROR(INDEX('Docketed Comments'!F:F,MATCH(A590,'Docketed Comments'!H:H,0)),"")</f>
        <v>Form letter</v>
      </c>
      <c r="M590" s="120" t="str">
        <f>IFERROR(INDEX('Docketed Comments'!G:G,MATCH(A590,'Docketed Comments'!H:H,0)),"")</f>
        <v>https://docket.images.azcc.gov/E000046266.pdf</v>
      </c>
      <c r="N590" s="118" t="str">
        <f>IFERROR(INDEX('Docketed Comments'!N:N,MATCH(A590,'Docketed Comments'!H:H,0)),"")</f>
        <v>No</v>
      </c>
      <c r="O590" s="118" t="str">
        <f>IFERROR(INDEX('Docketed Comments'!L:L,MATCH(A590,'Docketed Comments'!H:H,0)),"")</f>
        <v>Yes</v>
      </c>
      <c r="P590" s="119">
        <f t="shared" si="18"/>
        <v>0</v>
      </c>
      <c r="Q590" s="60"/>
      <c r="R590" s="64" t="s">
        <v>75</v>
      </c>
      <c r="S590" s="64" t="s">
        <v>1293</v>
      </c>
    </row>
    <row r="591" spans="1:19" ht="21.95" customHeight="1">
      <c r="A591" s="66" t="s">
        <v>1294</v>
      </c>
      <c r="B591" s="64"/>
      <c r="C591" s="65"/>
      <c r="D591" s="64"/>
      <c r="E591" s="64"/>
      <c r="F591" s="60"/>
      <c r="G591" s="60" t="s">
        <v>88</v>
      </c>
      <c r="H591" s="60" t="str">
        <f>IFERROR(INDEX('Docketed Comments'!C:C,MATCH(A591,'Docketed Comments'!H:H,0))&amp;", "&amp;INDEX('Docketed Comments'!B:B,MATCH(A591,'Docketed Comments'!H:H,0)),"")</f>
        <v>Michael, Hardee</v>
      </c>
      <c r="I591" s="60" t="str">
        <f>IFERROR(INDEX('Docketed Comments'!D:D,MATCH(A591,'Docketed Comments'!H:H,0)),"")</f>
        <v>Flagstaff</v>
      </c>
      <c r="J591" s="60" t="str">
        <f>IFERROR(INDEX('Docketed Comments'!I:I,MATCH(A591,'Docketed Comments'!H:H,0)),"")</f>
        <v>R-XS</v>
      </c>
      <c r="K591" s="60" t="str">
        <f t="shared" si="19"/>
        <v>✅ On Best Plan</v>
      </c>
      <c r="L591" s="60" t="str">
        <f>IFERROR(INDEX('Docketed Comments'!F:F,MATCH(A591,'Docketed Comments'!H:H,0)),"")</f>
        <v>Form letter</v>
      </c>
      <c r="M591" s="120" t="str">
        <f>IFERROR(INDEX('Docketed Comments'!G:G,MATCH(A591,'Docketed Comments'!H:H,0)),"")</f>
        <v>https://docket.images.azcc.gov/E000046266.pdf</v>
      </c>
      <c r="N591" s="118" t="str">
        <f>IFERROR(INDEX('Docketed Comments'!N:N,MATCH(A591,'Docketed Comments'!H:H,0)),"")</f>
        <v>No</v>
      </c>
      <c r="O591" s="118" t="str">
        <f>IFERROR(INDEX('Docketed Comments'!L:L,MATCH(A591,'Docketed Comments'!H:H,0)),"")</f>
        <v>Yes</v>
      </c>
      <c r="P591" s="119">
        <f t="shared" si="18"/>
        <v>0</v>
      </c>
      <c r="Q591" s="60"/>
      <c r="R591" s="64" t="s">
        <v>75</v>
      </c>
      <c r="S591" s="64" t="s">
        <v>1295</v>
      </c>
    </row>
    <row r="592" spans="1:19" ht="21.95" customHeight="1">
      <c r="A592" s="66" t="s">
        <v>1296</v>
      </c>
      <c r="B592" s="64"/>
      <c r="C592" s="65"/>
      <c r="D592" s="64"/>
      <c r="E592" s="64"/>
      <c r="F592" s="60"/>
      <c r="G592" s="60" t="s">
        <v>88</v>
      </c>
      <c r="H592" s="60" t="str">
        <f>IFERROR(INDEX('Docketed Comments'!C:C,MATCH(A592,'Docketed Comments'!H:H,0))&amp;", "&amp;INDEX('Docketed Comments'!B:B,MATCH(A592,'Docketed Comments'!H:H,0)),"")</f>
        <v>Brian, Starr</v>
      </c>
      <c r="I592" s="60" t="str">
        <f>IFERROR(INDEX('Docketed Comments'!D:D,MATCH(A592,'Docketed Comments'!H:H,0)),"")</f>
        <v>Phoenix</v>
      </c>
      <c r="J592" s="60" t="str">
        <f>IFERROR(INDEX('Docketed Comments'!I:I,MATCH(A592,'Docketed Comments'!H:H,0)),"")</f>
        <v>RCPw/RTOUE47</v>
      </c>
      <c r="K592" s="60" t="str">
        <f t="shared" si="19"/>
        <v>✅ On Best Plan</v>
      </c>
      <c r="L592" s="60" t="str">
        <f>IFERROR(INDEX('Docketed Comments'!F:F,MATCH(A592,'Docketed Comments'!H:H,0)),"")</f>
        <v>Form letter</v>
      </c>
      <c r="M592" s="120" t="str">
        <f>IFERROR(INDEX('Docketed Comments'!G:G,MATCH(A592,'Docketed Comments'!H:H,0)),"")</f>
        <v>https://docket.images.azcc.gov/E000046266.pdf</v>
      </c>
      <c r="N592" s="118" t="str">
        <f>IFERROR(INDEX('Docketed Comments'!N:N,MATCH(A592,'Docketed Comments'!H:H,0)),"")</f>
        <v>No</v>
      </c>
      <c r="O592" s="118" t="str">
        <f>IFERROR(INDEX('Docketed Comments'!L:L,MATCH(A592,'Docketed Comments'!H:H,0)),"")</f>
        <v>Yes</v>
      </c>
      <c r="P592" s="119">
        <f t="shared" si="18"/>
        <v>0</v>
      </c>
      <c r="Q592" s="60"/>
      <c r="R592" s="64" t="s">
        <v>75</v>
      </c>
      <c r="S592" s="64" t="s">
        <v>1297</v>
      </c>
    </row>
    <row r="593" spans="1:19" ht="21.95" customHeight="1">
      <c r="A593" s="66" t="s">
        <v>1298</v>
      </c>
      <c r="B593" s="64"/>
      <c r="C593" s="65"/>
      <c r="D593" s="64"/>
      <c r="E593" s="64"/>
      <c r="F593" s="60"/>
      <c r="G593" s="60" t="s">
        <v>88</v>
      </c>
      <c r="H593" s="60" t="str">
        <f>IFERROR(INDEX('Docketed Comments'!C:C,MATCH(A593,'Docketed Comments'!H:H,0))&amp;", "&amp;INDEX('Docketed Comments'!B:B,MATCH(A593,'Docketed Comments'!H:H,0)),"")</f>
        <v>Hunter, Lanchbury</v>
      </c>
      <c r="I593" s="60" t="str">
        <f>IFERROR(INDEX('Docketed Comments'!D:D,MATCH(A593,'Docketed Comments'!H:H,0)),"")</f>
        <v>Phoenix</v>
      </c>
      <c r="J593" s="60" t="str">
        <f>IFERROR(INDEX('Docketed Comments'!I:I,MATCH(A593,'Docketed Comments'!H:H,0)),"")</f>
        <v>EPR-6w/ET-2</v>
      </c>
      <c r="K593" s="60" t="str">
        <f t="shared" si="19"/>
        <v>⚠ Frozen Rate</v>
      </c>
      <c r="L593" s="60" t="str">
        <f>IFERROR(INDEX('Docketed Comments'!F:F,MATCH(A593,'Docketed Comments'!H:H,0)),"")</f>
        <v>Form letter</v>
      </c>
      <c r="M593" s="120" t="str">
        <f>IFERROR(INDEX('Docketed Comments'!G:G,MATCH(A593,'Docketed Comments'!H:H,0)),"")</f>
        <v>https://docket.images.azcc.gov/E000046266.pdf</v>
      </c>
      <c r="N593" s="118" t="str">
        <f>IFERROR(INDEX('Docketed Comments'!N:N,MATCH(A593,'Docketed Comments'!H:H,0)),"")</f>
        <v>No</v>
      </c>
      <c r="O593" s="118" t="str">
        <f>IFERROR(INDEX('Docketed Comments'!L:L,MATCH(A593,'Docketed Comments'!H:H,0)),"")</f>
        <v>Frozen Rate</v>
      </c>
      <c r="P593" s="119">
        <f t="shared" si="18"/>
        <v>0</v>
      </c>
      <c r="Q593" s="60"/>
      <c r="R593" s="64" t="s">
        <v>75</v>
      </c>
      <c r="S593" s="64" t="s">
        <v>1299</v>
      </c>
    </row>
    <row r="594" spans="1:19" ht="21.95" customHeight="1">
      <c r="A594" s="66" t="s">
        <v>1300</v>
      </c>
      <c r="B594" s="64"/>
      <c r="C594" s="65"/>
      <c r="D594" s="64"/>
      <c r="E594" s="64"/>
      <c r="F594" s="60"/>
      <c r="G594" s="60" t="s">
        <v>88</v>
      </c>
      <c r="H594" s="60" t="str">
        <f>IFERROR(INDEX('Docketed Comments'!C:C,MATCH(A594,'Docketed Comments'!H:H,0))&amp;", "&amp;INDEX('Docketed Comments'!B:B,MATCH(A594,'Docketed Comments'!H:H,0)),"")</f>
        <v>Ivan, Lopez</v>
      </c>
      <c r="I594" s="60" t="str">
        <f>IFERROR(INDEX('Docketed Comments'!D:D,MATCH(A594,'Docketed Comments'!H:H,0)),"")</f>
        <v>Gilbert</v>
      </c>
      <c r="J594" s="60" t="str">
        <f>IFERROR(INDEX('Docketed Comments'!I:I,MATCH(A594,'Docketed Comments'!H:H,0)),"")</f>
        <v>R-BASIC</v>
      </c>
      <c r="K594" s="60" t="str">
        <f t="shared" si="19"/>
        <v>✅ On Best Plan</v>
      </c>
      <c r="L594" s="60" t="str">
        <f>IFERROR(INDEX('Docketed Comments'!F:F,MATCH(A594,'Docketed Comments'!H:H,0)),"")</f>
        <v>Opposed</v>
      </c>
      <c r="M594" s="120" t="str">
        <f>IFERROR(INDEX('Docketed Comments'!G:G,MATCH(A594,'Docketed Comments'!H:H,0)),"")</f>
        <v>https://docket.images.azcc.gov/E000046266.pdf</v>
      </c>
      <c r="N594" s="118" t="str">
        <f>IFERROR(INDEX('Docketed Comments'!N:N,MATCH(A594,'Docketed Comments'!H:H,0)),"")</f>
        <v>No</v>
      </c>
      <c r="O594" s="118" t="str">
        <f>IFERROR(INDEX('Docketed Comments'!L:L,MATCH(A594,'Docketed Comments'!H:H,0)),"")</f>
        <v>Yes</v>
      </c>
      <c r="P594" s="119">
        <f t="shared" si="18"/>
        <v>0</v>
      </c>
      <c r="Q594" s="60"/>
      <c r="R594" s="64" t="s">
        <v>75</v>
      </c>
      <c r="S594" s="64" t="s">
        <v>1301</v>
      </c>
    </row>
    <row r="595" spans="1:19" ht="21.95" customHeight="1">
      <c r="A595" s="66" t="s">
        <v>1302</v>
      </c>
      <c r="B595" s="64"/>
      <c r="C595" s="65"/>
      <c r="D595" s="64"/>
      <c r="E595" s="64"/>
      <c r="F595" s="60"/>
      <c r="G595" s="60" t="s">
        <v>88</v>
      </c>
      <c r="H595" s="60" t="str">
        <f>IFERROR(INDEX('Docketed Comments'!C:C,MATCH(A595,'Docketed Comments'!H:H,0))&amp;", "&amp;INDEX('Docketed Comments'!B:B,MATCH(A595,'Docketed Comments'!H:H,0)),"")</f>
        <v>Troy, Young</v>
      </c>
      <c r="I595" s="60" t="str">
        <f>IFERROR(INDEX('Docketed Comments'!D:D,MATCH(A595,'Docketed Comments'!H:H,0)),"")</f>
        <v>Phoenix</v>
      </c>
      <c r="J595" s="60" t="str">
        <f>IFERROR(INDEX('Docketed Comments'!I:I,MATCH(A595,'Docketed Comments'!H:H,0)),"")</f>
        <v>R3-47</v>
      </c>
      <c r="K595" s="60" t="str">
        <f t="shared" si="19"/>
        <v>✅ On Best Plan</v>
      </c>
      <c r="L595" s="60" t="str">
        <f>IFERROR(INDEX('Docketed Comments'!F:F,MATCH(A595,'Docketed Comments'!H:H,0)),"")</f>
        <v>Keep it affordable</v>
      </c>
      <c r="M595" s="120" t="str">
        <f>IFERROR(INDEX('Docketed Comments'!G:G,MATCH(A595,'Docketed Comments'!H:H,0)),"")</f>
        <v>https://docket.images.azcc.gov/E000046266.pdf</v>
      </c>
      <c r="N595" s="118" t="str">
        <f>IFERROR(INDEX('Docketed Comments'!N:N,MATCH(A595,'Docketed Comments'!H:H,0)),"")</f>
        <v>No</v>
      </c>
      <c r="O595" s="118" t="str">
        <f>IFERROR(INDEX('Docketed Comments'!L:L,MATCH(A595,'Docketed Comments'!H:H,0)),"")</f>
        <v>Yes</v>
      </c>
      <c r="P595" s="119">
        <f t="shared" si="18"/>
        <v>0</v>
      </c>
      <c r="Q595" s="60"/>
      <c r="R595" s="64" t="s">
        <v>75</v>
      </c>
      <c r="S595" s="64" t="s">
        <v>1303</v>
      </c>
    </row>
    <row r="596" spans="1:19" ht="21.95" customHeight="1">
      <c r="A596" s="66" t="s">
        <v>1304</v>
      </c>
      <c r="B596" s="64"/>
      <c r="C596" s="65"/>
      <c r="D596" s="64"/>
      <c r="E596" s="64"/>
      <c r="F596" s="60"/>
      <c r="G596" s="60" t="s">
        <v>88</v>
      </c>
      <c r="H596" s="60" t="str">
        <f>IFERROR(INDEX('Docketed Comments'!C:C,MATCH(A596,'Docketed Comments'!H:H,0))&amp;", "&amp;INDEX('Docketed Comments'!B:B,MATCH(A596,'Docketed Comments'!H:H,0)),"")</f>
        <v>Matthew, Clements</v>
      </c>
      <c r="I596" s="60" t="str">
        <f>IFERROR(INDEX('Docketed Comments'!D:D,MATCH(A596,'Docketed Comments'!H:H,0)),"")</f>
        <v>Tempe</v>
      </c>
      <c r="J596" s="60" t="str">
        <f>IFERROR(INDEX('Docketed Comments'!I:I,MATCH(A596,'Docketed Comments'!H:H,0)),"")</f>
        <v>R3-47</v>
      </c>
      <c r="K596" s="60" t="str">
        <f t="shared" si="19"/>
        <v>✅ On Best Plan</v>
      </c>
      <c r="L596" s="60" t="str">
        <f>IFERROR(INDEX('Docketed Comments'!F:F,MATCH(A596,'Docketed Comments'!H:H,0)),"")</f>
        <v>Form letter</v>
      </c>
      <c r="M596" s="120" t="str">
        <f>IFERROR(INDEX('Docketed Comments'!G:G,MATCH(A596,'Docketed Comments'!H:H,0)),"")</f>
        <v>https://docket.images.azcc.gov/E000046266.pdf</v>
      </c>
      <c r="N596" s="118" t="str">
        <f>IFERROR(INDEX('Docketed Comments'!N:N,MATCH(A596,'Docketed Comments'!H:H,0)),"")</f>
        <v>No</v>
      </c>
      <c r="O596" s="118" t="str">
        <f>IFERROR(INDEX('Docketed Comments'!L:L,MATCH(A596,'Docketed Comments'!H:H,0)),"")</f>
        <v>Yes</v>
      </c>
      <c r="P596" s="119">
        <f t="shared" si="18"/>
        <v>0</v>
      </c>
      <c r="Q596" s="60"/>
      <c r="R596" s="64" t="s">
        <v>75</v>
      </c>
      <c r="S596" s="64" t="s">
        <v>1305</v>
      </c>
    </row>
    <row r="597" spans="1:19" ht="21.95" customHeight="1">
      <c r="A597" s="66" t="s">
        <v>1306</v>
      </c>
      <c r="B597" s="64"/>
      <c r="C597" s="65"/>
      <c r="D597" s="64"/>
      <c r="E597" s="64"/>
      <c r="F597" s="60"/>
      <c r="G597" s="60" t="s">
        <v>88</v>
      </c>
      <c r="H597" s="60" t="str">
        <f>IFERROR(INDEX('Docketed Comments'!C:C,MATCH(A597,'Docketed Comments'!H:H,0))&amp;", "&amp;INDEX('Docketed Comments'!B:B,MATCH(A597,'Docketed Comments'!H:H,0)),"")</f>
        <v>DJ, Paynter</v>
      </c>
      <c r="I597" s="60" t="str">
        <f>IFERROR(INDEX('Docketed Comments'!D:D,MATCH(A597,'Docketed Comments'!H:H,0)),"")</f>
        <v>Peoria</v>
      </c>
      <c r="J597" s="60" t="str">
        <f>IFERROR(INDEX('Docketed Comments'!I:I,MATCH(A597,'Docketed Comments'!H:H,0)),"")</f>
        <v>R3-47</v>
      </c>
      <c r="K597" s="60" t="str">
        <f t="shared" si="19"/>
        <v>✅ On Best Plan</v>
      </c>
      <c r="L597" s="60" t="str">
        <f>IFERROR(INDEX('Docketed Comments'!F:F,MATCH(A597,'Docketed Comments'!H:H,0)),"")</f>
        <v>Form letter</v>
      </c>
      <c r="M597" s="120" t="str">
        <f>IFERROR(INDEX('Docketed Comments'!G:G,MATCH(A597,'Docketed Comments'!H:H,0)),"")</f>
        <v>https://docket.images.azcc.gov/E000046266.pdf</v>
      </c>
      <c r="N597" s="118" t="str">
        <f>IFERROR(INDEX('Docketed Comments'!N:N,MATCH(A597,'Docketed Comments'!H:H,0)),"")</f>
        <v>No</v>
      </c>
      <c r="O597" s="118" t="str">
        <f>IFERROR(INDEX('Docketed Comments'!L:L,MATCH(A597,'Docketed Comments'!H:H,0)),"")</f>
        <v>Yes</v>
      </c>
      <c r="P597" s="119">
        <f t="shared" si="18"/>
        <v>0</v>
      </c>
      <c r="Q597" s="60"/>
      <c r="R597" s="64" t="s">
        <v>75</v>
      </c>
      <c r="S597" s="64" t="s">
        <v>1307</v>
      </c>
    </row>
    <row r="598" spans="1:19" ht="21.95" customHeight="1">
      <c r="A598" s="66" t="s">
        <v>1308</v>
      </c>
      <c r="B598" s="64"/>
      <c r="C598" s="65"/>
      <c r="D598" s="64"/>
      <c r="E598" s="64"/>
      <c r="F598" s="60"/>
      <c r="G598" s="60" t="s">
        <v>88</v>
      </c>
      <c r="H598" s="60" t="str">
        <f>IFERROR(INDEX('Docketed Comments'!C:C,MATCH(A598,'Docketed Comments'!H:H,0))&amp;", "&amp;INDEX('Docketed Comments'!B:B,MATCH(A598,'Docketed Comments'!H:H,0)),"")</f>
        <v>Marina, Kachur</v>
      </c>
      <c r="I598" s="60" t="str">
        <f>IFERROR(INDEX('Docketed Comments'!D:D,MATCH(A598,'Docketed Comments'!H:H,0)),"")</f>
        <v>Cave Creek</v>
      </c>
      <c r="J598" s="60" t="str">
        <f>IFERROR(INDEX('Docketed Comments'!I:I,MATCH(A598,'Docketed Comments'!H:H,0)),"")</f>
        <v>RTOUE47</v>
      </c>
      <c r="K598" s="60" t="str">
        <f t="shared" si="19"/>
        <v>✅ On Best Plan</v>
      </c>
      <c r="L598" s="60" t="str">
        <f>IFERROR(INDEX('Docketed Comments'!F:F,MATCH(A598,'Docketed Comments'!H:H,0)),"")</f>
        <v>Form letter</v>
      </c>
      <c r="M598" s="120" t="str">
        <f>IFERROR(INDEX('Docketed Comments'!G:G,MATCH(A598,'Docketed Comments'!H:H,0)),"")</f>
        <v>https://docket.images.azcc.gov/E000046266.pdf</v>
      </c>
      <c r="N598" s="118" t="str">
        <f>IFERROR(INDEX('Docketed Comments'!N:N,MATCH(A598,'Docketed Comments'!H:H,0)),"")</f>
        <v>No</v>
      </c>
      <c r="O598" s="118" t="str">
        <f>IFERROR(INDEX('Docketed Comments'!L:L,MATCH(A598,'Docketed Comments'!H:H,0)),"")</f>
        <v>Yes</v>
      </c>
      <c r="P598" s="119">
        <f t="shared" si="18"/>
        <v>0</v>
      </c>
      <c r="Q598" s="60"/>
      <c r="R598" s="64" t="s">
        <v>75</v>
      </c>
      <c r="S598" s="64" t="s">
        <v>1309</v>
      </c>
    </row>
    <row r="599" spans="1:19" ht="21.95" customHeight="1">
      <c r="A599" s="66" t="s">
        <v>1310</v>
      </c>
      <c r="B599" s="64"/>
      <c r="C599" s="65"/>
      <c r="D599" s="64"/>
      <c r="E599" s="64"/>
      <c r="F599" s="60"/>
      <c r="G599" s="60" t="s">
        <v>88</v>
      </c>
      <c r="H599" s="60" t="str">
        <f>IFERROR(INDEX('Docketed Comments'!C:C,MATCH(A599,'Docketed Comments'!H:H,0))&amp;", "&amp;INDEX('Docketed Comments'!B:B,MATCH(A599,'Docketed Comments'!H:H,0)),"")</f>
        <v>Tina, Gallagher</v>
      </c>
      <c r="I599" s="60" t="str">
        <f>IFERROR(INDEX('Docketed Comments'!D:D,MATCH(A599,'Docketed Comments'!H:H,0)),"")</f>
        <v>Surprise</v>
      </c>
      <c r="J599" s="60" t="str">
        <f>IFERROR(INDEX('Docketed Comments'!I:I,MATCH(A599,'Docketed Comments'!H:H,0)),"")</f>
        <v>R3-47</v>
      </c>
      <c r="K599" s="60" t="str">
        <f t="shared" si="19"/>
        <v>✅ On Best Plan</v>
      </c>
      <c r="L599" s="60" t="str">
        <f>IFERROR(INDEX('Docketed Comments'!F:F,MATCH(A599,'Docketed Comments'!H:H,0)),"")</f>
        <v xml:space="preserve">Fixed income </v>
      </c>
      <c r="M599" s="120" t="str">
        <f>IFERROR(INDEX('Docketed Comments'!G:G,MATCH(A599,'Docketed Comments'!H:H,0)),"")</f>
        <v>https://docket.images.azcc.gov/E000046266.pdf</v>
      </c>
      <c r="N599" s="118" t="str">
        <f>IFERROR(INDEX('Docketed Comments'!N:N,MATCH(A599,'Docketed Comments'!H:H,0)),"")</f>
        <v>No</v>
      </c>
      <c r="O599" s="118" t="str">
        <f>IFERROR(INDEX('Docketed Comments'!L:L,MATCH(A599,'Docketed Comments'!H:H,0)),"")</f>
        <v>Yes</v>
      </c>
      <c r="P599" s="119">
        <f t="shared" si="18"/>
        <v>0</v>
      </c>
      <c r="Q599" s="60"/>
      <c r="R599" s="64" t="s">
        <v>75</v>
      </c>
      <c r="S599" s="64" t="s">
        <v>1311</v>
      </c>
    </row>
    <row r="600" spans="1:19" ht="21.95" customHeight="1">
      <c r="A600" s="66" t="s">
        <v>1312</v>
      </c>
      <c r="B600" s="64"/>
      <c r="C600" s="65"/>
      <c r="D600" s="64"/>
      <c r="E600" s="64"/>
      <c r="F600" s="60"/>
      <c r="G600" s="60" t="s">
        <v>88</v>
      </c>
      <c r="H600" s="60" t="str">
        <f>IFERROR(INDEX('Docketed Comments'!C:C,MATCH(A600,'Docketed Comments'!H:H,0))&amp;", "&amp;INDEX('Docketed Comments'!B:B,MATCH(A600,'Docketed Comments'!H:H,0)),"")</f>
        <v>Paul, Juneau</v>
      </c>
      <c r="I600" s="60" t="str">
        <f>IFERROR(INDEX('Docketed Comments'!D:D,MATCH(A600,'Docketed Comments'!H:H,0)),"")</f>
        <v>Phoenix</v>
      </c>
      <c r="J600" s="60" t="str">
        <f>IFERROR(INDEX('Docketed Comments'!I:I,MATCH(A600,'Docketed Comments'!H:H,0)),"")</f>
        <v>R3-47</v>
      </c>
      <c r="K600" s="60" t="str">
        <f t="shared" si="19"/>
        <v>✅ On Best Plan</v>
      </c>
      <c r="L600" s="60" t="str">
        <f>IFERROR(INDEX('Docketed Comments'!F:F,MATCH(A600,'Docketed Comments'!H:H,0)),"")</f>
        <v>Opposed</v>
      </c>
      <c r="M600" s="120" t="str">
        <f>IFERROR(INDEX('Docketed Comments'!G:G,MATCH(A600,'Docketed Comments'!H:H,0)),"")</f>
        <v>https://docket.images.azcc.gov/E000046266.pdf</v>
      </c>
      <c r="N600" s="118" t="str">
        <f>IFERROR(INDEX('Docketed Comments'!N:N,MATCH(A600,'Docketed Comments'!H:H,0)),"")</f>
        <v>No</v>
      </c>
      <c r="O600" s="118" t="str">
        <f>IFERROR(INDEX('Docketed Comments'!L:L,MATCH(A600,'Docketed Comments'!H:H,0)),"")</f>
        <v>Yes</v>
      </c>
      <c r="P600" s="119">
        <f t="shared" si="18"/>
        <v>0</v>
      </c>
      <c r="Q600" s="60"/>
      <c r="R600" s="64" t="s">
        <v>75</v>
      </c>
      <c r="S600" s="64" t="s">
        <v>1313</v>
      </c>
    </row>
    <row r="601" spans="1:19" ht="21.95" customHeight="1">
      <c r="A601" s="66" t="s">
        <v>1314</v>
      </c>
      <c r="B601" s="64"/>
      <c r="C601" s="65"/>
      <c r="D601" s="64"/>
      <c r="E601" s="64"/>
      <c r="F601" s="60"/>
      <c r="G601" s="60" t="s">
        <v>88</v>
      </c>
      <c r="H601" s="60" t="str">
        <f>IFERROR(INDEX('Docketed Comments'!C:C,MATCH(A601,'Docketed Comments'!H:H,0))&amp;", "&amp;INDEX('Docketed Comments'!B:B,MATCH(A601,'Docketed Comments'!H:H,0)),"")</f>
        <v>Leslie, Landau</v>
      </c>
      <c r="I601" s="60" t="str">
        <f>IFERROR(INDEX('Docketed Comments'!D:D,MATCH(A601,'Docketed Comments'!H:H,0)),"")</f>
        <v>Scottsdale</v>
      </c>
      <c r="J601" s="60" t="str">
        <f>IFERROR(INDEX('Docketed Comments'!I:I,MATCH(A601,'Docketed Comments'!H:H,0)),"")</f>
        <v>R3-47</v>
      </c>
      <c r="K601" s="60" t="str">
        <f t="shared" si="19"/>
        <v>✅ On Best Plan</v>
      </c>
      <c r="L601" s="60" t="str">
        <f>IFERROR(INDEX('Docketed Comments'!F:F,MATCH(A601,'Docketed Comments'!H:H,0)),"")</f>
        <v>Opposed</v>
      </c>
      <c r="M601" s="120" t="str">
        <f>IFERROR(INDEX('Docketed Comments'!G:G,MATCH(A601,'Docketed Comments'!H:H,0)),"")</f>
        <v>https://docket.images.azcc.gov/E000046266.pdf</v>
      </c>
      <c r="N601" s="118" t="str">
        <f>IFERROR(INDEX('Docketed Comments'!N:N,MATCH(A601,'Docketed Comments'!H:H,0)),"")</f>
        <v>No</v>
      </c>
      <c r="O601" s="118" t="str">
        <f>IFERROR(INDEX('Docketed Comments'!L:L,MATCH(A601,'Docketed Comments'!H:H,0)),"")</f>
        <v>Yes</v>
      </c>
      <c r="P601" s="119">
        <f t="shared" si="18"/>
        <v>0</v>
      </c>
      <c r="Q601" s="60"/>
      <c r="R601" s="64" t="s">
        <v>75</v>
      </c>
      <c r="S601" s="64" t="s">
        <v>1315</v>
      </c>
    </row>
    <row r="602" spans="1:19" ht="21.95" customHeight="1">
      <c r="A602" s="66" t="s">
        <v>1316</v>
      </c>
      <c r="B602" s="64"/>
      <c r="C602" s="65"/>
      <c r="D602" s="64"/>
      <c r="E602" s="64"/>
      <c r="F602" s="60"/>
      <c r="G602" s="60" t="s">
        <v>88</v>
      </c>
      <c r="H602" s="60" t="str">
        <f>IFERROR(INDEX('Docketed Comments'!C:C,MATCH(A602,'Docketed Comments'!H:H,0))&amp;", "&amp;INDEX('Docketed Comments'!B:B,MATCH(A602,'Docketed Comments'!H:H,0)),"")</f>
        <v>Stephanie, Mandala</v>
      </c>
      <c r="I602" s="60" t="str">
        <f>IFERROR(INDEX('Docketed Comments'!D:D,MATCH(A602,'Docketed Comments'!H:H,0)),"")</f>
        <v>Scottsdale</v>
      </c>
      <c r="J602" s="60" t="str">
        <f>IFERROR(INDEX('Docketed Comments'!I:I,MATCH(A602,'Docketed Comments'!H:H,0)),"")</f>
        <v>R-BASIC</v>
      </c>
      <c r="K602" s="60" t="str">
        <f t="shared" si="19"/>
        <v>✅ On Best Plan</v>
      </c>
      <c r="L602" s="60" t="str">
        <f>IFERROR(INDEX('Docketed Comments'!F:F,MATCH(A602,'Docketed Comments'!H:H,0)),"")</f>
        <v>Form letter</v>
      </c>
      <c r="M602" s="120" t="str">
        <f>IFERROR(INDEX('Docketed Comments'!G:G,MATCH(A602,'Docketed Comments'!H:H,0)),"")</f>
        <v>https://docket.images.azcc.gov/E000046266.pdf</v>
      </c>
      <c r="N602" s="118" t="str">
        <f>IFERROR(INDEX('Docketed Comments'!N:N,MATCH(A602,'Docketed Comments'!H:H,0)),"")</f>
        <v>No</v>
      </c>
      <c r="O602" s="118" t="str">
        <f>IFERROR(INDEX('Docketed Comments'!L:L,MATCH(A602,'Docketed Comments'!H:H,0)),"")</f>
        <v>Yes</v>
      </c>
      <c r="P602" s="119">
        <f t="shared" si="18"/>
        <v>0</v>
      </c>
      <c r="Q602" s="60"/>
      <c r="R602" s="64" t="s">
        <v>75</v>
      </c>
      <c r="S602" s="64" t="s">
        <v>1317</v>
      </c>
    </row>
    <row r="603" spans="1:19" ht="21.95" customHeight="1">
      <c r="A603" s="66" t="s">
        <v>1318</v>
      </c>
      <c r="B603" s="64"/>
      <c r="C603" s="65"/>
      <c r="D603" s="64"/>
      <c r="E603" s="64"/>
      <c r="F603" s="60"/>
      <c r="G603" s="60" t="s">
        <v>88</v>
      </c>
      <c r="H603" s="60" t="str">
        <f>IFERROR(INDEX('Docketed Comments'!C:C,MATCH(A603,'Docketed Comments'!H:H,0))&amp;", "&amp;INDEX('Docketed Comments'!B:B,MATCH(A603,'Docketed Comments'!H:H,0)),"")</f>
        <v>Steven, Alexander</v>
      </c>
      <c r="I603" s="60" t="str">
        <f>IFERROR(INDEX('Docketed Comments'!D:D,MATCH(A603,'Docketed Comments'!H:H,0)),"")</f>
        <v>Phoenix</v>
      </c>
      <c r="J603" s="60" t="str">
        <f>IFERROR(INDEX('Docketed Comments'!I:I,MATCH(A603,'Docketed Comments'!H:H,0)),"")</f>
        <v>R3-47</v>
      </c>
      <c r="K603" s="60" t="str">
        <f t="shared" si="19"/>
        <v>✅ On Best Plan</v>
      </c>
      <c r="L603" s="60" t="str">
        <f>IFERROR(INDEX('Docketed Comments'!F:F,MATCH(A603,'Docketed Comments'!H:H,0)),"")</f>
        <v>Money grab</v>
      </c>
      <c r="M603" s="120" t="str">
        <f>IFERROR(INDEX('Docketed Comments'!G:G,MATCH(A603,'Docketed Comments'!H:H,0)),"")</f>
        <v>https://docket.images.azcc.gov/E000046266.pdf</v>
      </c>
      <c r="N603" s="118" t="str">
        <f>IFERROR(INDEX('Docketed Comments'!N:N,MATCH(A603,'Docketed Comments'!H:H,0)),"")</f>
        <v>No</v>
      </c>
      <c r="O603" s="118" t="str">
        <f>IFERROR(INDEX('Docketed Comments'!L:L,MATCH(A603,'Docketed Comments'!H:H,0)),"")</f>
        <v>Yes</v>
      </c>
      <c r="P603" s="119">
        <f t="shared" si="18"/>
        <v>0</v>
      </c>
      <c r="Q603" s="60"/>
      <c r="R603" s="64" t="s">
        <v>75</v>
      </c>
      <c r="S603" s="64" t="s">
        <v>1319</v>
      </c>
    </row>
    <row r="604" spans="1:19" ht="21.95" customHeight="1">
      <c r="A604" s="66" t="s">
        <v>1320</v>
      </c>
      <c r="B604" s="64"/>
      <c r="C604" s="65"/>
      <c r="D604" s="64"/>
      <c r="E604" s="64"/>
      <c r="F604" s="60"/>
      <c r="G604" s="60" t="s">
        <v>88</v>
      </c>
      <c r="H604" s="60" t="str">
        <f>IFERROR(INDEX('Docketed Comments'!C:C,MATCH(A604,'Docketed Comments'!H:H,0))&amp;", "&amp;INDEX('Docketed Comments'!B:B,MATCH(A604,'Docketed Comments'!H:H,0)),"")</f>
        <v>Megan, Orillie</v>
      </c>
      <c r="I604" s="60" t="str">
        <f>IFERROR(INDEX('Docketed Comments'!D:D,MATCH(A604,'Docketed Comments'!H:H,0)),"")</f>
        <v>Case Grande</v>
      </c>
      <c r="J604" s="60" t="str">
        <f>IFERROR(INDEX('Docketed Comments'!I:I,MATCH(A604,'Docketed Comments'!H:H,0)),"")</f>
        <v>R3-47</v>
      </c>
      <c r="K604" s="60" t="str">
        <f t="shared" si="19"/>
        <v>✅ On Best Plan</v>
      </c>
      <c r="L604" s="60" t="str">
        <f>IFERROR(INDEX('Docketed Comments'!F:F,MATCH(A604,'Docketed Comments'!H:H,0)),"")</f>
        <v>Cost are already obscene</v>
      </c>
      <c r="M604" s="120" t="str">
        <f>IFERROR(INDEX('Docketed Comments'!G:G,MATCH(A604,'Docketed Comments'!H:H,0)),"")</f>
        <v>https://docket.images.azcc.gov/E000046266.pdf</v>
      </c>
      <c r="N604" s="118" t="str">
        <f>IFERROR(INDEX('Docketed Comments'!N:N,MATCH(A604,'Docketed Comments'!H:H,0)),"")</f>
        <v>No</v>
      </c>
      <c r="O604" s="118" t="str">
        <f>IFERROR(INDEX('Docketed Comments'!L:L,MATCH(A604,'Docketed Comments'!H:H,0)),"")</f>
        <v>Yes</v>
      </c>
      <c r="P604" s="119">
        <f t="shared" si="18"/>
        <v>0</v>
      </c>
      <c r="Q604" s="60"/>
      <c r="R604" s="64" t="s">
        <v>75</v>
      </c>
      <c r="S604" s="64" t="s">
        <v>1321</v>
      </c>
    </row>
    <row r="605" spans="1:19" ht="21.95" customHeight="1">
      <c r="A605" s="66" t="s">
        <v>1322</v>
      </c>
      <c r="B605" s="64"/>
      <c r="C605" s="65"/>
      <c r="D605" s="64"/>
      <c r="E605" s="64"/>
      <c r="F605" s="60"/>
      <c r="G605" s="60" t="s">
        <v>88</v>
      </c>
      <c r="H605" s="60" t="str">
        <f>IFERROR(INDEX('Docketed Comments'!C:C,MATCH(A605,'Docketed Comments'!H:H,0))&amp;", "&amp;INDEX('Docketed Comments'!B:B,MATCH(A605,'Docketed Comments'!H:H,0)),"")</f>
        <v>Adam, Gunderson</v>
      </c>
      <c r="I605" s="60" t="str">
        <f>IFERROR(INDEX('Docketed Comments'!D:D,MATCH(A605,'Docketed Comments'!H:H,0)),"")</f>
        <v>Glendale</v>
      </c>
      <c r="J605" s="60" t="str">
        <f>IFERROR(INDEX('Docketed Comments'!I:I,MATCH(A605,'Docketed Comments'!H:H,0)),"")</f>
        <v>RCPw/RTOUE47</v>
      </c>
      <c r="K605" s="60" t="str">
        <f t="shared" si="19"/>
        <v>✅ On Best Plan</v>
      </c>
      <c r="L605" s="60" t="str">
        <f>IFERROR(INDEX('Docketed Comments'!F:F,MATCH(A605,'Docketed Comments'!H:H,0)),"")</f>
        <v>Massive financial burden on my family</v>
      </c>
      <c r="M605" s="120" t="str">
        <f>IFERROR(INDEX('Docketed Comments'!G:G,MATCH(A605,'Docketed Comments'!H:H,0)),"")</f>
        <v>https://docket.images.azcc.gov/E000046266.pdf</v>
      </c>
      <c r="N605" s="118" t="str">
        <f>IFERROR(INDEX('Docketed Comments'!N:N,MATCH(A605,'Docketed Comments'!H:H,0)),"")</f>
        <v>No</v>
      </c>
      <c r="O605" s="118" t="str">
        <f>IFERROR(INDEX('Docketed Comments'!L:L,MATCH(A605,'Docketed Comments'!H:H,0)),"")</f>
        <v>Yes</v>
      </c>
      <c r="P605" s="119">
        <f t="shared" si="18"/>
        <v>0</v>
      </c>
      <c r="Q605" s="60"/>
      <c r="R605" s="64" t="s">
        <v>75</v>
      </c>
      <c r="S605" s="64" t="s">
        <v>1323</v>
      </c>
    </row>
    <row r="606" spans="1:19" ht="21.95" customHeight="1">
      <c r="A606" s="66" t="s">
        <v>1324</v>
      </c>
      <c r="B606" s="64"/>
      <c r="C606" s="65"/>
      <c r="D606" s="64"/>
      <c r="E606" s="64"/>
      <c r="F606" s="60"/>
      <c r="G606" s="60" t="s">
        <v>88</v>
      </c>
      <c r="H606" s="60" t="str">
        <f>IFERROR(INDEX('Docketed Comments'!C:C,MATCH(A606,'Docketed Comments'!H:H,0))&amp;", "&amp;INDEX('Docketed Comments'!B:B,MATCH(A606,'Docketed Comments'!H:H,0)),"")</f>
        <v>Amy, McPherson</v>
      </c>
      <c r="I606" s="60" t="str">
        <f>IFERROR(INDEX('Docketed Comments'!D:D,MATCH(A606,'Docketed Comments'!H:H,0)),"")</f>
        <v>Phoenix</v>
      </c>
      <c r="J606" s="60" t="str">
        <f>IFERROR(INDEX('Docketed Comments'!I:I,MATCH(A606,'Docketed Comments'!H:H,0)),"")</f>
        <v>R3-47</v>
      </c>
      <c r="K606" s="60" t="str">
        <f t="shared" si="19"/>
        <v>✅ On Best Plan</v>
      </c>
      <c r="L606" s="60" t="str">
        <f>IFERROR(INDEX('Docketed Comments'!F:F,MATCH(A606,'Docketed Comments'!H:H,0)),"")</f>
        <v>Form letter</v>
      </c>
      <c r="M606" s="120" t="str">
        <f>IFERROR(INDEX('Docketed Comments'!G:G,MATCH(A606,'Docketed Comments'!H:H,0)),"")</f>
        <v>https://docket.images.azcc.gov/E000046266.pdf</v>
      </c>
      <c r="N606" s="118" t="str">
        <f>IFERROR(INDEX('Docketed Comments'!N:N,MATCH(A606,'Docketed Comments'!H:H,0)),"")</f>
        <v>No</v>
      </c>
      <c r="O606" s="118" t="str">
        <f>IFERROR(INDEX('Docketed Comments'!L:L,MATCH(A606,'Docketed Comments'!H:H,0)),"")</f>
        <v>Yes</v>
      </c>
      <c r="P606" s="119">
        <f t="shared" si="18"/>
        <v>0</v>
      </c>
      <c r="Q606" s="60"/>
      <c r="R606" s="64" t="s">
        <v>75</v>
      </c>
      <c r="S606" s="64" t="s">
        <v>1325</v>
      </c>
    </row>
    <row r="607" spans="1:19" ht="21.95" customHeight="1">
      <c r="A607" s="66" t="s">
        <v>1326</v>
      </c>
      <c r="B607" s="64"/>
      <c r="C607" s="65"/>
      <c r="D607" s="64"/>
      <c r="E607" s="64"/>
      <c r="F607" s="60"/>
      <c r="G607" s="60" t="s">
        <v>88</v>
      </c>
      <c r="H607" s="60" t="str">
        <f>IFERROR(INDEX('Docketed Comments'!C:C,MATCH(A607,'Docketed Comments'!H:H,0))&amp;", "&amp;INDEX('Docketed Comments'!B:B,MATCH(A607,'Docketed Comments'!H:H,0)),"")</f>
        <v>John, Neville</v>
      </c>
      <c r="I607" s="60" t="str">
        <f>IFERROR(INDEX('Docketed Comments'!D:D,MATCH(A607,'Docketed Comments'!H:H,0)),"")</f>
        <v>Sedona</v>
      </c>
      <c r="J607" s="60" t="str">
        <f>IFERROR(INDEX('Docketed Comments'!I:I,MATCH(A607,'Docketed Comments'!H:H,0)),"")</f>
        <v>EPR-6w/E-12</v>
      </c>
      <c r="K607" s="60" t="str">
        <f t="shared" si="19"/>
        <v>⚠ Frozen Rate</v>
      </c>
      <c r="L607" s="60" t="str">
        <f>IFERROR(INDEX('Docketed Comments'!F:F,MATCH(A607,'Docketed Comments'!H:H,0)),"")</f>
        <v>Unnecessary</v>
      </c>
      <c r="M607" s="120" t="str">
        <f>IFERROR(INDEX('Docketed Comments'!G:G,MATCH(A607,'Docketed Comments'!H:H,0)),"")</f>
        <v>https://docket.images.azcc.gov/E000046266.pdf</v>
      </c>
      <c r="N607" s="118" t="str">
        <f>IFERROR(INDEX('Docketed Comments'!N:N,MATCH(A607,'Docketed Comments'!H:H,0)),"")</f>
        <v>No</v>
      </c>
      <c r="O607" s="118" t="str">
        <f>IFERROR(INDEX('Docketed Comments'!L:L,MATCH(A607,'Docketed Comments'!H:H,0)),"")</f>
        <v>Frozen Rate</v>
      </c>
      <c r="P607" s="119">
        <f t="shared" si="18"/>
        <v>0</v>
      </c>
      <c r="Q607" s="60"/>
      <c r="R607" s="64" t="s">
        <v>75</v>
      </c>
      <c r="S607" s="64" t="s">
        <v>1327</v>
      </c>
    </row>
    <row r="608" spans="1:19" ht="21.95" customHeight="1">
      <c r="A608" s="66" t="s">
        <v>1328</v>
      </c>
      <c r="B608" s="64"/>
      <c r="C608" s="65"/>
      <c r="D608" s="64"/>
      <c r="E608" s="64"/>
      <c r="F608" s="60"/>
      <c r="G608" s="60" t="s">
        <v>88</v>
      </c>
      <c r="H608" s="60" t="str">
        <f>IFERROR(INDEX('Docketed Comments'!C:C,MATCH(A608,'Docketed Comments'!H:H,0))&amp;", "&amp;INDEX('Docketed Comments'!B:B,MATCH(A608,'Docketed Comments'!H:H,0)),"")</f>
        <v>Caryn, Cafagna</v>
      </c>
      <c r="I608" s="60" t="str">
        <f>IFERROR(INDEX('Docketed Comments'!D:D,MATCH(A608,'Docketed Comments'!H:H,0)),"")</f>
        <v>Cornville</v>
      </c>
      <c r="J608" s="60" t="str">
        <f>IFERROR(INDEX('Docketed Comments'!I:I,MATCH(A608,'Docketed Comments'!H:H,0)),"")</f>
        <v>R-XS</v>
      </c>
      <c r="K608" s="60" t="str">
        <f t="shared" si="19"/>
        <v>✅ On Best Plan</v>
      </c>
      <c r="L608" s="60" t="str">
        <f>IFERROR(INDEX('Docketed Comments'!F:F,MATCH(A608,'Docketed Comments'!H:H,0)),"")</f>
        <v>Will be burdensome on a fixed income</v>
      </c>
      <c r="M608" s="120" t="str">
        <f>IFERROR(INDEX('Docketed Comments'!G:G,MATCH(A608,'Docketed Comments'!H:H,0)),"")</f>
        <v>https://docket.images.azcc.gov/E000046266.pdf</v>
      </c>
      <c r="N608" s="118" t="str">
        <f>IFERROR(INDEX('Docketed Comments'!N:N,MATCH(A608,'Docketed Comments'!H:H,0)),"")</f>
        <v>No</v>
      </c>
      <c r="O608" s="118" t="str">
        <f>IFERROR(INDEX('Docketed Comments'!L:L,MATCH(A608,'Docketed Comments'!H:H,0)),"")</f>
        <v>Yes</v>
      </c>
      <c r="P608" s="119">
        <f t="shared" si="18"/>
        <v>0</v>
      </c>
      <c r="Q608" s="60"/>
      <c r="R608" s="64" t="s">
        <v>75</v>
      </c>
      <c r="S608" s="64" t="s">
        <v>1329</v>
      </c>
    </row>
    <row r="609" spans="1:19" ht="21.95" customHeight="1">
      <c r="A609" s="66" t="s">
        <v>1330</v>
      </c>
      <c r="B609" s="64"/>
      <c r="C609" s="65"/>
      <c r="D609" s="64"/>
      <c r="E609" s="64"/>
      <c r="F609" s="60"/>
      <c r="G609" s="60" t="s">
        <v>88</v>
      </c>
      <c r="H609" s="60" t="str">
        <f>IFERROR(INDEX('Docketed Comments'!C:C,MATCH(A609,'Docketed Comments'!H:H,0))&amp;", "&amp;INDEX('Docketed Comments'!B:B,MATCH(A609,'Docketed Comments'!H:H,0)),"")</f>
        <v>Christian, Weiner</v>
      </c>
      <c r="I609" s="60" t="str">
        <f>IFERROR(INDEX('Docketed Comments'!D:D,MATCH(A609,'Docketed Comments'!H:H,0)),"")</f>
        <v>Phoenix</v>
      </c>
      <c r="J609" s="60" t="str">
        <f>IFERROR(INDEX('Docketed Comments'!I:I,MATCH(A609,'Docketed Comments'!H:H,0)),"")</f>
        <v>R-XS</v>
      </c>
      <c r="K609" s="60" t="str">
        <f t="shared" si="19"/>
        <v>✅ On Best Plan</v>
      </c>
      <c r="L609" s="60" t="str">
        <f>IFERROR(INDEX('Docketed Comments'!F:F,MATCH(A609,'Docketed Comments'!H:H,0)),"")</f>
        <v>Form letter</v>
      </c>
      <c r="M609" s="120" t="str">
        <f>IFERROR(INDEX('Docketed Comments'!G:G,MATCH(A609,'Docketed Comments'!H:H,0)),"")</f>
        <v>https://docket.images.azcc.gov/E000046266.pdf</v>
      </c>
      <c r="N609" s="118" t="str">
        <f>IFERROR(INDEX('Docketed Comments'!N:N,MATCH(A609,'Docketed Comments'!H:H,0)),"")</f>
        <v>No</v>
      </c>
      <c r="O609" s="118" t="str">
        <f>IFERROR(INDEX('Docketed Comments'!L:L,MATCH(A609,'Docketed Comments'!H:H,0)),"")</f>
        <v>Yes</v>
      </c>
      <c r="P609" s="119">
        <f t="shared" si="18"/>
        <v>0</v>
      </c>
      <c r="Q609" s="60"/>
      <c r="R609" s="64" t="s">
        <v>75</v>
      </c>
      <c r="S609" s="64" t="s">
        <v>1331</v>
      </c>
    </row>
    <row r="610" spans="1:19" ht="21.95" customHeight="1">
      <c r="A610" s="66" t="s">
        <v>1332</v>
      </c>
      <c r="B610" s="64"/>
      <c r="C610" s="65"/>
      <c r="D610" s="64"/>
      <c r="E610" s="64"/>
      <c r="F610" s="60"/>
      <c r="G610" s="60" t="s">
        <v>88</v>
      </c>
      <c r="H610" s="60" t="str">
        <f>IFERROR(INDEX('Docketed Comments'!C:C,MATCH(A610,'Docketed Comments'!H:H,0))&amp;", "&amp;INDEX('Docketed Comments'!B:B,MATCH(A610,'Docketed Comments'!H:H,0)),"")</f>
        <v>Richard, Verdi</v>
      </c>
      <c r="I610" s="60" t="str">
        <f>IFERROR(INDEX('Docketed Comments'!D:D,MATCH(A610,'Docketed Comments'!H:H,0)),"")</f>
        <v>Peoria</v>
      </c>
      <c r="J610" s="60" t="str">
        <f>IFERROR(INDEX('Docketed Comments'!I:I,MATCH(A610,'Docketed Comments'!H:H,0)),"")</f>
        <v>EPR-6w/ET-2</v>
      </c>
      <c r="K610" s="60" t="str">
        <f t="shared" si="19"/>
        <v>⚠ Frozen Rate</v>
      </c>
      <c r="L610" s="60" t="str">
        <f>IFERROR(INDEX('Docketed Comments'!F:F,MATCH(A610,'Docketed Comments'!H:H,0)),"")</f>
        <v>Enough already</v>
      </c>
      <c r="M610" s="120" t="str">
        <f>IFERROR(INDEX('Docketed Comments'!G:G,MATCH(A610,'Docketed Comments'!H:H,0)),"")</f>
        <v>https://docket.images.azcc.gov/E000046266.pdf</v>
      </c>
      <c r="N610" s="118" t="str">
        <f>IFERROR(INDEX('Docketed Comments'!N:N,MATCH(A610,'Docketed Comments'!H:H,0)),"")</f>
        <v>No</v>
      </c>
      <c r="O610" s="118" t="str">
        <f>IFERROR(INDEX('Docketed Comments'!L:L,MATCH(A610,'Docketed Comments'!H:H,0)),"")</f>
        <v>Frozen Rate</v>
      </c>
      <c r="P610" s="119">
        <f t="shared" si="18"/>
        <v>0</v>
      </c>
      <c r="Q610" s="60"/>
      <c r="R610" s="64" t="s">
        <v>75</v>
      </c>
      <c r="S610" s="124" t="s">
        <v>1333</v>
      </c>
    </row>
    <row r="611" spans="1:19" ht="21.95" customHeight="1">
      <c r="A611" s="66" t="s">
        <v>1334</v>
      </c>
      <c r="B611" s="64"/>
      <c r="C611" s="65"/>
      <c r="D611" s="64"/>
      <c r="E611" s="64"/>
      <c r="F611" s="60"/>
      <c r="G611" s="60" t="s">
        <v>88</v>
      </c>
      <c r="H611" s="60" t="str">
        <f>IFERROR(INDEX('Docketed Comments'!C:C,MATCH(A611,'Docketed Comments'!H:H,0))&amp;", "&amp;INDEX('Docketed Comments'!B:B,MATCH(A611,'Docketed Comments'!H:H,0)),"")</f>
        <v>Loyiel, Duckworth</v>
      </c>
      <c r="I611" s="60" t="str">
        <f>IFERROR(INDEX('Docketed Comments'!D:D,MATCH(A611,'Docketed Comments'!H:H,0)),"")</f>
        <v>Goodyear</v>
      </c>
      <c r="J611" s="60" t="str">
        <f>IFERROR(INDEX('Docketed Comments'!I:I,MATCH(A611,'Docketed Comments'!H:H,0)),"")</f>
        <v>R3-47</v>
      </c>
      <c r="K611" s="60" t="str">
        <f t="shared" si="19"/>
        <v>✅ On Best Plan</v>
      </c>
      <c r="L611" s="60" t="str">
        <f>IFERROR(INDEX('Docketed Comments'!F:F,MATCH(A611,'Docketed Comments'!H:H,0)),"")</f>
        <v>Opposed</v>
      </c>
      <c r="M611" s="120" t="str">
        <f>IFERROR(INDEX('Docketed Comments'!G:G,MATCH(A611,'Docketed Comments'!H:H,0)),"")</f>
        <v>https://docket.images.azcc.gov/E000046266.pdf</v>
      </c>
      <c r="N611" s="118" t="str">
        <f>IFERROR(INDEX('Docketed Comments'!N:N,MATCH(A611,'Docketed Comments'!H:H,0)),"")</f>
        <v>No</v>
      </c>
      <c r="O611" s="118" t="str">
        <f>IFERROR(INDEX('Docketed Comments'!L:L,MATCH(A611,'Docketed Comments'!H:H,0)),"")</f>
        <v>Yes</v>
      </c>
      <c r="P611" s="119">
        <f t="shared" si="18"/>
        <v>0</v>
      </c>
      <c r="Q611" s="60"/>
      <c r="R611" s="64" t="s">
        <v>75</v>
      </c>
      <c r="S611" s="64" t="s">
        <v>1335</v>
      </c>
    </row>
    <row r="612" spans="1:19" ht="21.95" customHeight="1">
      <c r="A612" s="66" t="s">
        <v>1336</v>
      </c>
      <c r="B612" s="64"/>
      <c r="C612" s="65"/>
      <c r="D612" s="64"/>
      <c r="E612" s="64"/>
      <c r="F612" s="60"/>
      <c r="G612" s="60" t="s">
        <v>88</v>
      </c>
      <c r="H612" s="60" t="str">
        <f>IFERROR(INDEX('Docketed Comments'!C:C,MATCH(A612,'Docketed Comments'!H:H,0))&amp;", "&amp;INDEX('Docketed Comments'!B:B,MATCH(A612,'Docketed Comments'!H:H,0)),"")</f>
        <v>Veena, Prakriya</v>
      </c>
      <c r="I612" s="60" t="str">
        <f>IFERROR(INDEX('Docketed Comments'!D:D,MATCH(A612,'Docketed Comments'!H:H,0)),"")</f>
        <v>Phoenix</v>
      </c>
      <c r="J612" s="60" t="str">
        <f>IFERROR(INDEX('Docketed Comments'!I:I,MATCH(A612,'Docketed Comments'!H:H,0)),"")</f>
        <v>R-XS</v>
      </c>
      <c r="K612" s="60" t="str">
        <f t="shared" si="19"/>
        <v>✅ On Best Plan</v>
      </c>
      <c r="L612" s="60" t="str">
        <f>IFERROR(INDEX('Docketed Comments'!F:F,MATCH(A612,'Docketed Comments'!H:H,0)),"")</f>
        <v>Unaffordable</v>
      </c>
      <c r="M612" s="120" t="str">
        <f>IFERROR(INDEX('Docketed Comments'!G:G,MATCH(A612,'Docketed Comments'!H:H,0)),"")</f>
        <v>https://docket.images.azcc.gov/E000046266.pdf</v>
      </c>
      <c r="N612" s="118" t="str">
        <f>IFERROR(INDEX('Docketed Comments'!N:N,MATCH(A612,'Docketed Comments'!H:H,0)),"")</f>
        <v>No</v>
      </c>
      <c r="O612" s="118" t="str">
        <f>IFERROR(INDEX('Docketed Comments'!L:L,MATCH(A612,'Docketed Comments'!H:H,0)),"")</f>
        <v>Yes</v>
      </c>
      <c r="P612" s="119">
        <f t="shared" si="18"/>
        <v>0</v>
      </c>
      <c r="Q612" s="60"/>
      <c r="R612" s="64" t="s">
        <v>75</v>
      </c>
      <c r="S612" s="64" t="s">
        <v>1337</v>
      </c>
    </row>
    <row r="613" spans="1:19" ht="21.95" hidden="1" customHeight="1">
      <c r="A613" s="66" t="s">
        <v>1338</v>
      </c>
      <c r="B613" s="64" t="s">
        <v>31</v>
      </c>
      <c r="C613" s="65">
        <v>46074</v>
      </c>
      <c r="D613" s="64" t="s">
        <v>21</v>
      </c>
      <c r="E613" s="64" t="s">
        <v>22</v>
      </c>
      <c r="F613" s="60" t="s">
        <v>41</v>
      </c>
      <c r="G613" s="60"/>
      <c r="H613" s="60" t="str">
        <f>IFERROR(INDEX('Docketed Comments'!C:C,MATCH(A613,'Docketed Comments'!H:H,0))&amp;", "&amp;INDEX('Docketed Comments'!B:B,MATCH(A613,'Docketed Comments'!H:H,0)),"")</f>
        <v>Cecilia, Funk</v>
      </c>
      <c r="I613" s="60" t="str">
        <f>IFERROR(INDEX('Docketed Comments'!D:D,MATCH(A613,'Docketed Comments'!H:H,0)),"")</f>
        <v>Surprise</v>
      </c>
      <c r="J613" s="60" t="str">
        <f>IFERROR(INDEX('Docketed Comments'!I:I,MATCH(A613,'Docketed Comments'!H:H,0)),"")</f>
        <v>RCPw/RTOUE47</v>
      </c>
      <c r="K613" s="60" t="str">
        <f t="shared" si="19"/>
        <v>✅ On Best Plan</v>
      </c>
      <c r="L613" s="60" t="str">
        <f>IFERROR(INDEX('Docketed Comments'!F:F,MATCH(A613,'Docketed Comments'!H:H,0)),"")</f>
        <v>Form letter</v>
      </c>
      <c r="M613" s="120" t="str">
        <f>IFERROR(INDEX('Docketed Comments'!G:G,MATCH(A613,'Docketed Comments'!H:H,0)),"")</f>
        <v>https://docket.images.azcc.gov/E000046554.pdf</v>
      </c>
      <c r="N613" s="118" t="str">
        <f>IFERROR(INDEX('Docketed Comments'!N:N,MATCH(A613,'Docketed Comments'!H:H,0)),"")</f>
        <v>No</v>
      </c>
      <c r="O613" s="118" t="str">
        <f>IFERROR(INDEX('Docketed Comments'!L:L,MATCH(A613,'Docketed Comments'!H:H,0)),"")</f>
        <v>Y</v>
      </c>
      <c r="P613" s="119">
        <f t="shared" si="18"/>
        <v>0</v>
      </c>
      <c r="Q613" s="60" t="s">
        <v>23</v>
      </c>
      <c r="R613" s="64" t="s">
        <v>24</v>
      </c>
      <c r="S613" s="64" t="s">
        <v>1339</v>
      </c>
    </row>
    <row r="614" spans="1:19" ht="21.95" customHeight="1">
      <c r="A614" s="66" t="s">
        <v>1340</v>
      </c>
      <c r="B614" s="64"/>
      <c r="C614" s="65"/>
      <c r="D614" s="64"/>
      <c r="E614" s="64"/>
      <c r="F614" s="60"/>
      <c r="G614" s="60" t="s">
        <v>88</v>
      </c>
      <c r="H614" s="60" t="str">
        <f>IFERROR(INDEX('Docketed Comments'!C:C,MATCH(A614,'Docketed Comments'!H:H,0))&amp;", "&amp;INDEX('Docketed Comments'!B:B,MATCH(A614,'Docketed Comments'!H:H,0)),"")</f>
        <v>David, Fehr</v>
      </c>
      <c r="I614" s="60" t="str">
        <f>IFERROR(INDEX('Docketed Comments'!D:D,MATCH(A614,'Docketed Comments'!H:H,0)),"")</f>
        <v>Scottsdale</v>
      </c>
      <c r="J614" s="60" t="str">
        <f>IFERROR(INDEX('Docketed Comments'!I:I,MATCH(A614,'Docketed Comments'!H:H,0)),"")</f>
        <v>R3-47</v>
      </c>
      <c r="K614" s="60" t="str">
        <f t="shared" si="19"/>
        <v>✅ On Best Plan</v>
      </c>
      <c r="L614" s="60" t="str">
        <f>IFERROR(INDEX('Docketed Comments'!F:F,MATCH(A614,'Docketed Comments'!H:H,0)),"")</f>
        <v>Unreasonably high</v>
      </c>
      <c r="M614" s="120" t="str">
        <f>IFERROR(INDEX('Docketed Comments'!G:G,MATCH(A614,'Docketed Comments'!H:H,0)),"")</f>
        <v>https://docket.images.azcc.gov/E000046266.pdf</v>
      </c>
      <c r="N614" s="118" t="str">
        <f>IFERROR(INDEX('Docketed Comments'!N:N,MATCH(A614,'Docketed Comments'!H:H,0)),"")</f>
        <v>No</v>
      </c>
      <c r="O614" s="118" t="str">
        <f>IFERROR(INDEX('Docketed Comments'!L:L,MATCH(A614,'Docketed Comments'!H:H,0)),"")</f>
        <v>Yes</v>
      </c>
      <c r="P614" s="119">
        <f t="shared" si="18"/>
        <v>0</v>
      </c>
      <c r="Q614" s="60"/>
      <c r="R614" s="64" t="s">
        <v>75</v>
      </c>
      <c r="S614" s="64" t="s">
        <v>1341</v>
      </c>
    </row>
    <row r="615" spans="1:19" ht="21.95" customHeight="1">
      <c r="A615" s="66" t="s">
        <v>1342</v>
      </c>
      <c r="B615" s="64"/>
      <c r="C615" s="65"/>
      <c r="D615" s="64"/>
      <c r="E615" s="64"/>
      <c r="F615" s="60"/>
      <c r="G615" s="60" t="s">
        <v>88</v>
      </c>
      <c r="H615" s="60" t="str">
        <f>IFERROR(INDEX('Docketed Comments'!C:C,MATCH(A615,'Docketed Comments'!H:H,0))&amp;", "&amp;INDEX('Docketed Comments'!B:B,MATCH(A615,'Docketed Comments'!H:H,0)),"")</f>
        <v>Sean, Hepner</v>
      </c>
      <c r="I615" s="60" t="str">
        <f>IFERROR(INDEX('Docketed Comments'!D:D,MATCH(A615,'Docketed Comments'!H:H,0)),"")</f>
        <v>Phoenix</v>
      </c>
      <c r="J615" s="60" t="str">
        <f>IFERROR(INDEX('Docketed Comments'!I:I,MATCH(A615,'Docketed Comments'!H:H,0)),"")</f>
        <v>R3-47</v>
      </c>
      <c r="K615" s="60" t="str">
        <f t="shared" si="19"/>
        <v>✅ On Best Plan</v>
      </c>
      <c r="L615" s="60" t="str">
        <f>IFERROR(INDEX('Docketed Comments'!F:F,MATCH(A615,'Docketed Comments'!H:H,0)),"")</f>
        <v>Supports FRM</v>
      </c>
      <c r="M615" s="120" t="str">
        <f>IFERROR(INDEX('Docketed Comments'!G:G,MATCH(A615,'Docketed Comments'!H:H,0)),"")</f>
        <v>https://docket.images.azcc.gov/E000046266.pdf</v>
      </c>
      <c r="N615" s="118" t="str">
        <f>IFERROR(INDEX('Docketed Comments'!N:N,MATCH(A615,'Docketed Comments'!H:H,0)),"")</f>
        <v>No</v>
      </c>
      <c r="O615" s="118" t="str">
        <f>IFERROR(INDEX('Docketed Comments'!L:L,MATCH(A615,'Docketed Comments'!H:H,0)),"")</f>
        <v>Yes</v>
      </c>
      <c r="P615" s="119">
        <f t="shared" si="18"/>
        <v>0</v>
      </c>
      <c r="Q615" s="60"/>
      <c r="R615" s="64" t="s">
        <v>75</v>
      </c>
      <c r="S615" s="64" t="s">
        <v>1343</v>
      </c>
    </row>
    <row r="616" spans="1:19" ht="21.95" customHeight="1">
      <c r="A616" s="66" t="s">
        <v>1344</v>
      </c>
      <c r="B616" s="64"/>
      <c r="C616" s="65"/>
      <c r="D616" s="64"/>
      <c r="E616" s="64"/>
      <c r="F616" s="60"/>
      <c r="G616" s="60" t="s">
        <v>88</v>
      </c>
      <c r="H616" s="60" t="str">
        <f>IFERROR(INDEX('Docketed Comments'!C:C,MATCH(A616,'Docketed Comments'!H:H,0))&amp;", "&amp;INDEX('Docketed Comments'!B:B,MATCH(A616,'Docketed Comments'!H:H,0)),"")</f>
        <v>Kyle, Hart</v>
      </c>
      <c r="I616" s="60" t="str">
        <f>IFERROR(INDEX('Docketed Comments'!D:D,MATCH(A616,'Docketed Comments'!H:H,0)),"")</f>
        <v>Surprise</v>
      </c>
      <c r="J616" s="60" t="str">
        <f>IFERROR(INDEX('Docketed Comments'!I:I,MATCH(A616,'Docketed Comments'!H:H,0)),"")</f>
        <v>RTOUE47</v>
      </c>
      <c r="K616" s="60" t="str">
        <f t="shared" si="19"/>
        <v>✅ On Best Plan</v>
      </c>
      <c r="L616" s="60" t="str">
        <f>IFERROR(INDEX('Docketed Comments'!F:F,MATCH(A616,'Docketed Comments'!H:H,0)),"")</f>
        <v>Form letter</v>
      </c>
      <c r="M616" s="120" t="str">
        <f>IFERROR(INDEX('Docketed Comments'!G:G,MATCH(A616,'Docketed Comments'!H:H,0)),"")</f>
        <v>https://docket.images.azcc.gov/E000046266.pdf</v>
      </c>
      <c r="N616" s="118" t="str">
        <f>IFERROR(INDEX('Docketed Comments'!N:N,MATCH(A616,'Docketed Comments'!H:H,0)),"")</f>
        <v>No</v>
      </c>
      <c r="O616" s="118" t="str">
        <f>IFERROR(INDEX('Docketed Comments'!L:L,MATCH(A616,'Docketed Comments'!H:H,0)),"")</f>
        <v>Yes</v>
      </c>
      <c r="P616" s="119">
        <f t="shared" si="18"/>
        <v>0</v>
      </c>
      <c r="Q616" s="60"/>
      <c r="R616" s="64" t="s">
        <v>75</v>
      </c>
      <c r="S616" s="64" t="s">
        <v>1345</v>
      </c>
    </row>
    <row r="617" spans="1:19" ht="21.95" customHeight="1">
      <c r="A617" s="66" t="s">
        <v>1346</v>
      </c>
      <c r="B617" s="64"/>
      <c r="C617" s="65"/>
      <c r="D617" s="64"/>
      <c r="E617" s="64"/>
      <c r="F617" s="60"/>
      <c r="G617" s="60" t="s">
        <v>88</v>
      </c>
      <c r="H617" s="60" t="str">
        <f>IFERROR(INDEX('Docketed Comments'!C:C,MATCH(A617,'Docketed Comments'!H:H,0))&amp;", "&amp;INDEX('Docketed Comments'!B:B,MATCH(A617,'Docketed Comments'!H:H,0)),"")</f>
        <v>Caitlin, Tucker</v>
      </c>
      <c r="I617" s="60" t="str">
        <f>IFERROR(INDEX('Docketed Comments'!D:D,MATCH(A617,'Docketed Comments'!H:H,0)),"")</f>
        <v>Phoenix</v>
      </c>
      <c r="J617" s="60" t="str">
        <f>IFERROR(INDEX('Docketed Comments'!I:I,MATCH(A617,'Docketed Comments'!H:H,0)),"")</f>
        <v>R-XS</v>
      </c>
      <c r="K617" s="60" t="str">
        <f t="shared" si="19"/>
        <v>✅ On Best Plan</v>
      </c>
      <c r="L617" s="60" t="str">
        <f>IFERROR(INDEX('Docketed Comments'!F:F,MATCH(A617,'Docketed Comments'!H:H,0)),"")</f>
        <v>against any increase</v>
      </c>
      <c r="M617" s="120" t="str">
        <f>IFERROR(INDEX('Docketed Comments'!G:G,MATCH(A617,'Docketed Comments'!H:H,0)),"")</f>
        <v>https://docket.images.azcc.gov/E000046266.pdf</v>
      </c>
      <c r="N617" s="118" t="str">
        <f>IFERROR(INDEX('Docketed Comments'!N:N,MATCH(A617,'Docketed Comments'!H:H,0)),"")</f>
        <v>No</v>
      </c>
      <c r="O617" s="118" t="str">
        <f>IFERROR(INDEX('Docketed Comments'!L:L,MATCH(A617,'Docketed Comments'!H:H,0)),"")</f>
        <v>Yes</v>
      </c>
      <c r="P617" s="119">
        <f t="shared" si="18"/>
        <v>0</v>
      </c>
      <c r="Q617" s="60"/>
      <c r="R617" s="64" t="s">
        <v>75</v>
      </c>
      <c r="S617" s="64" t="s">
        <v>1347</v>
      </c>
    </row>
    <row r="618" spans="1:19" ht="21.95" customHeight="1">
      <c r="A618" s="66" t="s">
        <v>1348</v>
      </c>
      <c r="B618" s="64"/>
      <c r="C618" s="65"/>
      <c r="D618" s="64"/>
      <c r="E618" s="64"/>
      <c r="F618" s="60"/>
      <c r="G618" s="60" t="s">
        <v>88</v>
      </c>
      <c r="H618" s="60" t="str">
        <f>IFERROR(INDEX('Docketed Comments'!C:C,MATCH(A618,'Docketed Comments'!H:H,0))&amp;", "&amp;INDEX('Docketed Comments'!B:B,MATCH(A618,'Docketed Comments'!H:H,0)),"")</f>
        <v>David, Jimenez</v>
      </c>
      <c r="I618" s="60" t="str">
        <f>IFERROR(INDEX('Docketed Comments'!D:D,MATCH(A618,'Docketed Comments'!H:H,0)),"")</f>
        <v>Phoenix</v>
      </c>
      <c r="J618" s="60" t="str">
        <f>IFERROR(INDEX('Docketed Comments'!I:I,MATCH(A618,'Docketed Comments'!H:H,0)),"")</f>
        <v>R3-47</v>
      </c>
      <c r="K618" s="60" t="str">
        <f t="shared" si="19"/>
        <v>✅ On Best Plan</v>
      </c>
      <c r="L618" s="60" t="str">
        <f>IFERROR(INDEX('Docketed Comments'!F:F,MATCH(A618,'Docketed Comments'!H:H,0)),"")</f>
        <v>No more rate hikes</v>
      </c>
      <c r="M618" s="120" t="str">
        <f>IFERROR(INDEX('Docketed Comments'!G:G,MATCH(A618,'Docketed Comments'!H:H,0)),"")</f>
        <v>https://docket.images.azcc.gov/E000046266.pdf</v>
      </c>
      <c r="N618" s="118" t="str">
        <f>IFERROR(INDEX('Docketed Comments'!N:N,MATCH(A618,'Docketed Comments'!H:H,0)),"")</f>
        <v>No</v>
      </c>
      <c r="O618" s="118" t="str">
        <f>IFERROR(INDEX('Docketed Comments'!L:L,MATCH(A618,'Docketed Comments'!H:H,0)),"")</f>
        <v>Yes</v>
      </c>
      <c r="P618" s="119">
        <f t="shared" si="18"/>
        <v>0</v>
      </c>
      <c r="Q618" s="60"/>
      <c r="R618" s="64" t="s">
        <v>75</v>
      </c>
      <c r="S618" s="64" t="s">
        <v>1349</v>
      </c>
    </row>
    <row r="619" spans="1:19" ht="21.95" customHeight="1">
      <c r="A619" s="66" t="s">
        <v>1350</v>
      </c>
      <c r="B619" s="64"/>
      <c r="C619" s="65"/>
      <c r="D619" s="64"/>
      <c r="E619" s="64"/>
      <c r="F619" s="60"/>
      <c r="G619" s="60" t="s">
        <v>88</v>
      </c>
      <c r="H619" s="60" t="str">
        <f>IFERROR(INDEX('Docketed Comments'!C:C,MATCH(A619,'Docketed Comments'!H:H,0))&amp;", "&amp;INDEX('Docketed Comments'!B:B,MATCH(A619,'Docketed Comments'!H:H,0)),"")</f>
        <v>Heather, Bauer</v>
      </c>
      <c r="I619" s="60" t="str">
        <f>IFERROR(INDEX('Docketed Comments'!D:D,MATCH(A619,'Docketed Comments'!H:H,0)),"")</f>
        <v>Chandler</v>
      </c>
      <c r="J619" s="60" t="str">
        <f>IFERROR(INDEX('Docketed Comments'!I:I,MATCH(A619,'Docketed Comments'!H:H,0)),"")</f>
        <v>EPR-6w/E-12</v>
      </c>
      <c r="K619" s="60" t="str">
        <f t="shared" si="19"/>
        <v>⚠ Frozen Rate</v>
      </c>
      <c r="L619" s="60" t="str">
        <f>IFERROR(INDEX('Docketed Comments'!F:F,MATCH(A619,'Docketed Comments'!H:H,0)),"")</f>
        <v>Form letter</v>
      </c>
      <c r="M619" s="120" t="str">
        <f>IFERROR(INDEX('Docketed Comments'!G:G,MATCH(A619,'Docketed Comments'!H:H,0)),"")</f>
        <v>https://docket.images.azcc.gov/E000046266.pdf</v>
      </c>
      <c r="N619" s="118" t="str">
        <f>IFERROR(INDEX('Docketed Comments'!N:N,MATCH(A619,'Docketed Comments'!H:H,0)),"")</f>
        <v>No</v>
      </c>
      <c r="O619" s="118" t="str">
        <f>IFERROR(INDEX('Docketed Comments'!L:L,MATCH(A619,'Docketed Comments'!H:H,0)),"")</f>
        <v>Frozen Rate</v>
      </c>
      <c r="P619" s="119">
        <f t="shared" si="18"/>
        <v>0</v>
      </c>
      <c r="Q619" s="60"/>
      <c r="R619" s="64" t="s">
        <v>75</v>
      </c>
      <c r="S619" s="64" t="s">
        <v>1351</v>
      </c>
    </row>
    <row r="620" spans="1:19" ht="21.95" customHeight="1">
      <c r="A620" s="66" t="s">
        <v>1352</v>
      </c>
      <c r="B620" s="64"/>
      <c r="C620" s="65"/>
      <c r="D620" s="64"/>
      <c r="E620" s="64"/>
      <c r="F620" s="60"/>
      <c r="G620" s="60" t="s">
        <v>88</v>
      </c>
      <c r="H620" s="60" t="str">
        <f>IFERROR(INDEX('Docketed Comments'!C:C,MATCH(A620,'Docketed Comments'!H:H,0))&amp;", "&amp;INDEX('Docketed Comments'!B:B,MATCH(A620,'Docketed Comments'!H:H,0)),"")</f>
        <v xml:space="preserve">Matthew, Willer </v>
      </c>
      <c r="I620" s="60" t="str">
        <f>IFERROR(INDEX('Docketed Comments'!D:D,MATCH(A620,'Docketed Comments'!H:H,0)),"")</f>
        <v>New River</v>
      </c>
      <c r="J620" s="60" t="str">
        <f>IFERROR(INDEX('Docketed Comments'!I:I,MATCH(A620,'Docketed Comments'!H:H,0)),"")</f>
        <v>RCPw/R3-47</v>
      </c>
      <c r="K620" s="60" t="str">
        <f t="shared" si="19"/>
        <v>✅ On Best Plan</v>
      </c>
      <c r="L620" s="60" t="str">
        <f>IFERROR(INDEX('Docketed Comments'!F:F,MATCH(A620,'Docketed Comments'!H:H,0)),"")</f>
        <v>Opposed</v>
      </c>
      <c r="M620" s="120" t="str">
        <f>IFERROR(INDEX('Docketed Comments'!G:G,MATCH(A620,'Docketed Comments'!H:H,0)),"")</f>
        <v>https://docket.images.azcc.gov/E000046266.pdf</v>
      </c>
      <c r="N620" s="118" t="str">
        <f>IFERROR(INDEX('Docketed Comments'!N:N,MATCH(A620,'Docketed Comments'!H:H,0)),"")</f>
        <v>No</v>
      </c>
      <c r="O620" s="118" t="str">
        <f>IFERROR(INDEX('Docketed Comments'!L:L,MATCH(A620,'Docketed Comments'!H:H,0)),"")</f>
        <v>Yes</v>
      </c>
      <c r="P620" s="119">
        <f t="shared" si="18"/>
        <v>0</v>
      </c>
      <c r="Q620" s="60"/>
      <c r="R620" s="64" t="s">
        <v>75</v>
      </c>
      <c r="S620" s="64" t="s">
        <v>1353</v>
      </c>
    </row>
    <row r="621" spans="1:19" ht="21.95" customHeight="1">
      <c r="A621" s="66" t="s">
        <v>1354</v>
      </c>
      <c r="B621" s="64"/>
      <c r="C621" s="65"/>
      <c r="D621" s="64"/>
      <c r="E621" s="64"/>
      <c r="F621" s="60"/>
      <c r="G621" s="60" t="s">
        <v>88</v>
      </c>
      <c r="H621" s="60" t="str">
        <f>IFERROR(INDEX('Docketed Comments'!C:C,MATCH(A621,'Docketed Comments'!H:H,0))&amp;", "&amp;INDEX('Docketed Comments'!B:B,MATCH(A621,'Docketed Comments'!H:H,0)),"")</f>
        <v>Madeline, Johnston</v>
      </c>
      <c r="I621" s="60" t="str">
        <f>IFERROR(INDEX('Docketed Comments'!D:D,MATCH(A621,'Docketed Comments'!H:H,0)),"")</f>
        <v>Phoenix</v>
      </c>
      <c r="J621" s="60" t="str">
        <f>IFERROR(INDEX('Docketed Comments'!I:I,MATCH(A621,'Docketed Comments'!H:H,0)),"")</f>
        <v>R-BASIC</v>
      </c>
      <c r="K621" s="60" t="str">
        <f t="shared" si="19"/>
        <v>✅ On Best Plan</v>
      </c>
      <c r="L621" s="60" t="str">
        <f>IFERROR(INDEX('Docketed Comments'!F:F,MATCH(A621,'Docketed Comments'!H:H,0)),"")</f>
        <v>Form letter</v>
      </c>
      <c r="M621" s="120" t="str">
        <f>IFERROR(INDEX('Docketed Comments'!G:G,MATCH(A621,'Docketed Comments'!H:H,0)),"")</f>
        <v>https://docket.images.azcc.gov/E000046266.pdf</v>
      </c>
      <c r="N621" s="118" t="str">
        <f>IFERROR(INDEX('Docketed Comments'!N:N,MATCH(A621,'Docketed Comments'!H:H,0)),"")</f>
        <v>No</v>
      </c>
      <c r="O621" s="118" t="str">
        <f>IFERROR(INDEX('Docketed Comments'!L:L,MATCH(A621,'Docketed Comments'!H:H,0)),"")</f>
        <v>Yes</v>
      </c>
      <c r="P621" s="119">
        <f t="shared" si="18"/>
        <v>0</v>
      </c>
      <c r="Q621" s="60"/>
      <c r="R621" s="64" t="s">
        <v>75</v>
      </c>
      <c r="S621" s="64" t="s">
        <v>1355</v>
      </c>
    </row>
    <row r="622" spans="1:19" ht="21.95" customHeight="1">
      <c r="A622" s="66" t="s">
        <v>1356</v>
      </c>
      <c r="B622" s="64"/>
      <c r="C622" s="65"/>
      <c r="D622" s="64"/>
      <c r="E622" s="64"/>
      <c r="F622" s="60"/>
      <c r="G622" s="60" t="s">
        <v>88</v>
      </c>
      <c r="H622" s="60" t="str">
        <f>IFERROR(INDEX('Docketed Comments'!C:C,MATCH(A622,'Docketed Comments'!H:H,0))&amp;", "&amp;INDEX('Docketed Comments'!B:B,MATCH(A622,'Docketed Comments'!H:H,0)),"")</f>
        <v>Margaret, Valeev</v>
      </c>
      <c r="I622" s="60" t="str">
        <f>IFERROR(INDEX('Docketed Comments'!D:D,MATCH(A622,'Docketed Comments'!H:H,0)),"")</f>
        <v>Phoenix</v>
      </c>
      <c r="J622" s="60" t="str">
        <f>IFERROR(INDEX('Docketed Comments'!I:I,MATCH(A622,'Docketed Comments'!H:H,0)),"")</f>
        <v>R-XS</v>
      </c>
      <c r="K622" s="60" t="str">
        <f t="shared" si="19"/>
        <v>✅ On Best Plan</v>
      </c>
      <c r="L622" s="60" t="str">
        <f>IFERROR(INDEX('Docketed Comments'!F:F,MATCH(A622,'Docketed Comments'!H:H,0)),"")</f>
        <v>Furious</v>
      </c>
      <c r="M622" s="120" t="str">
        <f>IFERROR(INDEX('Docketed Comments'!G:G,MATCH(A622,'Docketed Comments'!H:H,0)),"")</f>
        <v>https://docket.images.azcc.gov/E000046266.pdf</v>
      </c>
      <c r="N622" s="118" t="str">
        <f>IFERROR(INDEX('Docketed Comments'!N:N,MATCH(A622,'Docketed Comments'!H:H,0)),"")</f>
        <v>No</v>
      </c>
      <c r="O622" s="118" t="str">
        <f>IFERROR(INDEX('Docketed Comments'!L:L,MATCH(A622,'Docketed Comments'!H:H,0)),"")</f>
        <v>Yes</v>
      </c>
      <c r="P622" s="119">
        <f t="shared" si="18"/>
        <v>0</v>
      </c>
      <c r="Q622" s="60"/>
      <c r="R622" s="64" t="s">
        <v>75</v>
      </c>
      <c r="S622" s="64" t="s">
        <v>1357</v>
      </c>
    </row>
    <row r="623" spans="1:19" ht="21.95" customHeight="1">
      <c r="A623" s="66" t="s">
        <v>1358</v>
      </c>
      <c r="B623" s="64"/>
      <c r="C623" s="65"/>
      <c r="D623" s="64"/>
      <c r="E623" s="64"/>
      <c r="F623" s="60"/>
      <c r="G623" s="60" t="s">
        <v>88</v>
      </c>
      <c r="H623" s="60" t="str">
        <f>IFERROR(INDEX('Docketed Comments'!C:C,MATCH(A623,'Docketed Comments'!H:H,0))&amp;", "&amp;INDEX('Docketed Comments'!B:B,MATCH(A623,'Docketed Comments'!H:H,0)),"")</f>
        <v>Darla, Hareza</v>
      </c>
      <c r="I623" s="60" t="str">
        <f>IFERROR(INDEX('Docketed Comments'!D:D,MATCH(A623,'Docketed Comments'!H:H,0)),"")</f>
        <v>Peoria</v>
      </c>
      <c r="J623" s="60" t="str">
        <f>IFERROR(INDEX('Docketed Comments'!I:I,MATCH(A623,'Docketed Comments'!H:H,0)),"")</f>
        <v>R3-47</v>
      </c>
      <c r="K623" s="60" t="str">
        <f t="shared" si="19"/>
        <v>✅ On Best Plan</v>
      </c>
      <c r="L623" s="60" t="str">
        <f>IFERROR(INDEX('Docketed Comments'!F:F,MATCH(A623,'Docketed Comments'!H:H,0)),"")</f>
        <v>Stop being so greedy</v>
      </c>
      <c r="M623" s="120" t="str">
        <f>IFERROR(INDEX('Docketed Comments'!G:G,MATCH(A623,'Docketed Comments'!H:H,0)),"")</f>
        <v>https://docket.images.azcc.gov/E000046266.pdf</v>
      </c>
      <c r="N623" s="118" t="str">
        <f>IFERROR(INDEX('Docketed Comments'!N:N,MATCH(A623,'Docketed Comments'!H:H,0)),"")</f>
        <v>No</v>
      </c>
      <c r="O623" s="118" t="str">
        <f>IFERROR(INDEX('Docketed Comments'!L:L,MATCH(A623,'Docketed Comments'!H:H,0)),"")</f>
        <v>Yes</v>
      </c>
      <c r="P623" s="119">
        <f t="shared" si="18"/>
        <v>0</v>
      </c>
      <c r="Q623" s="60"/>
      <c r="R623" s="64" t="s">
        <v>75</v>
      </c>
      <c r="S623" s="64" t="s">
        <v>1359</v>
      </c>
    </row>
    <row r="624" spans="1:19" ht="21.95" customHeight="1">
      <c r="A624" s="66" t="s">
        <v>1360</v>
      </c>
      <c r="B624" s="64"/>
      <c r="C624" s="65"/>
      <c r="D624" s="64"/>
      <c r="E624" s="64"/>
      <c r="F624" s="60"/>
      <c r="G624" s="60" t="s">
        <v>88</v>
      </c>
      <c r="H624" s="60" t="str">
        <f>IFERROR(INDEX('Docketed Comments'!C:C,MATCH(A624,'Docketed Comments'!H:H,0))&amp;", "&amp;INDEX('Docketed Comments'!B:B,MATCH(A624,'Docketed Comments'!H:H,0)),"")</f>
        <v>Aaron, Downey</v>
      </c>
      <c r="I624" s="60" t="str">
        <f>IFERROR(INDEX('Docketed Comments'!D:D,MATCH(A624,'Docketed Comments'!H:H,0)),"")</f>
        <v>Goodyear</v>
      </c>
      <c r="J624" s="60" t="str">
        <f>IFERROR(INDEX('Docketed Comments'!I:I,MATCH(A624,'Docketed Comments'!H:H,0)),"")</f>
        <v>R3-47</v>
      </c>
      <c r="K624" s="60" t="str">
        <f t="shared" si="19"/>
        <v>✅ On Best Plan</v>
      </c>
      <c r="L624" s="60" t="str">
        <f>IFERROR(INDEX('Docketed Comments'!F:F,MATCH(A624,'Docketed Comments'!H:H,0)),"")</f>
        <v>Enough already</v>
      </c>
      <c r="M624" s="120" t="str">
        <f>IFERROR(INDEX('Docketed Comments'!G:G,MATCH(A624,'Docketed Comments'!H:H,0)),"")</f>
        <v>https://docket.images.azcc.gov/E000046266.pdf</v>
      </c>
      <c r="N624" s="118" t="str">
        <f>IFERROR(INDEX('Docketed Comments'!N:N,MATCH(A624,'Docketed Comments'!H:H,0)),"")</f>
        <v>No</v>
      </c>
      <c r="O624" s="118" t="str">
        <f>IFERROR(INDEX('Docketed Comments'!L:L,MATCH(A624,'Docketed Comments'!H:H,0)),"")</f>
        <v>Yes</v>
      </c>
      <c r="P624" s="119">
        <f t="shared" si="18"/>
        <v>0</v>
      </c>
      <c r="Q624" s="60"/>
      <c r="R624" s="64" t="s">
        <v>75</v>
      </c>
      <c r="S624" s="64" t="s">
        <v>1361</v>
      </c>
    </row>
    <row r="625" spans="1:19" ht="21.95" customHeight="1">
      <c r="A625" s="66" t="s">
        <v>1362</v>
      </c>
      <c r="B625" s="64"/>
      <c r="C625" s="65"/>
      <c r="D625" s="64"/>
      <c r="E625" s="64"/>
      <c r="F625" s="60"/>
      <c r="G625" s="60" t="s">
        <v>88</v>
      </c>
      <c r="H625" s="60" t="str">
        <f>IFERROR(INDEX('Docketed Comments'!C:C,MATCH(A625,'Docketed Comments'!H:H,0))&amp;", "&amp;INDEX('Docketed Comments'!B:B,MATCH(A625,'Docketed Comments'!H:H,0)),"")</f>
        <v>Jeff , Handelman</v>
      </c>
      <c r="I625" s="60" t="str">
        <f>IFERROR(INDEX('Docketed Comments'!D:D,MATCH(A625,'Docketed Comments'!H:H,0)),"")</f>
        <v>Carefree</v>
      </c>
      <c r="J625" s="60" t="str">
        <f>IFERROR(INDEX('Docketed Comments'!I:I,MATCH(A625,'Docketed Comments'!H:H,0)),"")</f>
        <v>R3-47</v>
      </c>
      <c r="K625" s="60" t="str">
        <f t="shared" si="19"/>
        <v>✅ On Best Plan</v>
      </c>
      <c r="L625" s="60" t="str">
        <f>IFERROR(INDEX('Docketed Comments'!F:F,MATCH(A625,'Docketed Comments'!H:H,0)),"")</f>
        <v>Opposed, gouging customers</v>
      </c>
      <c r="M625" s="120" t="str">
        <f>IFERROR(INDEX('Docketed Comments'!G:G,MATCH(A625,'Docketed Comments'!H:H,0)),"")</f>
        <v>https://docket.images.azcc.gov/E000046266.pdf</v>
      </c>
      <c r="N625" s="118" t="str">
        <f>IFERROR(INDEX('Docketed Comments'!N:N,MATCH(A625,'Docketed Comments'!H:H,0)),"")</f>
        <v>No</v>
      </c>
      <c r="O625" s="118" t="str">
        <f>IFERROR(INDEX('Docketed Comments'!L:L,MATCH(A625,'Docketed Comments'!H:H,0)),"")</f>
        <v>Yes</v>
      </c>
      <c r="P625" s="119">
        <f t="shared" si="18"/>
        <v>0</v>
      </c>
      <c r="Q625" s="60"/>
      <c r="R625" s="64" t="s">
        <v>75</v>
      </c>
      <c r="S625" s="64" t="s">
        <v>1363</v>
      </c>
    </row>
    <row r="626" spans="1:19" ht="21.95" customHeight="1">
      <c r="A626" s="66" t="s">
        <v>1364</v>
      </c>
      <c r="B626" s="64"/>
      <c r="C626" s="65"/>
      <c r="D626" s="64"/>
      <c r="E626" s="64"/>
      <c r="F626" s="60"/>
      <c r="G626" s="60" t="s">
        <v>88</v>
      </c>
      <c r="H626" s="60" t="str">
        <f>IFERROR(INDEX('Docketed Comments'!C:C,MATCH(A626,'Docketed Comments'!H:H,0))&amp;", "&amp;INDEX('Docketed Comments'!B:B,MATCH(A626,'Docketed Comments'!H:H,0)),"")</f>
        <v>Selvakumar, Palaniraj</v>
      </c>
      <c r="I626" s="60" t="str">
        <f>IFERROR(INDEX('Docketed Comments'!D:D,MATCH(A626,'Docketed Comments'!H:H,0)),"")</f>
        <v>Peoria</v>
      </c>
      <c r="J626" s="60" t="str">
        <f>IFERROR(INDEX('Docketed Comments'!I:I,MATCH(A626,'Docketed Comments'!H:H,0)),"")</f>
        <v>R-XS</v>
      </c>
      <c r="K626" s="60" t="str">
        <f t="shared" si="19"/>
        <v>✅ On Best Plan</v>
      </c>
      <c r="L626" s="60" t="str">
        <f>IFERROR(INDEX('Docketed Comments'!F:F,MATCH(A626,'Docketed Comments'!H:H,0)),"")</f>
        <v>Opposed</v>
      </c>
      <c r="M626" s="120" t="str">
        <f>IFERROR(INDEX('Docketed Comments'!G:G,MATCH(A626,'Docketed Comments'!H:H,0)),"")</f>
        <v>https://docket.images.azcc.gov/E000046266.pdf</v>
      </c>
      <c r="N626" s="118" t="str">
        <f>IFERROR(INDEX('Docketed Comments'!N:N,MATCH(A626,'Docketed Comments'!H:H,0)),"")</f>
        <v>No</v>
      </c>
      <c r="O626" s="118" t="str">
        <f>IFERROR(INDEX('Docketed Comments'!L:L,MATCH(A626,'Docketed Comments'!H:H,0)),"")</f>
        <v>Yes</v>
      </c>
      <c r="P626" s="119">
        <f t="shared" si="18"/>
        <v>0</v>
      </c>
      <c r="Q626" s="60"/>
      <c r="R626" s="64" t="s">
        <v>75</v>
      </c>
      <c r="S626" s="64" t="s">
        <v>1365</v>
      </c>
    </row>
    <row r="627" spans="1:19" ht="21.95" customHeight="1">
      <c r="A627" s="66" t="s">
        <v>1366</v>
      </c>
      <c r="B627" s="64"/>
      <c r="C627" s="65"/>
      <c r="D627" s="64"/>
      <c r="E627" s="64"/>
      <c r="F627" s="60"/>
      <c r="G627" s="60" t="s">
        <v>88</v>
      </c>
      <c r="H627" s="60" t="str">
        <f>IFERROR(INDEX('Docketed Comments'!C:C,MATCH(A627,'Docketed Comments'!H:H,0))&amp;", "&amp;INDEX('Docketed Comments'!B:B,MATCH(A627,'Docketed Comments'!H:H,0)),"")</f>
        <v>Lucie, Becus</v>
      </c>
      <c r="I627" s="60" t="str">
        <f>IFERROR(INDEX('Docketed Comments'!D:D,MATCH(A627,'Docketed Comments'!H:H,0)),"")</f>
        <v>Surprise</v>
      </c>
      <c r="J627" s="60" t="str">
        <f>IFERROR(INDEX('Docketed Comments'!I:I,MATCH(A627,'Docketed Comments'!H:H,0)),"")</f>
        <v>RCPw/R3-47</v>
      </c>
      <c r="K627" s="60" t="str">
        <f t="shared" si="19"/>
        <v>✅ On Best Plan</v>
      </c>
      <c r="L627" s="60" t="str">
        <f>IFERROR(INDEX('Docketed Comments'!F:F,MATCH(A627,'Docketed Comments'!H:H,0)),"")</f>
        <v>Form letter</v>
      </c>
      <c r="M627" s="120" t="str">
        <f>IFERROR(INDEX('Docketed Comments'!G:G,MATCH(A627,'Docketed Comments'!H:H,0)),"")</f>
        <v>https://docket.images.azcc.gov/E000046266.pdf</v>
      </c>
      <c r="N627" s="118" t="str">
        <f>IFERROR(INDEX('Docketed Comments'!N:N,MATCH(A627,'Docketed Comments'!H:H,0)),"")</f>
        <v>No</v>
      </c>
      <c r="O627" s="118" t="str">
        <f>IFERROR(INDEX('Docketed Comments'!L:L,MATCH(A627,'Docketed Comments'!H:H,0)),"")</f>
        <v>Yes</v>
      </c>
      <c r="P627" s="119">
        <f t="shared" si="18"/>
        <v>0</v>
      </c>
      <c r="Q627" s="60"/>
      <c r="R627" s="64" t="s">
        <v>75</v>
      </c>
      <c r="S627" s="64" t="s">
        <v>1367</v>
      </c>
    </row>
    <row r="628" spans="1:19" ht="21.95" customHeight="1">
      <c r="A628" s="66" t="s">
        <v>1368</v>
      </c>
      <c r="B628" s="64"/>
      <c r="C628" s="65"/>
      <c r="D628" s="64"/>
      <c r="E628" s="64"/>
      <c r="F628" s="60"/>
      <c r="G628" s="60" t="s">
        <v>88</v>
      </c>
      <c r="H628" s="60" t="str">
        <f>IFERROR(INDEX('Docketed Comments'!C:C,MATCH(A628,'Docketed Comments'!H:H,0))&amp;", "&amp;INDEX('Docketed Comments'!B:B,MATCH(A628,'Docketed Comments'!H:H,0)),"")</f>
        <v>Julie, Zausmer</v>
      </c>
      <c r="I628" s="60" t="str">
        <f>IFERROR(INDEX('Docketed Comments'!D:D,MATCH(A628,'Docketed Comments'!H:H,0)),"")</f>
        <v>Scottsdale</v>
      </c>
      <c r="J628" s="60" t="str">
        <f>IFERROR(INDEX('Docketed Comments'!I:I,MATCH(A628,'Docketed Comments'!H:H,0)),"")</f>
        <v>RTOUE47</v>
      </c>
      <c r="K628" s="60" t="str">
        <f t="shared" si="19"/>
        <v>✅ On Best Plan</v>
      </c>
      <c r="L628" s="60" t="str">
        <f>IFERROR(INDEX('Docketed Comments'!F:F,MATCH(A628,'Docketed Comments'!H:H,0)),"")</f>
        <v>Form letter</v>
      </c>
      <c r="M628" s="120" t="str">
        <f>IFERROR(INDEX('Docketed Comments'!G:G,MATCH(A628,'Docketed Comments'!H:H,0)),"")</f>
        <v>https://docket.images.azcc.gov/E000046266.pdf</v>
      </c>
      <c r="N628" s="118" t="str">
        <f>IFERROR(INDEX('Docketed Comments'!N:N,MATCH(A628,'Docketed Comments'!H:H,0)),"")</f>
        <v>No</v>
      </c>
      <c r="O628" s="118" t="str">
        <f>IFERROR(INDEX('Docketed Comments'!L:L,MATCH(A628,'Docketed Comments'!H:H,0)),"")</f>
        <v>Yes</v>
      </c>
      <c r="P628" s="119">
        <f t="shared" si="18"/>
        <v>0</v>
      </c>
      <c r="Q628" s="60"/>
      <c r="R628" s="64" t="s">
        <v>75</v>
      </c>
      <c r="S628" s="64" t="s">
        <v>1369</v>
      </c>
    </row>
    <row r="629" spans="1:19" ht="21.95" customHeight="1">
      <c r="A629" s="66" t="s">
        <v>1370</v>
      </c>
      <c r="B629" s="64"/>
      <c r="C629" s="65"/>
      <c r="D629" s="64"/>
      <c r="E629" s="64"/>
      <c r="F629" s="60"/>
      <c r="G629" s="60" t="s">
        <v>88</v>
      </c>
      <c r="H629" s="60" t="str">
        <f>IFERROR(INDEX('Docketed Comments'!C:C,MATCH(A629,'Docketed Comments'!H:H,0))&amp;", "&amp;INDEX('Docketed Comments'!B:B,MATCH(A629,'Docketed Comments'!H:H,0)),"")</f>
        <v>Jessica, Terry</v>
      </c>
      <c r="I629" s="60" t="str">
        <f>IFERROR(INDEX('Docketed Comments'!D:D,MATCH(A629,'Docketed Comments'!H:H,0)),"")</f>
        <v>Flagstaff</v>
      </c>
      <c r="J629" s="60" t="str">
        <f>IFERROR(INDEX('Docketed Comments'!I:I,MATCH(A629,'Docketed Comments'!H:H,0)),"")</f>
        <v>R-XS</v>
      </c>
      <c r="K629" s="60" t="str">
        <f t="shared" si="19"/>
        <v>✅ On Best Plan</v>
      </c>
      <c r="L629" s="60" t="str">
        <f>IFERROR(INDEX('Docketed Comments'!F:F,MATCH(A629,'Docketed Comments'!H:H,0)),"")</f>
        <v>Form letter</v>
      </c>
      <c r="M629" s="120" t="str">
        <f>IFERROR(INDEX('Docketed Comments'!G:G,MATCH(A629,'Docketed Comments'!H:H,0)),"")</f>
        <v>https://docket.images.azcc.gov/E000046266.pdf</v>
      </c>
      <c r="N629" s="118" t="str">
        <f>IFERROR(INDEX('Docketed Comments'!N:N,MATCH(A629,'Docketed Comments'!H:H,0)),"")</f>
        <v>No</v>
      </c>
      <c r="O629" s="118" t="str">
        <f>IFERROR(INDEX('Docketed Comments'!L:L,MATCH(A629,'Docketed Comments'!H:H,0)),"")</f>
        <v>Yes</v>
      </c>
      <c r="P629" s="119">
        <f t="shared" si="18"/>
        <v>0</v>
      </c>
      <c r="Q629" s="60"/>
      <c r="R629" s="64" t="s">
        <v>75</v>
      </c>
      <c r="S629" s="64" t="s">
        <v>1371</v>
      </c>
    </row>
    <row r="630" spans="1:19" ht="21.95" customHeight="1">
      <c r="A630" s="66" t="s">
        <v>1372</v>
      </c>
      <c r="B630" s="64"/>
      <c r="C630" s="65"/>
      <c r="D630" s="64"/>
      <c r="E630" s="64"/>
      <c r="F630" s="60"/>
      <c r="G630" s="60" t="s">
        <v>88</v>
      </c>
      <c r="H630" s="60" t="str">
        <f>IFERROR(INDEX('Docketed Comments'!C:C,MATCH(A630,'Docketed Comments'!H:H,0))&amp;", "&amp;INDEX('Docketed Comments'!B:B,MATCH(A630,'Docketed Comments'!H:H,0)),"")</f>
        <v>Konrad, Taft</v>
      </c>
      <c r="I630" s="60" t="str">
        <f>IFERROR(INDEX('Docketed Comments'!D:D,MATCH(A630,'Docketed Comments'!H:H,0)),"")</f>
        <v>Surprise</v>
      </c>
      <c r="J630" s="60" t="str">
        <f>IFERROR(INDEX('Docketed Comments'!I:I,MATCH(A630,'Docketed Comments'!H:H,0)),"")</f>
        <v>R-BASIC</v>
      </c>
      <c r="K630" s="60" t="str">
        <f t="shared" si="19"/>
        <v>✅ On Best Plan</v>
      </c>
      <c r="L630" s="60" t="str">
        <f>IFERROR(INDEX('Docketed Comments'!F:F,MATCH(A630,'Docketed Comments'!H:H,0)),"")</f>
        <v>Data centers coming in and nothing to with energy use</v>
      </c>
      <c r="M630" s="120" t="str">
        <f>IFERROR(INDEX('Docketed Comments'!G:G,MATCH(A630,'Docketed Comments'!H:H,0)),"")</f>
        <v>https://docket.images.azcc.gov/E000046266.pdf</v>
      </c>
      <c r="N630" s="118" t="str">
        <f>IFERROR(INDEX('Docketed Comments'!N:N,MATCH(A630,'Docketed Comments'!H:H,0)),"")</f>
        <v>No</v>
      </c>
      <c r="O630" s="118" t="str">
        <f>IFERROR(INDEX('Docketed Comments'!L:L,MATCH(A630,'Docketed Comments'!H:H,0)),"")</f>
        <v>Yes</v>
      </c>
      <c r="P630" s="119">
        <f t="shared" si="18"/>
        <v>0</v>
      </c>
      <c r="Q630" s="60"/>
      <c r="R630" s="64" t="s">
        <v>75</v>
      </c>
      <c r="S630" s="64" t="s">
        <v>1373</v>
      </c>
    </row>
    <row r="631" spans="1:19" ht="21.95" customHeight="1">
      <c r="A631" s="66" t="s">
        <v>1374</v>
      </c>
      <c r="B631" s="64"/>
      <c r="C631" s="65"/>
      <c r="D631" s="64"/>
      <c r="E631" s="64"/>
      <c r="F631" s="60"/>
      <c r="G631" s="60" t="s">
        <v>88</v>
      </c>
      <c r="H631" s="60" t="str">
        <f>IFERROR(INDEX('Docketed Comments'!C:C,MATCH(A631,'Docketed Comments'!H:H,0))&amp;", "&amp;INDEX('Docketed Comments'!B:B,MATCH(A631,'Docketed Comments'!H:H,0)),"")</f>
        <v>Rohit, Reddy</v>
      </c>
      <c r="I631" s="60" t="str">
        <f>IFERROR(INDEX('Docketed Comments'!D:D,MATCH(A631,'Docketed Comments'!H:H,0)),"")</f>
        <v>Peoria</v>
      </c>
      <c r="J631" s="60" t="str">
        <f>IFERROR(INDEX('Docketed Comments'!I:I,MATCH(A631,'Docketed Comments'!H:H,0)),"")</f>
        <v>R-XS</v>
      </c>
      <c r="K631" s="60" t="str">
        <f t="shared" si="19"/>
        <v>✅ On Best Plan</v>
      </c>
      <c r="L631" s="60" t="str">
        <f>IFERROR(INDEX('Docketed Comments'!F:F,MATCH(A631,'Docketed Comments'!H:H,0)),"")</f>
        <v>Cannot afford</v>
      </c>
      <c r="M631" s="120" t="str">
        <f>IFERROR(INDEX('Docketed Comments'!G:G,MATCH(A631,'Docketed Comments'!H:H,0)),"")</f>
        <v>https://docket.images.azcc.gov/E000046266.pdf</v>
      </c>
      <c r="N631" s="118" t="str">
        <f>IFERROR(INDEX('Docketed Comments'!N:N,MATCH(A631,'Docketed Comments'!H:H,0)),"")</f>
        <v>No</v>
      </c>
      <c r="O631" s="118" t="str">
        <f>IFERROR(INDEX('Docketed Comments'!L:L,MATCH(A631,'Docketed Comments'!H:H,0)),"")</f>
        <v>Yes</v>
      </c>
      <c r="P631" s="119">
        <f t="shared" si="18"/>
        <v>0</v>
      </c>
      <c r="Q631" s="60"/>
      <c r="R631" s="64" t="s">
        <v>75</v>
      </c>
      <c r="S631" s="64" t="s">
        <v>1375</v>
      </c>
    </row>
    <row r="632" spans="1:19" ht="21.95" customHeight="1">
      <c r="A632" s="66" t="s">
        <v>1376</v>
      </c>
      <c r="B632" s="64"/>
      <c r="C632" s="65"/>
      <c r="D632" s="64"/>
      <c r="E632" s="64"/>
      <c r="F632" s="60"/>
      <c r="G632" s="60" t="s">
        <v>88</v>
      </c>
      <c r="H632" s="60" t="str">
        <f>IFERROR(INDEX('Docketed Comments'!C:C,MATCH(A632,'Docketed Comments'!H:H,0))&amp;", "&amp;INDEX('Docketed Comments'!B:B,MATCH(A632,'Docketed Comments'!H:H,0)),"")</f>
        <v>Claire, Stout</v>
      </c>
      <c r="I632" s="60" t="str">
        <f>IFERROR(INDEX('Docketed Comments'!D:D,MATCH(A632,'Docketed Comments'!H:H,0)),"")</f>
        <v>Grand Canyon</v>
      </c>
      <c r="J632" s="60" t="str">
        <f>IFERROR(INDEX('Docketed Comments'!I:I,MATCH(A632,'Docketed Comments'!H:H,0)),"")</f>
        <v>R-XS</v>
      </c>
      <c r="K632" s="60" t="str">
        <f t="shared" si="19"/>
        <v>✅ On Best Plan</v>
      </c>
      <c r="L632" s="60" t="str">
        <f>IFERROR(INDEX('Docketed Comments'!F:F,MATCH(A632,'Docketed Comments'!H:H,0)),"")</f>
        <v>Form letter</v>
      </c>
      <c r="M632" s="120" t="str">
        <f>IFERROR(INDEX('Docketed Comments'!G:G,MATCH(A632,'Docketed Comments'!H:H,0)),"")</f>
        <v>https://docket.images.azcc.gov/E000046266.pdf</v>
      </c>
      <c r="N632" s="118" t="str">
        <f>IFERROR(INDEX('Docketed Comments'!N:N,MATCH(A632,'Docketed Comments'!H:H,0)),"")</f>
        <v>No</v>
      </c>
      <c r="O632" s="118" t="str">
        <f>IFERROR(INDEX('Docketed Comments'!L:L,MATCH(A632,'Docketed Comments'!H:H,0)),"")</f>
        <v>Yes</v>
      </c>
      <c r="P632" s="119">
        <f t="shared" si="18"/>
        <v>0</v>
      </c>
      <c r="Q632" s="60"/>
      <c r="R632" s="64" t="s">
        <v>75</v>
      </c>
      <c r="S632" s="64" t="s">
        <v>1377</v>
      </c>
    </row>
    <row r="633" spans="1:19" ht="21.95" customHeight="1">
      <c r="A633" s="66" t="s">
        <v>1378</v>
      </c>
      <c r="B633" s="64"/>
      <c r="C633" s="65"/>
      <c r="D633" s="64"/>
      <c r="E633" s="64"/>
      <c r="F633" s="60"/>
      <c r="G633" s="60" t="s">
        <v>88</v>
      </c>
      <c r="H633" s="60" t="str">
        <f>IFERROR(INDEX('Docketed Comments'!C:C,MATCH(A633,'Docketed Comments'!H:H,0))&amp;", "&amp;INDEX('Docketed Comments'!B:B,MATCH(A633,'Docketed Comments'!H:H,0)),"")</f>
        <v>Andrew, Lenick</v>
      </c>
      <c r="I633" s="60" t="str">
        <f>IFERROR(INDEX('Docketed Comments'!D:D,MATCH(A633,'Docketed Comments'!H:H,0)),"")</f>
        <v>Phoenix</v>
      </c>
      <c r="J633" s="60" t="str">
        <f>IFERROR(INDEX('Docketed Comments'!I:I,MATCH(A633,'Docketed Comments'!H:H,0)),"")</f>
        <v>R-2</v>
      </c>
      <c r="K633" s="60" t="str">
        <f t="shared" si="19"/>
        <v>⚠ Frozen Rate</v>
      </c>
      <c r="L633" s="60" t="str">
        <f>IFERROR(INDEX('Docketed Comments'!F:F,MATCH(A633,'Docketed Comments'!H:H,0)),"")</f>
        <v>Form letter</v>
      </c>
      <c r="M633" s="120" t="str">
        <f>IFERROR(INDEX('Docketed Comments'!G:G,MATCH(A633,'Docketed Comments'!H:H,0)),"")</f>
        <v>https://docket.images.azcc.gov/E000046266.pdf</v>
      </c>
      <c r="N633" s="118" t="str">
        <f>IFERROR(INDEX('Docketed Comments'!N:N,MATCH(A633,'Docketed Comments'!H:H,0)),"")</f>
        <v>No</v>
      </c>
      <c r="O633" s="118" t="str">
        <f>IFERROR(INDEX('Docketed Comments'!L:L,MATCH(A633,'Docketed Comments'!H:H,0)),"")</f>
        <v>Frozen Rate</v>
      </c>
      <c r="P633" s="119">
        <f t="shared" si="18"/>
        <v>0</v>
      </c>
      <c r="Q633" s="60"/>
      <c r="R633" s="64" t="s">
        <v>75</v>
      </c>
      <c r="S633" s="64" t="s">
        <v>1379</v>
      </c>
    </row>
    <row r="634" spans="1:19" ht="21.95" customHeight="1">
      <c r="A634" s="66" t="s">
        <v>1380</v>
      </c>
      <c r="B634" s="64"/>
      <c r="C634" s="65"/>
      <c r="D634" s="64"/>
      <c r="E634" s="64"/>
      <c r="F634" s="60"/>
      <c r="G634" s="60" t="s">
        <v>88</v>
      </c>
      <c r="H634" s="60" t="str">
        <f>IFERROR(INDEX('Docketed Comments'!C:C,MATCH(A634,'Docketed Comments'!H:H,0))&amp;", "&amp;INDEX('Docketed Comments'!B:B,MATCH(A634,'Docketed Comments'!H:H,0)),"")</f>
        <v>Derek, Campbell</v>
      </c>
      <c r="I634" s="60" t="str">
        <f>IFERROR(INDEX('Docketed Comments'!D:D,MATCH(A634,'Docketed Comments'!H:H,0)),"")</f>
        <v>Phoenix</v>
      </c>
      <c r="J634" s="60" t="str">
        <f>IFERROR(INDEX('Docketed Comments'!I:I,MATCH(A634,'Docketed Comments'!H:H,0)),"")</f>
        <v>R-BASIC</v>
      </c>
      <c r="K634" s="60" t="str">
        <f t="shared" si="19"/>
        <v>✅ On Best Plan</v>
      </c>
      <c r="L634" s="60" t="str">
        <f>IFERROR(INDEX('Docketed Comments'!F:F,MATCH(A634,'Docketed Comments'!H:H,0)),"")</f>
        <v>Form letter</v>
      </c>
      <c r="M634" s="120" t="str">
        <f>IFERROR(INDEX('Docketed Comments'!G:G,MATCH(A634,'Docketed Comments'!H:H,0)),"")</f>
        <v>https://docket.images.azcc.gov/E000046266.pdf</v>
      </c>
      <c r="N634" s="118" t="str">
        <f>IFERROR(INDEX('Docketed Comments'!N:N,MATCH(A634,'Docketed Comments'!H:H,0)),"")</f>
        <v>No</v>
      </c>
      <c r="O634" s="118" t="str">
        <f>IFERROR(INDEX('Docketed Comments'!L:L,MATCH(A634,'Docketed Comments'!H:H,0)),"")</f>
        <v>Yes</v>
      </c>
      <c r="P634" s="119">
        <f t="shared" si="18"/>
        <v>0</v>
      </c>
      <c r="Q634" s="60"/>
      <c r="R634" s="64" t="s">
        <v>75</v>
      </c>
      <c r="S634" s="64" t="s">
        <v>1381</v>
      </c>
    </row>
    <row r="635" spans="1:19" ht="21.95" customHeight="1">
      <c r="A635" s="66" t="s">
        <v>1382</v>
      </c>
      <c r="B635" s="64"/>
      <c r="C635" s="65"/>
      <c r="D635" s="64"/>
      <c r="E635" s="64"/>
      <c r="F635" s="60"/>
      <c r="G635" s="60" t="s">
        <v>88</v>
      </c>
      <c r="H635" s="60" t="str">
        <f>IFERROR(INDEX('Docketed Comments'!C:C,MATCH(A635,'Docketed Comments'!H:H,0))&amp;", "&amp;INDEX('Docketed Comments'!B:B,MATCH(A635,'Docketed Comments'!H:H,0)),"")</f>
        <v>Jackson, Reynolds</v>
      </c>
      <c r="I635" s="60" t="str">
        <f>IFERROR(INDEX('Docketed Comments'!D:D,MATCH(A635,'Docketed Comments'!H:H,0)),"")</f>
        <v>Phoenix</v>
      </c>
      <c r="J635" s="60" t="str">
        <f>IFERROR(INDEX('Docketed Comments'!I:I,MATCH(A635,'Docketed Comments'!H:H,0)),"")</f>
        <v>R-BASIC</v>
      </c>
      <c r="K635" s="60" t="str">
        <f t="shared" si="19"/>
        <v>✅ On Best Plan</v>
      </c>
      <c r="L635" s="60" t="str">
        <f>IFERROR(INDEX('Docketed Comments'!F:F,MATCH(A635,'Docketed Comments'!H:H,0)),"")</f>
        <v>Opposed</v>
      </c>
      <c r="M635" s="120" t="str">
        <f>IFERROR(INDEX('Docketed Comments'!G:G,MATCH(A635,'Docketed Comments'!H:H,0)),"")</f>
        <v>https://docket.images.azcc.gov/E000046266.pdf</v>
      </c>
      <c r="N635" s="118" t="str">
        <f>IFERROR(INDEX('Docketed Comments'!N:N,MATCH(A635,'Docketed Comments'!H:H,0)),"")</f>
        <v>No</v>
      </c>
      <c r="O635" s="118" t="str">
        <f>IFERROR(INDEX('Docketed Comments'!L:L,MATCH(A635,'Docketed Comments'!H:H,0)),"")</f>
        <v>Yes</v>
      </c>
      <c r="P635" s="119">
        <f t="shared" si="18"/>
        <v>0</v>
      </c>
      <c r="Q635" s="60"/>
      <c r="R635" s="64" t="s">
        <v>75</v>
      </c>
      <c r="S635" s="64" t="s">
        <v>1383</v>
      </c>
    </row>
    <row r="636" spans="1:19" ht="21.95" customHeight="1">
      <c r="A636" s="66" t="s">
        <v>1384</v>
      </c>
      <c r="B636" s="64"/>
      <c r="C636" s="65"/>
      <c r="D636" s="64"/>
      <c r="E636" s="64"/>
      <c r="F636" s="60"/>
      <c r="G636" s="60" t="s">
        <v>88</v>
      </c>
      <c r="H636" s="60" t="str">
        <f>IFERROR(INDEX('Docketed Comments'!C:C,MATCH(A636,'Docketed Comments'!H:H,0))&amp;", "&amp;INDEX('Docketed Comments'!B:B,MATCH(A636,'Docketed Comments'!H:H,0)),"")</f>
        <v>Jan , DeBay</v>
      </c>
      <c r="I636" s="60" t="str">
        <f>IFERROR(INDEX('Docketed Comments'!D:D,MATCH(A636,'Docketed Comments'!H:H,0)),"")</f>
        <v>Unknown</v>
      </c>
      <c r="J636" s="60" t="str">
        <f>IFERROR(INDEX('Docketed Comments'!I:I,MATCH(A636,'Docketed Comments'!H:H,0)),"")</f>
        <v>R3-47</v>
      </c>
      <c r="K636" s="60" t="str">
        <f t="shared" si="19"/>
        <v>✅ On Best Plan</v>
      </c>
      <c r="L636" s="60" t="str">
        <f>IFERROR(INDEX('Docketed Comments'!F:F,MATCH(A636,'Docketed Comments'!H:H,0)),"")</f>
        <v>already very high</v>
      </c>
      <c r="M636" s="120" t="str">
        <f>IFERROR(INDEX('Docketed Comments'!G:G,MATCH(A636,'Docketed Comments'!H:H,0)),"")</f>
        <v>https://docket.images.azcc.gov/E000046266.pdf</v>
      </c>
      <c r="N636" s="118" t="str">
        <f>IFERROR(INDEX('Docketed Comments'!N:N,MATCH(A636,'Docketed Comments'!H:H,0)),"")</f>
        <v>No</v>
      </c>
      <c r="O636" s="118" t="str">
        <f>IFERROR(INDEX('Docketed Comments'!L:L,MATCH(A636,'Docketed Comments'!H:H,0)),"")</f>
        <v>Yes</v>
      </c>
      <c r="P636" s="119">
        <f t="shared" si="18"/>
        <v>0</v>
      </c>
      <c r="Q636" s="60"/>
      <c r="R636" s="64" t="s">
        <v>75</v>
      </c>
      <c r="S636" s="64" t="s">
        <v>1385</v>
      </c>
    </row>
    <row r="637" spans="1:19" ht="21.95" customHeight="1">
      <c r="A637" s="66" t="s">
        <v>1386</v>
      </c>
      <c r="B637" s="64"/>
      <c r="C637" s="65"/>
      <c r="D637" s="64"/>
      <c r="E637" s="64"/>
      <c r="F637" s="60"/>
      <c r="G637" s="60" t="s">
        <v>88</v>
      </c>
      <c r="H637" s="60" t="str">
        <f>IFERROR(INDEX('Docketed Comments'!C:C,MATCH(A637,'Docketed Comments'!H:H,0))&amp;", "&amp;INDEX('Docketed Comments'!B:B,MATCH(A637,'Docketed Comments'!H:H,0)),"")</f>
        <v>Luca, Traverso</v>
      </c>
      <c r="I637" s="60" t="str">
        <f>IFERROR(INDEX('Docketed Comments'!D:D,MATCH(A637,'Docketed Comments'!H:H,0)),"")</f>
        <v>Phoenix</v>
      </c>
      <c r="J637" s="60" t="str">
        <f>IFERROR(INDEX('Docketed Comments'!I:I,MATCH(A637,'Docketed Comments'!H:H,0)),"")</f>
        <v>RTOUE47</v>
      </c>
      <c r="K637" s="60" t="str">
        <f t="shared" si="19"/>
        <v>✅ On Best Plan</v>
      </c>
      <c r="L637" s="60" t="str">
        <f>IFERROR(INDEX('Docketed Comments'!F:F,MATCH(A637,'Docketed Comments'!H:H,0)),"")</f>
        <v>Opposed</v>
      </c>
      <c r="M637" s="120" t="str">
        <f>IFERROR(INDEX('Docketed Comments'!G:G,MATCH(A637,'Docketed Comments'!H:H,0)),"")</f>
        <v>https://docket.images.azcc.gov/E000046266.pdf</v>
      </c>
      <c r="N637" s="118" t="str">
        <f>IFERROR(INDEX('Docketed Comments'!N:N,MATCH(A637,'Docketed Comments'!H:H,0)),"")</f>
        <v>No</v>
      </c>
      <c r="O637" s="118" t="str">
        <f>IFERROR(INDEX('Docketed Comments'!L:L,MATCH(A637,'Docketed Comments'!H:H,0)),"")</f>
        <v>Yes</v>
      </c>
      <c r="P637" s="119">
        <f t="shared" si="18"/>
        <v>0</v>
      </c>
      <c r="Q637" s="60"/>
      <c r="R637" s="64" t="s">
        <v>75</v>
      </c>
      <c r="S637" s="64" t="s">
        <v>1387</v>
      </c>
    </row>
    <row r="638" spans="1:19" ht="21.95" customHeight="1">
      <c r="A638" s="66" t="s">
        <v>1388</v>
      </c>
      <c r="B638" s="64"/>
      <c r="C638" s="65"/>
      <c r="D638" s="64"/>
      <c r="E638" s="64"/>
      <c r="F638" s="60"/>
      <c r="G638" s="60" t="s">
        <v>88</v>
      </c>
      <c r="H638" s="60" t="str">
        <f>IFERROR(INDEX('Docketed Comments'!C:C,MATCH(A638,'Docketed Comments'!H:H,0))&amp;", "&amp;INDEX('Docketed Comments'!B:B,MATCH(A638,'Docketed Comments'!H:H,0)),"")</f>
        <v>Ralph, Reed</v>
      </c>
      <c r="I638" s="60" t="str">
        <f>IFERROR(INDEX('Docketed Comments'!D:D,MATCH(A638,'Docketed Comments'!H:H,0)),"")</f>
        <v>Unknown</v>
      </c>
      <c r="J638" s="60" t="str">
        <f>IFERROR(INDEX('Docketed Comments'!I:I,MATCH(A638,'Docketed Comments'!H:H,0)),"")</f>
        <v>EPR-6w/ET-2</v>
      </c>
      <c r="K638" s="60" t="str">
        <f t="shared" si="19"/>
        <v>⚠ Frozen Rate</v>
      </c>
      <c r="L638" s="60" t="str">
        <f>IFERROR(INDEX('Docketed Comments'!F:F,MATCH(A638,'Docketed Comments'!H:H,0)),"")</f>
        <v>Retired, fixed income</v>
      </c>
      <c r="M638" s="120" t="str">
        <f>IFERROR(INDEX('Docketed Comments'!G:G,MATCH(A638,'Docketed Comments'!H:H,0)),"")</f>
        <v>https://docket.images.azcc.gov/E000046266.pdf</v>
      </c>
      <c r="N638" s="118" t="str">
        <f>IFERROR(INDEX('Docketed Comments'!N:N,MATCH(A638,'Docketed Comments'!H:H,0)),"")</f>
        <v>No</v>
      </c>
      <c r="O638" s="118" t="str">
        <f>IFERROR(INDEX('Docketed Comments'!L:L,MATCH(A638,'Docketed Comments'!H:H,0)),"")</f>
        <v>Frozen Rate</v>
      </c>
      <c r="P638" s="119">
        <f t="shared" si="18"/>
        <v>0</v>
      </c>
      <c r="Q638" s="60"/>
      <c r="R638" s="64" t="s">
        <v>75</v>
      </c>
      <c r="S638" s="64" t="s">
        <v>1389</v>
      </c>
    </row>
    <row r="639" spans="1:19" ht="21.95" customHeight="1">
      <c r="A639" s="66" t="s">
        <v>1390</v>
      </c>
      <c r="B639" s="64"/>
      <c r="C639" s="65"/>
      <c r="D639" s="64"/>
      <c r="E639" s="64"/>
      <c r="F639" s="60"/>
      <c r="G639" s="60" t="s">
        <v>88</v>
      </c>
      <c r="H639" s="60" t="str">
        <f>IFERROR(INDEX('Docketed Comments'!C:C,MATCH(A639,'Docketed Comments'!H:H,0))&amp;", "&amp;INDEX('Docketed Comments'!B:B,MATCH(A639,'Docketed Comments'!H:H,0)),"")</f>
        <v>Yvette, Stumpf</v>
      </c>
      <c r="I639" s="60" t="str">
        <f>IFERROR(INDEX('Docketed Comments'!D:D,MATCH(A639,'Docketed Comments'!H:H,0)),"")</f>
        <v>Phoenix</v>
      </c>
      <c r="J639" s="60" t="str">
        <f>IFERROR(INDEX('Docketed Comments'!I:I,MATCH(A639,'Docketed Comments'!H:H,0)),"")</f>
        <v>RCPw/R3-47</v>
      </c>
      <c r="K639" s="60" t="str">
        <f t="shared" si="19"/>
        <v>✅ On Best Plan</v>
      </c>
      <c r="L639" s="60" t="str">
        <f>IFERROR(INDEX('Docketed Comments'!F:F,MATCH(A639,'Docketed Comments'!H:H,0)),"")</f>
        <v>Opposed</v>
      </c>
      <c r="M639" s="120" t="str">
        <f>IFERROR(INDEX('Docketed Comments'!G:G,MATCH(A639,'Docketed Comments'!H:H,0)),"")</f>
        <v>https://docket.images.azcc.gov/E000046266.pdf</v>
      </c>
      <c r="N639" s="118" t="str">
        <f>IFERROR(INDEX('Docketed Comments'!N:N,MATCH(A639,'Docketed Comments'!H:H,0)),"")</f>
        <v>No</v>
      </c>
      <c r="O639" s="118" t="str">
        <f>IFERROR(INDEX('Docketed Comments'!L:L,MATCH(A639,'Docketed Comments'!H:H,0)),"")</f>
        <v>Y</v>
      </c>
      <c r="P639" s="119">
        <f t="shared" si="18"/>
        <v>0</v>
      </c>
      <c r="Q639" s="60"/>
      <c r="R639" s="64" t="s">
        <v>75</v>
      </c>
      <c r="S639" s="64" t="s">
        <v>1391</v>
      </c>
    </row>
    <row r="640" spans="1:19" ht="21.95" customHeight="1">
      <c r="A640" s="66" t="s">
        <v>1392</v>
      </c>
      <c r="B640" s="64"/>
      <c r="C640" s="65"/>
      <c r="D640" s="64"/>
      <c r="E640" s="64"/>
      <c r="F640" s="60"/>
      <c r="G640" s="60" t="s">
        <v>88</v>
      </c>
      <c r="H640" s="60" t="str">
        <f>IFERROR(INDEX('Docketed Comments'!C:C,MATCH(A640,'Docketed Comments'!H:H,0))&amp;", "&amp;INDEX('Docketed Comments'!B:B,MATCH(A640,'Docketed Comments'!H:H,0)),"")</f>
        <v>Carrie, Funke</v>
      </c>
      <c r="I640" s="60" t="str">
        <f>IFERROR(INDEX('Docketed Comments'!D:D,MATCH(A640,'Docketed Comments'!H:H,0)),"")</f>
        <v>Phoenix</v>
      </c>
      <c r="J640" s="60" t="str">
        <f>IFERROR(INDEX('Docketed Comments'!I:I,MATCH(A640,'Docketed Comments'!H:H,0)),"")</f>
        <v>R3-47</v>
      </c>
      <c r="K640" s="60" t="str">
        <f t="shared" si="19"/>
        <v>✅ On Best Plan</v>
      </c>
      <c r="L640" s="60" t="str">
        <f>IFERROR(INDEX('Docketed Comments'!F:F,MATCH(A640,'Docketed Comments'!H:H,0)),"")</f>
        <v>Opposed</v>
      </c>
      <c r="M640" s="120" t="str">
        <f>IFERROR(INDEX('Docketed Comments'!G:G,MATCH(A640,'Docketed Comments'!H:H,0)),"")</f>
        <v>https://docket.images.azcc.gov/E000046266.pdf</v>
      </c>
      <c r="N640" s="118" t="str">
        <f>IFERROR(INDEX('Docketed Comments'!N:N,MATCH(A640,'Docketed Comments'!H:H,0)),"")</f>
        <v>No</v>
      </c>
      <c r="O640" s="118" t="str">
        <f>IFERROR(INDEX('Docketed Comments'!L:L,MATCH(A640,'Docketed Comments'!H:H,0)),"")</f>
        <v>Y</v>
      </c>
      <c r="P640" s="119">
        <f t="shared" si="18"/>
        <v>0</v>
      </c>
      <c r="Q640" s="60"/>
      <c r="R640" s="64" t="s">
        <v>75</v>
      </c>
      <c r="S640" s="64" t="s">
        <v>1393</v>
      </c>
    </row>
    <row r="641" spans="1:19" ht="21.95" customHeight="1">
      <c r="A641" s="66" t="s">
        <v>1394</v>
      </c>
      <c r="B641" s="64"/>
      <c r="C641" s="65"/>
      <c r="D641" s="64"/>
      <c r="E641" s="64"/>
      <c r="F641" s="60"/>
      <c r="G641" s="60" t="s">
        <v>88</v>
      </c>
      <c r="H641" s="60" t="str">
        <f>IFERROR(INDEX('Docketed Comments'!C:C,MATCH(A641,'Docketed Comments'!H:H,0))&amp;", "&amp;INDEX('Docketed Comments'!B:B,MATCH(A641,'Docketed Comments'!H:H,0)),"")</f>
        <v>Sherry, Kriechbaum</v>
      </c>
      <c r="I641" s="60" t="str">
        <f>IFERROR(INDEX('Docketed Comments'!D:D,MATCH(A641,'Docketed Comments'!H:H,0)),"")</f>
        <v>Scottsdale</v>
      </c>
      <c r="J641" s="60" t="str">
        <f>IFERROR(INDEX('Docketed Comments'!I:I,MATCH(A641,'Docketed Comments'!H:H,0)),"")</f>
        <v>R3-47</v>
      </c>
      <c r="K641" s="60" t="str">
        <f t="shared" si="19"/>
        <v>✅ On Best Plan</v>
      </c>
      <c r="L641" s="60" t="str">
        <f>IFERROR(INDEX('Docketed Comments'!F:F,MATCH(A641,'Docketed Comments'!H:H,0)),"")</f>
        <v>Opposed</v>
      </c>
      <c r="M641" s="120" t="str">
        <f>IFERROR(INDEX('Docketed Comments'!G:G,MATCH(A641,'Docketed Comments'!H:H,0)),"")</f>
        <v>https://docket.images.azcc.gov/E000046266.pdf</v>
      </c>
      <c r="N641" s="118" t="str">
        <f>IFERROR(INDEX('Docketed Comments'!N:N,MATCH(A641,'Docketed Comments'!H:H,0)),"")</f>
        <v>No</v>
      </c>
      <c r="O641" s="118" t="str">
        <f>IFERROR(INDEX('Docketed Comments'!L:L,MATCH(A641,'Docketed Comments'!H:H,0)),"")</f>
        <v>Y</v>
      </c>
      <c r="P641" s="119">
        <f t="shared" si="18"/>
        <v>0</v>
      </c>
      <c r="Q641" s="60"/>
      <c r="R641" s="64" t="s">
        <v>75</v>
      </c>
      <c r="S641" s="64" t="s">
        <v>1395</v>
      </c>
    </row>
    <row r="642" spans="1:19" ht="21.95" customHeight="1">
      <c r="A642" s="66" t="s">
        <v>1396</v>
      </c>
      <c r="B642" s="64"/>
      <c r="C642" s="65"/>
      <c r="D642" s="64"/>
      <c r="E642" s="64"/>
      <c r="F642" s="60"/>
      <c r="G642" s="60" t="s">
        <v>88</v>
      </c>
      <c r="H642" s="60" t="str">
        <f>IFERROR(INDEX('Docketed Comments'!C:C,MATCH(A642,'Docketed Comments'!H:H,0))&amp;", "&amp;INDEX('Docketed Comments'!B:B,MATCH(A642,'Docketed Comments'!H:H,0)),"")</f>
        <v>Julia, Boardman</v>
      </c>
      <c r="I642" s="60" t="str">
        <f>IFERROR(INDEX('Docketed Comments'!D:D,MATCH(A642,'Docketed Comments'!H:H,0)),"")</f>
        <v>Phoenix</v>
      </c>
      <c r="J642" s="60" t="str">
        <f>IFERROR(INDEX('Docketed Comments'!I:I,MATCH(A642,'Docketed Comments'!H:H,0)),"")</f>
        <v>R-BASIC</v>
      </c>
      <c r="K642" s="60" t="str">
        <f t="shared" si="19"/>
        <v>✅ On Best Plan</v>
      </c>
      <c r="L642" s="60" t="str">
        <f>IFERROR(INDEX('Docketed Comments'!F:F,MATCH(A642,'Docketed Comments'!H:H,0)),"")</f>
        <v>Form letter</v>
      </c>
      <c r="M642" s="120" t="str">
        <f>IFERROR(INDEX('Docketed Comments'!G:G,MATCH(A642,'Docketed Comments'!H:H,0)),"")</f>
        <v>https://docket.images.azcc.gov/E000046269.pdf</v>
      </c>
      <c r="N642" s="118" t="str">
        <f>IFERROR(INDEX('Docketed Comments'!N:N,MATCH(A642,'Docketed Comments'!H:H,0)),"")</f>
        <v>No</v>
      </c>
      <c r="O642" s="118" t="str">
        <f>IFERROR(INDEX('Docketed Comments'!L:L,MATCH(A642,'Docketed Comments'!H:H,0)),"")</f>
        <v>Y</v>
      </c>
      <c r="P642" s="119">
        <f t="shared" ref="P642:P705" si="20">IFERROR(IF(ISNUMBER(SEARCH("$",O642)),VALUE(SUBSTITUTE(SUBSTITUTE(MID(O642,FIND("$",O642)+1,FIND(")",O642)-FIND("$",O642)-1),",","")," ","")),VALUE(SUBSTITUTE(SUBSTITUTE(MID(O642,FIND("(",O642)+1,FIND(")",O642)-FIND("(",O642)-1),",","")," ",""))),0)</f>
        <v>0</v>
      </c>
      <c r="Q642" s="60"/>
      <c r="R642" s="64" t="s">
        <v>75</v>
      </c>
      <c r="S642" s="64" t="s">
        <v>1397</v>
      </c>
    </row>
    <row r="643" spans="1:19" ht="21.95" customHeight="1">
      <c r="A643" s="66" t="s">
        <v>1398</v>
      </c>
      <c r="B643" s="64"/>
      <c r="C643" s="65"/>
      <c r="D643" s="64"/>
      <c r="E643" s="64"/>
      <c r="F643" s="60"/>
      <c r="G643" s="60" t="s">
        <v>88</v>
      </c>
      <c r="H643" s="60" t="str">
        <f>IFERROR(INDEX('Docketed Comments'!C:C,MATCH(A643,'Docketed Comments'!H:H,0))&amp;", "&amp;INDEX('Docketed Comments'!B:B,MATCH(A643,'Docketed Comments'!H:H,0)),"")</f>
        <v>Krishna, Dara</v>
      </c>
      <c r="I643" s="60" t="str">
        <f>IFERROR(INDEX('Docketed Comments'!D:D,MATCH(A643,'Docketed Comments'!H:H,0)),"")</f>
        <v>Peoria</v>
      </c>
      <c r="J643" s="60" t="str">
        <f>IFERROR(INDEX('Docketed Comments'!I:I,MATCH(A643,'Docketed Comments'!H:H,0)),"")</f>
        <v>RCPw/R-2</v>
      </c>
      <c r="K643" s="60" t="str">
        <f t="shared" ref="K643:K706" si="21">IFERROR(IF(OR(LEFT(O643,2)="No",LEFT(O643,3)="Not"),"❌ Not on Best Plan",IF(OR(O643="Yes",O643="Y",O643="Yes "),"✅ On Best Plan","⚠ "&amp;O643)),"")</f>
        <v>⚠ Frozen Rate</v>
      </c>
      <c r="L643" s="60" t="str">
        <f>IFERROR(INDEX('Docketed Comments'!F:F,MATCH(A643,'Docketed Comments'!H:H,0)),"")</f>
        <v>Already getting difficult to pay the bill</v>
      </c>
      <c r="M643" s="120" t="str">
        <f>IFERROR(INDEX('Docketed Comments'!G:G,MATCH(A643,'Docketed Comments'!H:H,0)),"")</f>
        <v>https://docket.images.azcc.gov/E000046269.pdf</v>
      </c>
      <c r="N643" s="118" t="str">
        <f>IFERROR(INDEX('Docketed Comments'!N:N,MATCH(A643,'Docketed Comments'!H:H,0)),"")</f>
        <v>No</v>
      </c>
      <c r="O643" s="118" t="str">
        <f>IFERROR(INDEX('Docketed Comments'!L:L,MATCH(A643,'Docketed Comments'!H:H,0)),"")</f>
        <v>Frozen Rate</v>
      </c>
      <c r="P643" s="119">
        <f t="shared" si="20"/>
        <v>0</v>
      </c>
      <c r="Q643" s="60"/>
      <c r="R643" s="64" t="s">
        <v>75</v>
      </c>
      <c r="S643" s="64" t="s">
        <v>1399</v>
      </c>
    </row>
    <row r="644" spans="1:19" ht="21.95" customHeight="1">
      <c r="A644" s="66" t="s">
        <v>1400</v>
      </c>
      <c r="B644" s="64"/>
      <c r="C644" s="65"/>
      <c r="D644" s="64"/>
      <c r="E644" s="64"/>
      <c r="F644" s="60"/>
      <c r="G644" s="60" t="s">
        <v>88</v>
      </c>
      <c r="H644" s="60" t="str">
        <f>IFERROR(INDEX('Docketed Comments'!C:C,MATCH(A644,'Docketed Comments'!H:H,0))&amp;", "&amp;INDEX('Docketed Comments'!B:B,MATCH(A644,'Docketed Comments'!H:H,0)),"")</f>
        <v>Gregory, Johnson</v>
      </c>
      <c r="I644" s="60" t="str">
        <f>IFERROR(INDEX('Docketed Comments'!D:D,MATCH(A644,'Docketed Comments'!H:H,0)),"")</f>
        <v>Surprise</v>
      </c>
      <c r="J644" s="60" t="str">
        <f>IFERROR(INDEX('Docketed Comments'!I:I,MATCH(A644,'Docketed Comments'!H:H,0)),"")</f>
        <v>R3-47</v>
      </c>
      <c r="K644" s="60" t="str">
        <f t="shared" si="21"/>
        <v>✅ On Best Plan</v>
      </c>
      <c r="L644" s="60" t="str">
        <f>IFERROR(INDEX('Docketed Comments'!F:F,MATCH(A644,'Docketed Comments'!H:H,0)),"")</f>
        <v>Form letter</v>
      </c>
      <c r="M644" s="120" t="str">
        <f>IFERROR(INDEX('Docketed Comments'!G:G,MATCH(A644,'Docketed Comments'!H:H,0)),"")</f>
        <v>https://docket.images.azcc.gov/E000046269.pdf</v>
      </c>
      <c r="N644" s="118" t="str">
        <f>IFERROR(INDEX('Docketed Comments'!N:N,MATCH(A644,'Docketed Comments'!H:H,0)),"")</f>
        <v>No</v>
      </c>
      <c r="O644" s="118" t="str">
        <f>IFERROR(INDEX('Docketed Comments'!L:L,MATCH(A644,'Docketed Comments'!H:H,0)),"")</f>
        <v>Y</v>
      </c>
      <c r="P644" s="119">
        <f t="shared" si="20"/>
        <v>0</v>
      </c>
      <c r="Q644" s="60"/>
      <c r="R644" s="64" t="s">
        <v>75</v>
      </c>
      <c r="S644" s="64" t="s">
        <v>1401</v>
      </c>
    </row>
    <row r="645" spans="1:19" ht="21.95" hidden="1" customHeight="1">
      <c r="A645" s="66" t="s">
        <v>1402</v>
      </c>
      <c r="B645" s="64" t="s">
        <v>31</v>
      </c>
      <c r="C645" s="65">
        <v>46081</v>
      </c>
      <c r="D645" s="64" t="s">
        <v>27</v>
      </c>
      <c r="E645" s="64" t="s">
        <v>35</v>
      </c>
      <c r="F645" s="60" t="s">
        <v>1403</v>
      </c>
      <c r="G645" s="60"/>
      <c r="H645" s="60" t="str">
        <f>IFERROR(INDEX('Docketed Comments'!C:C,MATCH(A645,'Docketed Comments'!H:H,0))&amp;", "&amp;INDEX('Docketed Comments'!B:B,MATCH(A645,'Docketed Comments'!H:H,0)),"")</f>
        <v>Kaelyn, Sanders</v>
      </c>
      <c r="I645" s="60" t="str">
        <f>IFERROR(INDEX('Docketed Comments'!D:D,MATCH(A645,'Docketed Comments'!H:H,0)),"")</f>
        <v>Phoenix</v>
      </c>
      <c r="J645" s="60" t="str">
        <f>IFERROR(INDEX('Docketed Comments'!I:I,MATCH(A645,'Docketed Comments'!H:H,0)),"")</f>
        <v>R-XS</v>
      </c>
      <c r="K645" s="60" t="str">
        <f t="shared" si="21"/>
        <v>✅ On Best Plan</v>
      </c>
      <c r="L645" s="60" t="str">
        <f>IFERROR(INDEX('Docketed Comments'!F:F,MATCH(A645,'Docketed Comments'!H:H,0)),"")</f>
        <v>Form letter</v>
      </c>
      <c r="M645" s="120" t="str">
        <f>IFERROR(INDEX('Docketed Comments'!G:G,MATCH(A645,'Docketed Comments'!H:H,0)),"")</f>
        <v>https://docket.images.azcc.gov/E000046269.pdf</v>
      </c>
      <c r="N645" s="118" t="str">
        <f>IFERROR(INDEX('Docketed Comments'!N:N,MATCH(A645,'Docketed Comments'!H:H,0)),"")</f>
        <v>No</v>
      </c>
      <c r="O645" s="118" t="str">
        <f>IFERROR(INDEX('Docketed Comments'!L:L,MATCH(A645,'Docketed Comments'!H:H,0)),"")</f>
        <v>Y</v>
      </c>
      <c r="P645" s="119">
        <f t="shared" si="20"/>
        <v>0</v>
      </c>
      <c r="Q645" s="60" t="s">
        <v>23</v>
      </c>
      <c r="R645" s="64" t="s">
        <v>24</v>
      </c>
      <c r="S645" s="64" t="s">
        <v>1404</v>
      </c>
    </row>
    <row r="646" spans="1:19" ht="21.95" hidden="1" customHeight="1">
      <c r="A646" s="66" t="s">
        <v>1405</v>
      </c>
      <c r="B646" s="64" t="s">
        <v>31</v>
      </c>
      <c r="C646" s="65">
        <v>46081</v>
      </c>
      <c r="D646" s="64" t="s">
        <v>27</v>
      </c>
      <c r="E646" s="64" t="s">
        <v>35</v>
      </c>
      <c r="F646" s="60" t="s">
        <v>1403</v>
      </c>
      <c r="G646" s="60"/>
      <c r="H646" s="60" t="str">
        <f>IFERROR(INDEX('Docketed Comments'!C:C,MATCH(A646,'Docketed Comments'!H:H,0))&amp;", "&amp;INDEX('Docketed Comments'!B:B,MATCH(A646,'Docketed Comments'!H:H,0)),"")</f>
        <v>Vinayak, Kalikar</v>
      </c>
      <c r="I646" s="60" t="str">
        <f>IFERROR(INDEX('Docketed Comments'!D:D,MATCH(A646,'Docketed Comments'!H:H,0)),"")</f>
        <v>Peoria</v>
      </c>
      <c r="J646" s="60" t="str">
        <f>IFERROR(INDEX('Docketed Comments'!I:I,MATCH(A646,'Docketed Comments'!H:H,0)),"")</f>
        <v>R3-47</v>
      </c>
      <c r="K646" s="60" t="str">
        <f t="shared" si="21"/>
        <v>✅ On Best Plan</v>
      </c>
      <c r="L646" s="60" t="str">
        <f>IFERROR(INDEX('Docketed Comments'!F:F,MATCH(A646,'Docketed Comments'!H:H,0)),"")</f>
        <v>Form letter</v>
      </c>
      <c r="M646" s="120" t="str">
        <f>IFERROR(INDEX('Docketed Comments'!G:G,MATCH(A646,'Docketed Comments'!H:H,0)),"")</f>
        <v>https://docket.images.azcc.gov/E000046269.pdf</v>
      </c>
      <c r="N646" s="118" t="str">
        <f>IFERROR(INDEX('Docketed Comments'!N:N,MATCH(A646,'Docketed Comments'!H:H,0)),"")</f>
        <v>No</v>
      </c>
      <c r="O646" s="118" t="str">
        <f>IFERROR(INDEX('Docketed Comments'!L:L,MATCH(A646,'Docketed Comments'!H:H,0)),"")</f>
        <v>Y</v>
      </c>
      <c r="P646" s="119">
        <f t="shared" si="20"/>
        <v>0</v>
      </c>
      <c r="Q646" s="60" t="s">
        <v>23</v>
      </c>
      <c r="R646" s="64" t="s">
        <v>24</v>
      </c>
      <c r="S646" s="64" t="s">
        <v>1406</v>
      </c>
    </row>
    <row r="647" spans="1:19" ht="21.95" hidden="1" customHeight="1">
      <c r="A647" s="66" t="s">
        <v>1407</v>
      </c>
      <c r="B647" s="64" t="s">
        <v>31</v>
      </c>
      <c r="C647" s="65">
        <v>46081</v>
      </c>
      <c r="D647" s="64" t="s">
        <v>21</v>
      </c>
      <c r="E647" s="64" t="s">
        <v>22</v>
      </c>
      <c r="F647" s="60" t="s">
        <v>41</v>
      </c>
      <c r="G647" s="60"/>
      <c r="H647" s="60" t="str">
        <f>IFERROR(INDEX('Docketed Comments'!C:C,MATCH(A647,'Docketed Comments'!H:H,0))&amp;", "&amp;INDEX('Docketed Comments'!B:B,MATCH(A647,'Docketed Comments'!H:H,0)),"")</f>
        <v>Eldeen, Hudgins</v>
      </c>
      <c r="I647" s="60" t="str">
        <f>IFERROR(INDEX('Docketed Comments'!D:D,MATCH(A647,'Docketed Comments'!H:H,0)),"")</f>
        <v>El Mirage</v>
      </c>
      <c r="J647" s="60" t="str">
        <f>IFERROR(INDEX('Docketed Comments'!I:I,MATCH(A647,'Docketed Comments'!H:H,0)),"")</f>
        <v>RCPw/R-2</v>
      </c>
      <c r="K647" s="60" t="str">
        <f t="shared" si="21"/>
        <v>⚠ Frozen Rate</v>
      </c>
      <c r="L647" s="60" t="str">
        <f>IFERROR(INDEX('Docketed Comments'!F:F,MATCH(A647,'Docketed Comments'!H:H,0)),"")</f>
        <v>Opposed / submitted request to intervene</v>
      </c>
      <c r="M647" s="120" t="str">
        <f>IFERROR(INDEX('Docketed Comments'!G:G,MATCH(A647,'Docketed Comments'!H:H,0)),"")</f>
        <v>https://docket.images.azcc.gov/E000046269.pdf</v>
      </c>
      <c r="N647" s="118" t="str">
        <f>IFERROR(INDEX('Docketed Comments'!N:N,MATCH(A647,'Docketed Comments'!H:H,0)),"")</f>
        <v>No</v>
      </c>
      <c r="O647" s="118" t="str">
        <f>IFERROR(INDEX('Docketed Comments'!L:L,MATCH(A647,'Docketed Comments'!H:H,0)),"")</f>
        <v>Frozen Rate</v>
      </c>
      <c r="P647" s="119">
        <f t="shared" si="20"/>
        <v>0</v>
      </c>
      <c r="Q647" s="60" t="s">
        <v>23</v>
      </c>
      <c r="R647" s="64" t="s">
        <v>24</v>
      </c>
      <c r="S647" s="64" t="s">
        <v>1408</v>
      </c>
    </row>
    <row r="648" spans="1:19" ht="21.95" customHeight="1">
      <c r="A648" s="66" t="s">
        <v>1409</v>
      </c>
      <c r="B648" s="64"/>
      <c r="C648" s="65"/>
      <c r="D648" s="64"/>
      <c r="E648" s="64"/>
      <c r="F648" s="60"/>
      <c r="G648" s="60" t="s">
        <v>88</v>
      </c>
      <c r="H648" s="60" t="str">
        <f>IFERROR(INDEX('Docketed Comments'!C:C,MATCH(A648,'Docketed Comments'!H:H,0))&amp;", "&amp;INDEX('Docketed Comments'!B:B,MATCH(A648,'Docketed Comments'!H:H,0)),"")</f>
        <v>Justin, Burkes</v>
      </c>
      <c r="I648" s="60" t="str">
        <f>IFERROR(INDEX('Docketed Comments'!D:D,MATCH(A648,'Docketed Comments'!H:H,0)),"")</f>
        <v>Chandler</v>
      </c>
      <c r="J648" s="60" t="str">
        <f>IFERROR(INDEX('Docketed Comments'!I:I,MATCH(A648,'Docketed Comments'!H:H,0)),"")</f>
        <v>RCPw/RTOUE47</v>
      </c>
      <c r="K648" s="60" t="str">
        <f t="shared" si="21"/>
        <v>✅ On Best Plan</v>
      </c>
      <c r="L648" s="60" t="str">
        <f>IFERROR(INDEX('Docketed Comments'!F:F,MATCH(A648,'Docketed Comments'!H:H,0)),"")</f>
        <v>Form letter</v>
      </c>
      <c r="M648" s="120" t="str">
        <f>IFERROR(INDEX('Docketed Comments'!G:G,MATCH(A648,'Docketed Comments'!H:H,0)),"")</f>
        <v>https://docket.images.azcc.gov/E000046289.pdf</v>
      </c>
      <c r="N648" s="118" t="str">
        <f>IFERROR(INDEX('Docketed Comments'!N:N,MATCH(A648,'Docketed Comments'!H:H,0)),"")</f>
        <v>No</v>
      </c>
      <c r="O648" s="118" t="str">
        <f>IFERROR(INDEX('Docketed Comments'!L:L,MATCH(A648,'Docketed Comments'!H:H,0)),"")</f>
        <v>Y</v>
      </c>
      <c r="P648" s="119">
        <f t="shared" si="20"/>
        <v>0</v>
      </c>
      <c r="Q648" s="60"/>
      <c r="R648" s="64" t="s">
        <v>75</v>
      </c>
      <c r="S648" s="64" t="s">
        <v>1410</v>
      </c>
    </row>
    <row r="649" spans="1:19" ht="21.95" customHeight="1">
      <c r="A649" s="66" t="s">
        <v>1411</v>
      </c>
      <c r="B649" s="64"/>
      <c r="C649" s="65"/>
      <c r="D649" s="64"/>
      <c r="E649" s="64"/>
      <c r="F649" s="60"/>
      <c r="G649" s="60" t="s">
        <v>88</v>
      </c>
      <c r="H649" s="60" t="str">
        <f>IFERROR(INDEX('Docketed Comments'!C:C,MATCH(A649,'Docketed Comments'!H:H,0))&amp;", "&amp;INDEX('Docketed Comments'!B:B,MATCH(A649,'Docketed Comments'!H:H,0)),"")</f>
        <v>Hollie, Nelson</v>
      </c>
      <c r="I649" s="60" t="str">
        <f>IFERROR(INDEX('Docketed Comments'!D:D,MATCH(A649,'Docketed Comments'!H:H,0)),"")</f>
        <v>Phoenix</v>
      </c>
      <c r="J649" s="60" t="str">
        <f>IFERROR(INDEX('Docketed Comments'!I:I,MATCH(A649,'Docketed Comments'!H:H,0)),"")</f>
        <v>R3-47</v>
      </c>
      <c r="K649" s="60" t="str">
        <f t="shared" si="21"/>
        <v>✅ On Best Plan</v>
      </c>
      <c r="L649" s="60" t="str">
        <f>IFERROR(INDEX('Docketed Comments'!F:F,MATCH(A649,'Docketed Comments'!H:H,0)),"")</f>
        <v>Form letter</v>
      </c>
      <c r="M649" s="120" t="str">
        <f>IFERROR(INDEX('Docketed Comments'!G:G,MATCH(A649,'Docketed Comments'!H:H,0)),"")</f>
        <v>https://docket.images.azcc.gov/E000046289.pdf</v>
      </c>
      <c r="N649" s="118" t="str">
        <f>IFERROR(INDEX('Docketed Comments'!N:N,MATCH(A649,'Docketed Comments'!H:H,0)),"")</f>
        <v>No</v>
      </c>
      <c r="O649" s="118" t="str">
        <f>IFERROR(INDEX('Docketed Comments'!L:L,MATCH(A649,'Docketed Comments'!H:H,0)),"")</f>
        <v>Y</v>
      </c>
      <c r="P649" s="119">
        <f t="shared" si="20"/>
        <v>0</v>
      </c>
      <c r="Q649" s="60"/>
      <c r="R649" s="64" t="s">
        <v>75</v>
      </c>
      <c r="S649" s="64" t="s">
        <v>1412</v>
      </c>
    </row>
    <row r="650" spans="1:19" ht="21.95" hidden="1" customHeight="1">
      <c r="A650" s="66" t="s">
        <v>1413</v>
      </c>
      <c r="B650" s="64" t="s">
        <v>31</v>
      </c>
      <c r="C650" s="65">
        <v>46081</v>
      </c>
      <c r="D650" s="64" t="s">
        <v>21</v>
      </c>
      <c r="E650" s="64" t="s">
        <v>22</v>
      </c>
      <c r="F650" s="60" t="s">
        <v>41</v>
      </c>
      <c r="G650" s="60"/>
      <c r="H650" s="60" t="str">
        <f>IFERROR(INDEX('Docketed Comments'!C:C,MATCH(A650,'Docketed Comments'!H:H,0))&amp;", "&amp;INDEX('Docketed Comments'!B:B,MATCH(A650,'Docketed Comments'!H:H,0)),"")</f>
        <v>Ashley, Hill</v>
      </c>
      <c r="I650" s="60" t="str">
        <f>IFERROR(INDEX('Docketed Comments'!D:D,MATCH(A650,'Docketed Comments'!H:H,0)),"")</f>
        <v>Phoenix</v>
      </c>
      <c r="J650" s="60" t="str">
        <f>IFERROR(INDEX('Docketed Comments'!I:I,MATCH(A650,'Docketed Comments'!H:H,0)),"")</f>
        <v>R-2</v>
      </c>
      <c r="K650" s="60" t="str">
        <f t="shared" si="21"/>
        <v>⚠ Frozen Rate</v>
      </c>
      <c r="L650" s="60" t="str">
        <f>IFERROR(INDEX('Docketed Comments'!F:F,MATCH(A650,'Docketed Comments'!H:H,0)),"")</f>
        <v>Form letter</v>
      </c>
      <c r="M650" s="120" t="str">
        <f>IFERROR(INDEX('Docketed Comments'!G:G,MATCH(A650,'Docketed Comments'!H:H,0)),"")</f>
        <v>https://docket.images.azcc.gov/E000046289.pdf</v>
      </c>
      <c r="N650" s="118" t="str">
        <f>IFERROR(INDEX('Docketed Comments'!N:N,MATCH(A650,'Docketed Comments'!H:H,0)),"")</f>
        <v>No</v>
      </c>
      <c r="O650" s="118" t="str">
        <f>IFERROR(INDEX('Docketed Comments'!L:L,MATCH(A650,'Docketed Comments'!H:H,0)),"")</f>
        <v>Frozen Rate</v>
      </c>
      <c r="P650" s="119">
        <f t="shared" si="20"/>
        <v>0</v>
      </c>
      <c r="Q650" s="60" t="s">
        <v>23</v>
      </c>
      <c r="R650" s="64" t="s">
        <v>24</v>
      </c>
      <c r="S650" s="64" t="s">
        <v>1414</v>
      </c>
    </row>
    <row r="651" spans="1:19" ht="21.95" customHeight="1">
      <c r="A651" s="66" t="s">
        <v>1415</v>
      </c>
      <c r="B651" s="64"/>
      <c r="C651" s="65"/>
      <c r="D651" s="64"/>
      <c r="E651" s="64"/>
      <c r="F651" s="60"/>
      <c r="G651" s="60" t="s">
        <v>88</v>
      </c>
      <c r="H651" s="60" t="str">
        <f>IFERROR(INDEX('Docketed Comments'!C:C,MATCH(A651,'Docketed Comments'!H:H,0))&amp;", "&amp;INDEX('Docketed Comments'!B:B,MATCH(A651,'Docketed Comments'!H:H,0)),"")</f>
        <v>Larry, Stolarski</v>
      </c>
      <c r="I651" s="60" t="str">
        <f>IFERROR(INDEX('Docketed Comments'!D:D,MATCH(A651,'Docketed Comments'!H:H,0)),"")</f>
        <v>Phoenix</v>
      </c>
      <c r="J651" s="60" t="str">
        <f>IFERROR(INDEX('Docketed Comments'!I:I,MATCH(A651,'Docketed Comments'!H:H,0)),"")</f>
        <v>R-BASIC</v>
      </c>
      <c r="K651" s="60" t="str">
        <f t="shared" si="21"/>
        <v>✅ On Best Plan</v>
      </c>
      <c r="L651" s="60" t="str">
        <f>IFERROR(INDEX('Docketed Comments'!F:F,MATCH(A651,'Docketed Comments'!H:H,0)),"")</f>
        <v>Opposed</v>
      </c>
      <c r="M651" s="120" t="str">
        <f>IFERROR(INDEX('Docketed Comments'!G:G,MATCH(A651,'Docketed Comments'!H:H,0)),"")</f>
        <v>https://docket.images.azcc.gov/E000046289.pdf</v>
      </c>
      <c r="N651" s="118" t="str">
        <f>IFERROR(INDEX('Docketed Comments'!N:N,MATCH(A651,'Docketed Comments'!H:H,0)),"")</f>
        <v>No</v>
      </c>
      <c r="O651" s="118" t="str">
        <f>IFERROR(INDEX('Docketed Comments'!L:L,MATCH(A651,'Docketed Comments'!H:H,0)),"")</f>
        <v>Y</v>
      </c>
      <c r="P651" s="119">
        <f t="shared" si="20"/>
        <v>0</v>
      </c>
      <c r="Q651" s="60"/>
      <c r="R651" s="64" t="s">
        <v>75</v>
      </c>
      <c r="S651" s="64" t="s">
        <v>1416</v>
      </c>
    </row>
    <row r="652" spans="1:19" ht="21.95" hidden="1" customHeight="1">
      <c r="A652" s="66" t="s">
        <v>1417</v>
      </c>
      <c r="B652" s="64" t="s">
        <v>31</v>
      </c>
      <c r="C652" s="65">
        <v>46081</v>
      </c>
      <c r="D652" s="64" t="s">
        <v>21</v>
      </c>
      <c r="E652" s="64" t="s">
        <v>22</v>
      </c>
      <c r="F652" s="60" t="s">
        <v>41</v>
      </c>
      <c r="G652" s="60"/>
      <c r="H652" s="60" t="str">
        <f>IFERROR(INDEX('Docketed Comments'!C:C,MATCH(A652,'Docketed Comments'!H:H,0))&amp;", "&amp;INDEX('Docketed Comments'!B:B,MATCH(A652,'Docketed Comments'!H:H,0)),"")</f>
        <v>Catie, Ryan</v>
      </c>
      <c r="I652" s="60" t="str">
        <f>IFERROR(INDEX('Docketed Comments'!D:D,MATCH(A652,'Docketed Comments'!H:H,0)),"")</f>
        <v>Phoenix</v>
      </c>
      <c r="J652" s="60" t="str">
        <f>IFERROR(INDEX('Docketed Comments'!I:I,MATCH(A652,'Docketed Comments'!H:H,0)),"")</f>
        <v>R3-47</v>
      </c>
      <c r="K652" s="60" t="str">
        <f t="shared" si="21"/>
        <v>✅ On Best Plan</v>
      </c>
      <c r="L652" s="60" t="str">
        <f>IFERROR(INDEX('Docketed Comments'!F:F,MATCH(A652,'Docketed Comments'!H:H,0)),"")</f>
        <v>Opposed</v>
      </c>
      <c r="M652" s="120" t="str">
        <f>IFERROR(INDEX('Docketed Comments'!G:G,MATCH(A652,'Docketed Comments'!H:H,0)),"")</f>
        <v>https://docket.images.azcc.gov/E000046289.pdf</v>
      </c>
      <c r="N652" s="118" t="str">
        <f>IFERROR(INDEX('Docketed Comments'!N:N,MATCH(A652,'Docketed Comments'!H:H,0)),"")</f>
        <v>No</v>
      </c>
      <c r="O652" s="118" t="str">
        <f>IFERROR(INDEX('Docketed Comments'!L:L,MATCH(A652,'Docketed Comments'!H:H,0)),"")</f>
        <v>Y</v>
      </c>
      <c r="P652" s="119">
        <f t="shared" si="20"/>
        <v>0</v>
      </c>
      <c r="Q652" s="60" t="s">
        <v>23</v>
      </c>
      <c r="R652" s="64" t="s">
        <v>24</v>
      </c>
      <c r="S652" s="64" t="s">
        <v>1418</v>
      </c>
    </row>
    <row r="653" spans="1:19" ht="21.95" customHeight="1">
      <c r="A653" s="66" t="s">
        <v>1419</v>
      </c>
      <c r="B653" s="64"/>
      <c r="C653" s="65"/>
      <c r="D653" s="64"/>
      <c r="E653" s="64"/>
      <c r="F653" s="60"/>
      <c r="G653" s="60" t="s">
        <v>88</v>
      </c>
      <c r="H653" s="60" t="str">
        <f>IFERROR(INDEX('Docketed Comments'!C:C,MATCH(A653,'Docketed Comments'!H:H,0))&amp;", "&amp;INDEX('Docketed Comments'!B:B,MATCH(A653,'Docketed Comments'!H:H,0)),"")</f>
        <v>Debbie, Dunn</v>
      </c>
      <c r="I653" s="60" t="str">
        <f>IFERROR(INDEX('Docketed Comments'!D:D,MATCH(A653,'Docketed Comments'!H:H,0)),"")</f>
        <v>Phoenix</v>
      </c>
      <c r="J653" s="60" t="str">
        <f>IFERROR(INDEX('Docketed Comments'!I:I,MATCH(A653,'Docketed Comments'!H:H,0)),"")</f>
        <v>RCPw/RTOUE47</v>
      </c>
      <c r="K653" s="60" t="str">
        <f t="shared" si="21"/>
        <v>✅ On Best Plan</v>
      </c>
      <c r="L653" s="60" t="str">
        <f>IFERROR(INDEX('Docketed Comments'!F:F,MATCH(A653,'Docketed Comments'!H:H,0)),"")</f>
        <v>Rates were raised last year</v>
      </c>
      <c r="M653" s="120" t="str">
        <f>IFERROR(INDEX('Docketed Comments'!G:G,MATCH(A653,'Docketed Comments'!H:H,0)),"")</f>
        <v>https://docket.images.azcc.gov/E000046289.pdf</v>
      </c>
      <c r="N653" s="118" t="str">
        <f>IFERROR(INDEX('Docketed Comments'!N:N,MATCH(A653,'Docketed Comments'!H:H,0)),"")</f>
        <v>No</v>
      </c>
      <c r="O653" s="118" t="str">
        <f>IFERROR(INDEX('Docketed Comments'!L:L,MATCH(A653,'Docketed Comments'!H:H,0)),"")</f>
        <v>Y</v>
      </c>
      <c r="P653" s="119">
        <f t="shared" si="20"/>
        <v>0</v>
      </c>
      <c r="Q653" s="60"/>
      <c r="R653" s="64" t="s">
        <v>75</v>
      </c>
      <c r="S653" s="64" t="s">
        <v>1420</v>
      </c>
    </row>
    <row r="654" spans="1:19" ht="21.95" customHeight="1">
      <c r="A654" s="66" t="s">
        <v>1390</v>
      </c>
      <c r="B654" s="64"/>
      <c r="C654" s="65"/>
      <c r="D654" s="64"/>
      <c r="E654" s="64"/>
      <c r="F654" s="60"/>
      <c r="G654" s="60" t="s">
        <v>88</v>
      </c>
      <c r="H654" s="60" t="str">
        <f>IFERROR(INDEX('Docketed Comments'!C:C,MATCH(A654,'Docketed Comments'!H:H,0))&amp;", "&amp;INDEX('Docketed Comments'!B:B,MATCH(A654,'Docketed Comments'!H:H,0)),"")</f>
        <v>Yvette, Stumpf</v>
      </c>
      <c r="I654" s="60" t="str">
        <f>IFERROR(INDEX('Docketed Comments'!D:D,MATCH(A654,'Docketed Comments'!H:H,0)),"")</f>
        <v>Phoenix</v>
      </c>
      <c r="J654" s="60" t="str">
        <f>IFERROR(INDEX('Docketed Comments'!I:I,MATCH(A654,'Docketed Comments'!H:H,0)),"")</f>
        <v>RCPw/R3-47</v>
      </c>
      <c r="K654" s="60" t="str">
        <f t="shared" si="21"/>
        <v>✅ On Best Plan</v>
      </c>
      <c r="L654" s="60" t="str">
        <f>IFERROR(INDEX('Docketed Comments'!F:F,MATCH(A654,'Docketed Comments'!H:H,0)),"")</f>
        <v>Opposed</v>
      </c>
      <c r="M654" s="120" t="str">
        <f>IFERROR(INDEX('Docketed Comments'!G:G,MATCH(A654,'Docketed Comments'!H:H,0)),"")</f>
        <v>https://docket.images.azcc.gov/E000046266.pdf</v>
      </c>
      <c r="N654" s="118" t="str">
        <f>IFERROR(INDEX('Docketed Comments'!N:N,MATCH(A654,'Docketed Comments'!H:H,0)),"")</f>
        <v>No</v>
      </c>
      <c r="O654" s="118" t="str">
        <f>IFERROR(INDEX('Docketed Comments'!L:L,MATCH(A654,'Docketed Comments'!H:H,0)),"")</f>
        <v>Y</v>
      </c>
      <c r="P654" s="119">
        <f t="shared" si="20"/>
        <v>0</v>
      </c>
      <c r="Q654" s="60"/>
      <c r="R654" s="64" t="s">
        <v>75</v>
      </c>
      <c r="S654" s="64" t="s">
        <v>1421</v>
      </c>
    </row>
    <row r="655" spans="1:19" ht="21.95" hidden="1" customHeight="1">
      <c r="A655" s="66" t="s">
        <v>1422</v>
      </c>
      <c r="B655" s="64" t="s">
        <v>31</v>
      </c>
      <c r="C655" s="65">
        <v>46081</v>
      </c>
      <c r="D655" s="64" t="s">
        <v>27</v>
      </c>
      <c r="E655" s="64" t="s">
        <v>35</v>
      </c>
      <c r="F655" s="60" t="s">
        <v>1423</v>
      </c>
      <c r="G655" s="60"/>
      <c r="H655" s="60" t="str">
        <f>IFERROR(INDEX('Docketed Comments'!C:C,MATCH(A655,'Docketed Comments'!H:H,0))&amp;", "&amp;INDEX('Docketed Comments'!B:B,MATCH(A655,'Docketed Comments'!H:H,0)),"")</f>
        <v>Mark, Kobus</v>
      </c>
      <c r="I655" s="60" t="str">
        <f>IFERROR(INDEX('Docketed Comments'!D:D,MATCH(A655,'Docketed Comments'!H:H,0)),"")</f>
        <v>Unknown</v>
      </c>
      <c r="J655" s="60" t="str">
        <f>IFERROR(INDEX('Docketed Comments'!I:I,MATCH(A655,'Docketed Comments'!H:H,0)),"")</f>
        <v>RCPw/R3-47</v>
      </c>
      <c r="K655" s="60" t="str">
        <f t="shared" si="21"/>
        <v>✅ On Best Plan</v>
      </c>
      <c r="L655" s="60" t="str">
        <f>IFERROR(INDEX('Docketed Comments'!F:F,MATCH(A655,'Docketed Comments'!H:H,0)),"")</f>
        <v>Form letter</v>
      </c>
      <c r="M655" s="120" t="str">
        <f>IFERROR(INDEX('Docketed Comments'!G:G,MATCH(A655,'Docketed Comments'!H:H,0)),"")</f>
        <v>https://docket.images.azcc.gov/E000046289.pdf</v>
      </c>
      <c r="N655" s="118" t="str">
        <f>IFERROR(INDEX('Docketed Comments'!N:N,MATCH(A655,'Docketed Comments'!H:H,0)),"")</f>
        <v>No</v>
      </c>
      <c r="O655" s="118" t="str">
        <f>IFERROR(INDEX('Docketed Comments'!L:L,MATCH(A655,'Docketed Comments'!H:H,0)),"")</f>
        <v>Y</v>
      </c>
      <c r="P655" s="119">
        <f t="shared" si="20"/>
        <v>0</v>
      </c>
      <c r="Q655" s="60" t="s">
        <v>23</v>
      </c>
      <c r="R655" s="64" t="s">
        <v>24</v>
      </c>
      <c r="S655" s="64" t="s">
        <v>1424</v>
      </c>
    </row>
    <row r="656" spans="1:19" ht="21.95" customHeight="1">
      <c r="A656" s="66" t="s">
        <v>1425</v>
      </c>
      <c r="B656" s="64"/>
      <c r="C656" s="65"/>
      <c r="D656" s="64"/>
      <c r="E656" s="64"/>
      <c r="F656" s="60"/>
      <c r="G656" s="60" t="s">
        <v>88</v>
      </c>
      <c r="H656" s="60" t="str">
        <f>IFERROR(INDEX('Docketed Comments'!C:C,MATCH(A656,'Docketed Comments'!H:H,0))&amp;", "&amp;INDEX('Docketed Comments'!B:B,MATCH(A656,'Docketed Comments'!H:H,0)),"")</f>
        <v>Jennifer, Emery</v>
      </c>
      <c r="I656" s="60" t="str">
        <f>IFERROR(INDEX('Docketed Comments'!D:D,MATCH(A656,'Docketed Comments'!H:H,0)),"")</f>
        <v>Phoenix</v>
      </c>
      <c r="J656" s="60" t="str">
        <f>IFERROR(INDEX('Docketed Comments'!I:I,MATCH(A656,'Docketed Comments'!H:H,0)),"")</f>
        <v>R3-47</v>
      </c>
      <c r="K656" s="60" t="str">
        <f t="shared" si="21"/>
        <v>✅ On Best Plan</v>
      </c>
      <c r="L656" s="60" t="str">
        <f>IFERROR(INDEX('Docketed Comments'!F:F,MATCH(A656,'Docketed Comments'!H:H,0)),"")</f>
        <v>Form letter</v>
      </c>
      <c r="M656" s="120" t="str">
        <f>IFERROR(INDEX('Docketed Comments'!G:G,MATCH(A656,'Docketed Comments'!H:H,0)),"")</f>
        <v>https://docket.images.azcc.gov/E000046289.pdf</v>
      </c>
      <c r="N656" s="118" t="str">
        <f>IFERROR(INDEX('Docketed Comments'!N:N,MATCH(A656,'Docketed Comments'!H:H,0)),"")</f>
        <v>No</v>
      </c>
      <c r="O656" s="118" t="str">
        <f>IFERROR(INDEX('Docketed Comments'!L:L,MATCH(A656,'Docketed Comments'!H:H,0)),"")</f>
        <v>Y</v>
      </c>
      <c r="P656" s="119">
        <f t="shared" si="20"/>
        <v>0</v>
      </c>
      <c r="Q656" s="60"/>
      <c r="R656" s="64" t="s">
        <v>75</v>
      </c>
      <c r="S656" s="64" t="s">
        <v>1426</v>
      </c>
    </row>
    <row r="657" spans="1:19" ht="21.95" hidden="1" customHeight="1">
      <c r="A657" s="66" t="s">
        <v>1427</v>
      </c>
      <c r="B657" s="64" t="s">
        <v>31</v>
      </c>
      <c r="C657" s="65">
        <v>46081</v>
      </c>
      <c r="D657" s="64" t="s">
        <v>27</v>
      </c>
      <c r="E657" s="64" t="s">
        <v>35</v>
      </c>
      <c r="F657" s="60" t="s">
        <v>250</v>
      </c>
      <c r="G657" s="60"/>
      <c r="H657" s="60" t="str">
        <f>IFERROR(INDEX('Docketed Comments'!C:C,MATCH(A657,'Docketed Comments'!H:H,0))&amp;", "&amp;INDEX('Docketed Comments'!B:B,MATCH(A657,'Docketed Comments'!H:H,0)),"")</f>
        <v>Theodore, Sosnicki</v>
      </c>
      <c r="I657" s="60" t="str">
        <f>IFERROR(INDEX('Docketed Comments'!D:D,MATCH(A657,'Docketed Comments'!H:H,0)),"")</f>
        <v>Anthem</v>
      </c>
      <c r="J657" s="60" t="str">
        <f>IFERROR(INDEX('Docketed Comments'!I:I,MATCH(A657,'Docketed Comments'!H:H,0)),"")</f>
        <v>RCPw/R3-47</v>
      </c>
      <c r="K657" s="60" t="str">
        <f t="shared" si="21"/>
        <v>✅ On Best Plan</v>
      </c>
      <c r="L657" s="60" t="str">
        <f>IFERROR(INDEX('Docketed Comments'!F:F,MATCH(A657,'Docketed Comments'!H:H,0)),"")</f>
        <v>Got 8% last year, now they want 14%</v>
      </c>
      <c r="M657" s="120" t="str">
        <f>IFERROR(INDEX('Docketed Comments'!G:G,MATCH(A657,'Docketed Comments'!H:H,0)),"")</f>
        <v>https://docket.images.azcc.gov/E000046289.pdf</v>
      </c>
      <c r="N657" s="118" t="str">
        <f>IFERROR(INDEX('Docketed Comments'!N:N,MATCH(A657,'Docketed Comments'!H:H,0)),"")</f>
        <v>No</v>
      </c>
      <c r="O657" s="118" t="str">
        <f>IFERROR(INDEX('Docketed Comments'!L:L,MATCH(A657,'Docketed Comments'!H:H,0)),"")</f>
        <v>Y</v>
      </c>
      <c r="P657" s="119">
        <f t="shared" si="20"/>
        <v>0</v>
      </c>
      <c r="Q657" s="60" t="s">
        <v>23</v>
      </c>
      <c r="R657" s="64" t="s">
        <v>24</v>
      </c>
      <c r="S657" s="64" t="s">
        <v>1428</v>
      </c>
    </row>
    <row r="658" spans="1:19" ht="21.95" hidden="1" customHeight="1">
      <c r="A658" s="66" t="s">
        <v>1429</v>
      </c>
      <c r="B658" s="64" t="s">
        <v>31</v>
      </c>
      <c r="C658" s="65">
        <v>45997</v>
      </c>
      <c r="D658" s="64" t="s">
        <v>21</v>
      </c>
      <c r="E658" s="64" t="s">
        <v>22</v>
      </c>
      <c r="F658" s="60" t="s">
        <v>1430</v>
      </c>
      <c r="G658" s="60"/>
      <c r="H658" s="60" t="str">
        <f>IFERROR(INDEX('Docketed Comments'!C:C,MATCH(A658,'Docketed Comments'!H:H,0))&amp;", "&amp;INDEX('Docketed Comments'!B:B,MATCH(A658,'Docketed Comments'!H:H,0)),"")</f>
        <v>Kristin, Wyatt</v>
      </c>
      <c r="I658" s="60" t="str">
        <f>IFERROR(INDEX('Docketed Comments'!D:D,MATCH(A658,'Docketed Comments'!H:H,0)),"")</f>
        <v>Phoenix</v>
      </c>
      <c r="J658" s="60" t="str">
        <f>IFERROR(INDEX('Docketed Comments'!I:I,MATCH(A658,'Docketed Comments'!H:H,0)),"")</f>
        <v>RCPw/R3-47</v>
      </c>
      <c r="K658" s="60" t="str">
        <f t="shared" si="21"/>
        <v>✅ On Best Plan</v>
      </c>
      <c r="L658" s="60" t="str">
        <f>IFERROR(INDEX('Docketed Comments'!F:F,MATCH(A658,'Docketed Comments'!H:H,0)),"")</f>
        <v>becoming unaffordable</v>
      </c>
      <c r="M658" s="120" t="str">
        <f>IFERROR(INDEX('Docketed Comments'!G:G,MATCH(A658,'Docketed Comments'!H:H,0)),"")</f>
        <v>https://docket.images.azcc.gov/E000046289.pdf</v>
      </c>
      <c r="N658" s="118" t="str">
        <f>IFERROR(INDEX('Docketed Comments'!N:N,MATCH(A658,'Docketed Comments'!H:H,0)),"")</f>
        <v>No</v>
      </c>
      <c r="O658" s="118" t="str">
        <f>IFERROR(INDEX('Docketed Comments'!L:L,MATCH(A658,'Docketed Comments'!H:H,0)),"")</f>
        <v>Y</v>
      </c>
      <c r="P658" s="119">
        <f t="shared" si="20"/>
        <v>0</v>
      </c>
      <c r="Q658" s="60" t="s">
        <v>23</v>
      </c>
      <c r="R658" s="64" t="s">
        <v>24</v>
      </c>
      <c r="S658" s="64" t="s">
        <v>1431</v>
      </c>
    </row>
    <row r="659" spans="1:19" ht="21.95" customHeight="1">
      <c r="A659" s="66" t="s">
        <v>1432</v>
      </c>
      <c r="B659" s="64"/>
      <c r="C659" s="65"/>
      <c r="D659" s="64"/>
      <c r="E659" s="64"/>
      <c r="F659" s="60"/>
      <c r="G659" s="60" t="s">
        <v>88</v>
      </c>
      <c r="H659" s="60" t="str">
        <f>IFERROR(INDEX('Docketed Comments'!C:C,MATCH(A659,'Docketed Comments'!H:H,0))&amp;", "&amp;INDEX('Docketed Comments'!B:B,MATCH(A659,'Docketed Comments'!H:H,0)),"")</f>
        <v>Courtland, Decker</v>
      </c>
      <c r="I659" s="60" t="str">
        <f>IFERROR(INDEX('Docketed Comments'!D:D,MATCH(A659,'Docketed Comments'!H:H,0)),"")</f>
        <v>Phoenix</v>
      </c>
      <c r="J659" s="60" t="str">
        <f>IFERROR(INDEX('Docketed Comments'!I:I,MATCH(A659,'Docketed Comments'!H:H,0)),"")</f>
        <v>RTOUE47</v>
      </c>
      <c r="K659" s="60" t="str">
        <f t="shared" si="21"/>
        <v>✅ On Best Plan</v>
      </c>
      <c r="L659" s="60" t="str">
        <f>IFERROR(INDEX('Docketed Comments'!F:F,MATCH(A659,'Docketed Comments'!H:H,0)),"")</f>
        <v>not fair nor financially respectful to ask for 22% increase in two years</v>
      </c>
      <c r="M659" s="120" t="str">
        <f>IFERROR(INDEX('Docketed Comments'!G:G,MATCH(A659,'Docketed Comments'!H:H,0)),"")</f>
        <v>https://docket.images.azcc.gov/E000046289.pdf</v>
      </c>
      <c r="N659" s="118" t="str">
        <f>IFERROR(INDEX('Docketed Comments'!N:N,MATCH(A659,'Docketed Comments'!H:H,0)),"")</f>
        <v>No</v>
      </c>
      <c r="O659" s="118" t="str">
        <f>IFERROR(INDEX('Docketed Comments'!L:L,MATCH(A659,'Docketed Comments'!H:H,0)),"")</f>
        <v>Y</v>
      </c>
      <c r="P659" s="119">
        <f t="shared" si="20"/>
        <v>0</v>
      </c>
      <c r="Q659" s="60"/>
      <c r="R659" s="64" t="s">
        <v>75</v>
      </c>
      <c r="S659" s="64" t="s">
        <v>1433</v>
      </c>
    </row>
    <row r="660" spans="1:19" ht="21.95" hidden="1" customHeight="1">
      <c r="A660" s="66" t="s">
        <v>1434</v>
      </c>
      <c r="B660" s="64" t="s">
        <v>31</v>
      </c>
      <c r="C660" s="65">
        <v>46081</v>
      </c>
      <c r="D660" s="64" t="s">
        <v>27</v>
      </c>
      <c r="E660" s="64" t="s">
        <v>35</v>
      </c>
      <c r="F660" s="60" t="s">
        <v>54</v>
      </c>
      <c r="G660" s="60"/>
      <c r="H660" s="60" t="str">
        <f>IFERROR(INDEX('Docketed Comments'!C:C,MATCH(A660,'Docketed Comments'!H:H,0))&amp;", "&amp;INDEX('Docketed Comments'!B:B,MATCH(A660,'Docketed Comments'!H:H,0)),"")</f>
        <v>Devin, Boisvert</v>
      </c>
      <c r="I660" s="60" t="str">
        <f>IFERROR(INDEX('Docketed Comments'!D:D,MATCH(A660,'Docketed Comments'!H:H,0)),"")</f>
        <v>New River</v>
      </c>
      <c r="J660" s="60" t="str">
        <f>IFERROR(INDEX('Docketed Comments'!I:I,MATCH(A660,'Docketed Comments'!H:H,0)),"")</f>
        <v>EPR-6w/ET-1</v>
      </c>
      <c r="K660" s="60" t="str">
        <f t="shared" si="21"/>
        <v>⚠ Frozen Rate</v>
      </c>
      <c r="L660" s="60" t="str">
        <f>IFERROR(INDEX('Docketed Comments'!F:F,MATCH(A660,'Docketed Comments'!H:H,0)),"")</f>
        <v>Form letter</v>
      </c>
      <c r="M660" s="120" t="str">
        <f>IFERROR(INDEX('Docketed Comments'!G:G,MATCH(A660,'Docketed Comments'!H:H,0)),"")</f>
        <v>https://docket.images.azcc.gov/E000046289.pdf</v>
      </c>
      <c r="N660" s="118" t="str">
        <f>IFERROR(INDEX('Docketed Comments'!N:N,MATCH(A660,'Docketed Comments'!H:H,0)),"")</f>
        <v>No</v>
      </c>
      <c r="O660" s="118" t="str">
        <f>IFERROR(INDEX('Docketed Comments'!L:L,MATCH(A660,'Docketed Comments'!H:H,0)),"")</f>
        <v>Frozen Rate</v>
      </c>
      <c r="P660" s="119">
        <f t="shared" si="20"/>
        <v>0</v>
      </c>
      <c r="Q660" s="60" t="s">
        <v>23</v>
      </c>
      <c r="R660" s="64" t="s">
        <v>24</v>
      </c>
      <c r="S660" s="64" t="s">
        <v>1435</v>
      </c>
    </row>
    <row r="661" spans="1:19" ht="21.95" customHeight="1">
      <c r="A661" s="66" t="s">
        <v>1436</v>
      </c>
      <c r="B661" s="64"/>
      <c r="C661" s="65"/>
      <c r="D661" s="64"/>
      <c r="E661" s="64"/>
      <c r="F661" s="60"/>
      <c r="G661" s="60" t="s">
        <v>88</v>
      </c>
      <c r="H661" s="60" t="str">
        <f>IFERROR(INDEX('Docketed Comments'!C:C,MATCH(A661,'Docketed Comments'!H:H,0))&amp;", "&amp;INDEX('Docketed Comments'!B:B,MATCH(A661,'Docketed Comments'!H:H,0)),"")</f>
        <v>Sarah &amp; Micah, Grondin</v>
      </c>
      <c r="I661" s="60" t="str">
        <f>IFERROR(INDEX('Docketed Comments'!D:D,MATCH(A661,'Docketed Comments'!H:H,0)),"")</f>
        <v>Unknown</v>
      </c>
      <c r="J661" s="60" t="str">
        <f>IFERROR(INDEX('Docketed Comments'!I:I,MATCH(A661,'Docketed Comments'!H:H,0)),"")</f>
        <v>R3-47</v>
      </c>
      <c r="K661" s="60" t="str">
        <f t="shared" si="21"/>
        <v>✅ On Best Plan</v>
      </c>
      <c r="L661" s="60" t="str">
        <f>IFERROR(INDEX('Docketed Comments'!F:F,MATCH(A661,'Docketed Comments'!H:H,0)),"")</f>
        <v>Form letter</v>
      </c>
      <c r="M661" s="120" t="str">
        <f>IFERROR(INDEX('Docketed Comments'!G:G,MATCH(A661,'Docketed Comments'!H:H,0)),"")</f>
        <v>https://docket.images.azcc.gov/E000046289.pdf</v>
      </c>
      <c r="N661" s="118" t="str">
        <f>IFERROR(INDEX('Docketed Comments'!N:N,MATCH(A661,'Docketed Comments'!H:H,0)),"")</f>
        <v>No</v>
      </c>
      <c r="O661" s="118" t="str">
        <f>IFERROR(INDEX('Docketed Comments'!L:L,MATCH(A661,'Docketed Comments'!H:H,0)),"")</f>
        <v>Y</v>
      </c>
      <c r="P661" s="119">
        <f t="shared" si="20"/>
        <v>0</v>
      </c>
      <c r="Q661" s="60"/>
      <c r="R661" s="64" t="s">
        <v>75</v>
      </c>
      <c r="S661" s="64" t="s">
        <v>1437</v>
      </c>
    </row>
    <row r="662" spans="1:19" ht="21.95" customHeight="1">
      <c r="A662" s="66" t="s">
        <v>1438</v>
      </c>
      <c r="B662" s="64"/>
      <c r="C662" s="65"/>
      <c r="D662" s="64"/>
      <c r="E662" s="64"/>
      <c r="F662" s="60"/>
      <c r="G662" s="60" t="s">
        <v>88</v>
      </c>
      <c r="H662" s="60" t="str">
        <f>IFERROR(INDEX('Docketed Comments'!C:C,MATCH(A662,'Docketed Comments'!H:H,0))&amp;", "&amp;INDEX('Docketed Comments'!B:B,MATCH(A662,'Docketed Comments'!H:H,0)),"")</f>
        <v>Terri, Lander</v>
      </c>
      <c r="I662" s="60" t="str">
        <f>IFERROR(INDEX('Docketed Comments'!D:D,MATCH(A662,'Docketed Comments'!H:H,0)),"")</f>
        <v>Phoenix</v>
      </c>
      <c r="J662" s="60" t="str">
        <f>IFERROR(INDEX('Docketed Comments'!I:I,MATCH(A662,'Docketed Comments'!H:H,0)),"")</f>
        <v>RCPw/R3-47</v>
      </c>
      <c r="K662" s="60" t="str">
        <f t="shared" si="21"/>
        <v>✅ On Best Plan</v>
      </c>
      <c r="L662" s="60" t="str">
        <f>IFERROR(INDEX('Docketed Comments'!F:F,MATCH(A662,'Docketed Comments'!H:H,0)),"")</f>
        <v>Opposed, monopoly</v>
      </c>
      <c r="M662" s="120" t="str">
        <f>IFERROR(INDEX('Docketed Comments'!G:G,MATCH(A662,'Docketed Comments'!H:H,0)),"")</f>
        <v>https://docket.images.azcc.gov/E000046289.pdf</v>
      </c>
      <c r="N662" s="118" t="str">
        <f>IFERROR(INDEX('Docketed Comments'!N:N,MATCH(A662,'Docketed Comments'!H:H,0)),"")</f>
        <v>No</v>
      </c>
      <c r="O662" s="118" t="str">
        <f>IFERROR(INDEX('Docketed Comments'!L:L,MATCH(A662,'Docketed Comments'!H:H,0)),"")</f>
        <v>Y</v>
      </c>
      <c r="P662" s="119">
        <f t="shared" si="20"/>
        <v>0</v>
      </c>
      <c r="Q662" s="60"/>
      <c r="R662" s="64" t="s">
        <v>75</v>
      </c>
      <c r="S662" s="64" t="s">
        <v>1439</v>
      </c>
    </row>
    <row r="663" spans="1:19" ht="21.95" hidden="1" customHeight="1">
      <c r="A663" s="66" t="s">
        <v>1440</v>
      </c>
      <c r="B663" s="64" t="s">
        <v>31</v>
      </c>
      <c r="C663" s="65">
        <v>46081</v>
      </c>
      <c r="D663" s="64" t="s">
        <v>21</v>
      </c>
      <c r="E663" s="64" t="s">
        <v>22</v>
      </c>
      <c r="F663" s="60" t="s">
        <v>54</v>
      </c>
      <c r="G663" s="60"/>
      <c r="H663" s="60" t="str">
        <f>IFERROR(INDEX('Docketed Comments'!C:C,MATCH(A663,'Docketed Comments'!H:H,0))&amp;", "&amp;INDEX('Docketed Comments'!B:B,MATCH(A663,'Docketed Comments'!H:H,0)),"")</f>
        <v>Lisa, Bezanson</v>
      </c>
      <c r="I663" s="60" t="str">
        <f>IFERROR(INDEX('Docketed Comments'!D:D,MATCH(A663,'Docketed Comments'!H:H,0)),"")</f>
        <v>Unknown</v>
      </c>
      <c r="J663" s="60" t="str">
        <f>IFERROR(INDEX('Docketed Comments'!I:I,MATCH(A663,'Docketed Comments'!H:H,0)),"")</f>
        <v>R-XS</v>
      </c>
      <c r="K663" s="60" t="str">
        <f t="shared" si="21"/>
        <v>✅ On Best Plan</v>
      </c>
      <c r="L663" s="60" t="str">
        <f>IFERROR(INDEX('Docketed Comments'!F:F,MATCH(A663,'Docketed Comments'!H:H,0)),"")</f>
        <v>Opposed</v>
      </c>
      <c r="M663" s="120" t="str">
        <f>IFERROR(INDEX('Docketed Comments'!G:G,MATCH(A663,'Docketed Comments'!H:H,0)),"")</f>
        <v>https://docket.images.azcc.gov/E000046289.pdf</v>
      </c>
      <c r="N663" s="118" t="str">
        <f>IFERROR(INDEX('Docketed Comments'!N:N,MATCH(A663,'Docketed Comments'!H:H,0)),"")</f>
        <v>No</v>
      </c>
      <c r="O663" s="118" t="str">
        <f>IFERROR(INDEX('Docketed Comments'!L:L,MATCH(A663,'Docketed Comments'!H:H,0)),"")</f>
        <v>Y</v>
      </c>
      <c r="P663" s="119">
        <f t="shared" si="20"/>
        <v>0</v>
      </c>
      <c r="Q663" s="60" t="s">
        <v>23</v>
      </c>
      <c r="R663" s="64" t="s">
        <v>24</v>
      </c>
      <c r="S663" s="64" t="s">
        <v>1441</v>
      </c>
    </row>
    <row r="664" spans="1:19" ht="21.95" customHeight="1">
      <c r="A664" s="66" t="s">
        <v>1442</v>
      </c>
      <c r="B664" s="64"/>
      <c r="C664" s="65"/>
      <c r="D664" s="64"/>
      <c r="E664" s="64"/>
      <c r="F664" s="60"/>
      <c r="G664" s="60" t="s">
        <v>88</v>
      </c>
      <c r="H664" s="60" t="str">
        <f>IFERROR(INDEX('Docketed Comments'!C:C,MATCH(A664,'Docketed Comments'!H:H,0))&amp;", "&amp;INDEX('Docketed Comments'!B:B,MATCH(A664,'Docketed Comments'!H:H,0)),"")</f>
        <v>Katsura, Luke</v>
      </c>
      <c r="I664" s="60" t="str">
        <f>IFERROR(INDEX('Docketed Comments'!D:D,MATCH(A664,'Docketed Comments'!H:H,0)),"")</f>
        <v>Phoenix</v>
      </c>
      <c r="J664" s="60" t="str">
        <f>IFERROR(INDEX('Docketed Comments'!I:I,MATCH(A664,'Docketed Comments'!H:H,0)),"")</f>
        <v>R3-47</v>
      </c>
      <c r="K664" s="60" t="str">
        <f t="shared" si="21"/>
        <v>✅ On Best Plan</v>
      </c>
      <c r="L664" s="60" t="str">
        <f>IFERROR(INDEX('Docketed Comments'!F:F,MATCH(A664,'Docketed Comments'!H:H,0)),"")</f>
        <v>Form letter</v>
      </c>
      <c r="M664" s="120" t="str">
        <f>IFERROR(INDEX('Docketed Comments'!G:G,MATCH(A664,'Docketed Comments'!H:H,0)),"")</f>
        <v>https://docket.images.azcc.gov/E000046289.pdf</v>
      </c>
      <c r="N664" s="118" t="str">
        <f>IFERROR(INDEX('Docketed Comments'!N:N,MATCH(A664,'Docketed Comments'!H:H,0)),"")</f>
        <v>No</v>
      </c>
      <c r="O664" s="118" t="str">
        <f>IFERROR(INDEX('Docketed Comments'!L:L,MATCH(A664,'Docketed Comments'!H:H,0)),"")</f>
        <v>Y</v>
      </c>
      <c r="P664" s="119">
        <f t="shared" si="20"/>
        <v>0</v>
      </c>
      <c r="Q664" s="60"/>
      <c r="R664" s="64" t="s">
        <v>75</v>
      </c>
      <c r="S664" s="64" t="s">
        <v>1443</v>
      </c>
    </row>
    <row r="665" spans="1:19" ht="21.95" hidden="1" customHeight="1">
      <c r="A665" s="66" t="s">
        <v>1444</v>
      </c>
      <c r="B665" s="64" t="s">
        <v>31</v>
      </c>
      <c r="C665" s="65">
        <v>46081</v>
      </c>
      <c r="D665" s="64" t="s">
        <v>21</v>
      </c>
      <c r="E665" s="64" t="s">
        <v>22</v>
      </c>
      <c r="F665" s="60" t="s">
        <v>41</v>
      </c>
      <c r="G665" s="60"/>
      <c r="H665" s="60" t="str">
        <f>IFERROR(INDEX('Docketed Comments'!C:C,MATCH(A665,'Docketed Comments'!H:H,0))&amp;", "&amp;INDEX('Docketed Comments'!B:B,MATCH(A665,'Docketed Comments'!H:H,0)),"")</f>
        <v>Al, Boos</v>
      </c>
      <c r="I665" s="60" t="str">
        <f>IFERROR(INDEX('Docketed Comments'!D:D,MATCH(A665,'Docketed Comments'!H:H,0)),"")</f>
        <v>Phoenix</v>
      </c>
      <c r="J665" s="60" t="str">
        <f>IFERROR(INDEX('Docketed Comments'!I:I,MATCH(A665,'Docketed Comments'!H:H,0)),"")</f>
        <v>R3-47</v>
      </c>
      <c r="K665" s="60" t="str">
        <f t="shared" si="21"/>
        <v>✅ On Best Plan</v>
      </c>
      <c r="L665" s="60" t="str">
        <f>IFERROR(INDEX('Docketed Comments'!F:F,MATCH(A665,'Docketed Comments'!H:H,0)),"")</f>
        <v>egregious and possibly unaffordable by many customers</v>
      </c>
      <c r="M665" s="120" t="str">
        <f>IFERROR(INDEX('Docketed Comments'!G:G,MATCH(A665,'Docketed Comments'!H:H,0)),"")</f>
        <v>https://docket.images.azcc.gov/E000046289.pdf</v>
      </c>
      <c r="N665" s="118" t="str">
        <f>IFERROR(INDEX('Docketed Comments'!N:N,MATCH(A665,'Docketed Comments'!H:H,0)),"")</f>
        <v>No</v>
      </c>
      <c r="O665" s="118" t="str">
        <f>IFERROR(INDEX('Docketed Comments'!L:L,MATCH(A665,'Docketed Comments'!H:H,0)),"")</f>
        <v>Y</v>
      </c>
      <c r="P665" s="119">
        <f t="shared" si="20"/>
        <v>0</v>
      </c>
      <c r="Q665" s="60" t="s">
        <v>23</v>
      </c>
      <c r="R665" s="64" t="s">
        <v>24</v>
      </c>
      <c r="S665" s="64" t="s">
        <v>1445</v>
      </c>
    </row>
    <row r="666" spans="1:19" ht="21.95" customHeight="1">
      <c r="A666" s="66" t="s">
        <v>1446</v>
      </c>
      <c r="B666" s="64"/>
      <c r="C666" s="65"/>
      <c r="D666" s="64"/>
      <c r="E666" s="64"/>
      <c r="F666" s="60"/>
      <c r="G666" s="60" t="s">
        <v>88</v>
      </c>
      <c r="H666" s="60" t="str">
        <f>IFERROR(INDEX('Docketed Comments'!C:C,MATCH(A666,'Docketed Comments'!H:H,0))&amp;", "&amp;INDEX('Docketed Comments'!B:B,MATCH(A666,'Docketed Comments'!H:H,0)),"")</f>
        <v>Cynthia, Farnsworth</v>
      </c>
      <c r="I666" s="60" t="str">
        <f>IFERROR(INDEX('Docketed Comments'!D:D,MATCH(A666,'Docketed Comments'!H:H,0)),"")</f>
        <v>Buckeye</v>
      </c>
      <c r="J666" s="60" t="str">
        <f>IFERROR(INDEX('Docketed Comments'!I:I,MATCH(A666,'Docketed Comments'!H:H,0)),"")</f>
        <v>RCPw/R3-47</v>
      </c>
      <c r="K666" s="60" t="str">
        <f t="shared" si="21"/>
        <v>✅ On Best Plan</v>
      </c>
      <c r="L666" s="60" t="str">
        <f>IFERROR(INDEX('Docketed Comments'!F:F,MATCH(A666,'Docketed Comments'!H:H,0)),"")</f>
        <v>Form letter</v>
      </c>
      <c r="M666" s="120" t="str">
        <f>IFERROR(INDEX('Docketed Comments'!G:G,MATCH(A666,'Docketed Comments'!H:H,0)),"")</f>
        <v>https://docket.images.azcc.gov/E000046289.pdf</v>
      </c>
      <c r="N666" s="118" t="str">
        <f>IFERROR(INDEX('Docketed Comments'!N:N,MATCH(A666,'Docketed Comments'!H:H,0)),"")</f>
        <v>No</v>
      </c>
      <c r="O666" s="118" t="str">
        <f>IFERROR(INDEX('Docketed Comments'!L:L,MATCH(A666,'Docketed Comments'!H:H,0)),"")</f>
        <v>Y</v>
      </c>
      <c r="P666" s="119">
        <f t="shared" si="20"/>
        <v>0</v>
      </c>
      <c r="Q666" s="60"/>
      <c r="R666" s="64" t="s">
        <v>75</v>
      </c>
      <c r="S666" s="64" t="s">
        <v>1447</v>
      </c>
    </row>
    <row r="667" spans="1:19" ht="21.95" customHeight="1">
      <c r="A667" s="66" t="s">
        <v>1448</v>
      </c>
      <c r="B667" s="64"/>
      <c r="C667" s="65"/>
      <c r="D667" s="64"/>
      <c r="E667" s="64"/>
      <c r="F667" s="60"/>
      <c r="G667" s="60" t="s">
        <v>88</v>
      </c>
      <c r="H667" s="60" t="str">
        <f>IFERROR(INDEX('Docketed Comments'!C:C,MATCH(A667,'Docketed Comments'!H:H,0))&amp;", "&amp;INDEX('Docketed Comments'!B:B,MATCH(A667,'Docketed Comments'!H:H,0)),"")</f>
        <v>Carol, Thomas</v>
      </c>
      <c r="I667" s="60" t="str">
        <f>IFERROR(INDEX('Docketed Comments'!D:D,MATCH(A667,'Docketed Comments'!H:H,0)),"")</f>
        <v>Sedona</v>
      </c>
      <c r="J667" s="60" t="str">
        <f>IFERROR(INDEX('Docketed Comments'!I:I,MATCH(A667,'Docketed Comments'!H:H,0)),"")</f>
        <v>RCPw/RTOUE47</v>
      </c>
      <c r="K667" s="60" t="str">
        <f t="shared" si="21"/>
        <v>✅ On Best Plan</v>
      </c>
      <c r="L667" s="60" t="str">
        <f>IFERROR(INDEX('Docketed Comments'!F:F,MATCH(A667,'Docketed Comments'!H:H,0)),"")</f>
        <v>Egregious, I pay approx $126 just in service charges</v>
      </c>
      <c r="M667" s="120" t="str">
        <f>IFERROR(INDEX('Docketed Comments'!G:G,MATCH(A667,'Docketed Comments'!H:H,0)),"")</f>
        <v>https://docket.images.azcc.gov/E000046305.pdf</v>
      </c>
      <c r="N667" s="118" t="str">
        <f>IFERROR(INDEX('Docketed Comments'!N:N,MATCH(A667,'Docketed Comments'!H:H,0)),"")</f>
        <v>No</v>
      </c>
      <c r="O667" s="118" t="str">
        <f>IFERROR(INDEX('Docketed Comments'!L:L,MATCH(A667,'Docketed Comments'!H:H,0)),"")</f>
        <v>Y</v>
      </c>
      <c r="P667" s="119">
        <f t="shared" si="20"/>
        <v>0</v>
      </c>
      <c r="Q667" s="60"/>
      <c r="R667" s="64" t="s">
        <v>75</v>
      </c>
      <c r="S667" s="64" t="s">
        <v>1449</v>
      </c>
    </row>
    <row r="668" spans="1:19" ht="21.95" hidden="1" customHeight="1">
      <c r="A668" s="66" t="s">
        <v>1450</v>
      </c>
      <c r="B668" s="64" t="s">
        <v>31</v>
      </c>
      <c r="C668" s="65">
        <v>45997</v>
      </c>
      <c r="D668" s="64" t="s">
        <v>21</v>
      </c>
      <c r="E668" s="64" t="s">
        <v>22</v>
      </c>
      <c r="F668" s="60" t="s">
        <v>1451</v>
      </c>
      <c r="G668" s="60"/>
      <c r="H668" s="60" t="str">
        <f>IFERROR(INDEX('Docketed Comments'!C:C,MATCH(A668,'Docketed Comments'!H:H,0))&amp;", "&amp;INDEX('Docketed Comments'!B:B,MATCH(A668,'Docketed Comments'!H:H,0)),"")</f>
        <v>Andrew, Shaver</v>
      </c>
      <c r="I668" s="60" t="str">
        <f>IFERROR(INDEX('Docketed Comments'!D:D,MATCH(A668,'Docketed Comments'!H:H,0)),"")</f>
        <v>Phoenix</v>
      </c>
      <c r="J668" s="60" t="str">
        <f>IFERROR(INDEX('Docketed Comments'!I:I,MATCH(A668,'Docketed Comments'!H:H,0)),"")</f>
        <v>R3-47</v>
      </c>
      <c r="K668" s="60" t="str">
        <f t="shared" si="21"/>
        <v>✅ On Best Plan</v>
      </c>
      <c r="L668" s="60" t="str">
        <f>IFERROR(INDEX('Docketed Comments'!F:F,MATCH(A668,'Docketed Comments'!H:H,0)),"")</f>
        <v>Form letter</v>
      </c>
      <c r="M668" s="120" t="str">
        <f>IFERROR(INDEX('Docketed Comments'!G:G,MATCH(A668,'Docketed Comments'!H:H,0)),"")</f>
        <v>https://docket.images.azcc.gov/E000046305.pdf</v>
      </c>
      <c r="N668" s="118" t="str">
        <f>IFERROR(INDEX('Docketed Comments'!N:N,MATCH(A668,'Docketed Comments'!H:H,0)),"")</f>
        <v>No</v>
      </c>
      <c r="O668" s="118" t="str">
        <f>IFERROR(INDEX('Docketed Comments'!L:L,MATCH(A668,'Docketed Comments'!H:H,0)),"")</f>
        <v>Y</v>
      </c>
      <c r="P668" s="119">
        <f t="shared" si="20"/>
        <v>0</v>
      </c>
      <c r="Q668" s="60" t="s">
        <v>23</v>
      </c>
      <c r="R668" s="64" t="s">
        <v>24</v>
      </c>
      <c r="S668" s="64" t="s">
        <v>1452</v>
      </c>
    </row>
    <row r="669" spans="1:19" ht="21.95" customHeight="1">
      <c r="A669" s="66" t="s">
        <v>1453</v>
      </c>
      <c r="B669" s="64"/>
      <c r="C669" s="65"/>
      <c r="D669" s="64"/>
      <c r="E669" s="64"/>
      <c r="F669" s="60"/>
      <c r="G669" s="60" t="s">
        <v>88</v>
      </c>
      <c r="H669" s="60" t="str">
        <f>IFERROR(INDEX('Docketed Comments'!C:C,MATCH(A669,'Docketed Comments'!H:H,0))&amp;", "&amp;INDEX('Docketed Comments'!B:B,MATCH(A669,'Docketed Comments'!H:H,0)),"")</f>
        <v>Justin, Colon</v>
      </c>
      <c r="I669" s="60" t="str">
        <f>IFERROR(INDEX('Docketed Comments'!D:D,MATCH(A669,'Docketed Comments'!H:H,0)),"")</f>
        <v>Phoenix</v>
      </c>
      <c r="J669" s="60" t="str">
        <f>IFERROR(INDEX('Docketed Comments'!I:I,MATCH(A669,'Docketed Comments'!H:H,0)),"")</f>
        <v>R-BASIC</v>
      </c>
      <c r="K669" s="60" t="str">
        <f t="shared" si="21"/>
        <v>✅ On Best Plan</v>
      </c>
      <c r="L669" s="60" t="str">
        <f>IFERROR(INDEX('Docketed Comments'!F:F,MATCH(A669,'Docketed Comments'!H:H,0)),"")</f>
        <v>Form letter</v>
      </c>
      <c r="M669" s="120" t="str">
        <f>IFERROR(INDEX('Docketed Comments'!G:G,MATCH(A669,'Docketed Comments'!H:H,0)),"")</f>
        <v>https://docket.images.azcc.gov/E000046305.pdf</v>
      </c>
      <c r="N669" s="118" t="str">
        <f>IFERROR(INDEX('Docketed Comments'!N:N,MATCH(A669,'Docketed Comments'!H:H,0)),"")</f>
        <v>No</v>
      </c>
      <c r="O669" s="118" t="str">
        <f>IFERROR(INDEX('Docketed Comments'!L:L,MATCH(A669,'Docketed Comments'!H:H,0)),"")</f>
        <v>Y</v>
      </c>
      <c r="P669" s="119">
        <f t="shared" si="20"/>
        <v>0</v>
      </c>
      <c r="Q669" s="60"/>
      <c r="R669" s="64" t="s">
        <v>75</v>
      </c>
      <c r="S669" s="64" t="s">
        <v>1454</v>
      </c>
    </row>
    <row r="670" spans="1:19" ht="21.95" hidden="1" customHeight="1">
      <c r="A670" s="66" t="s">
        <v>1455</v>
      </c>
      <c r="B670" s="64" t="s">
        <v>31</v>
      </c>
      <c r="C670" s="65">
        <v>46081</v>
      </c>
      <c r="D670" s="64" t="s">
        <v>21</v>
      </c>
      <c r="E670" s="64" t="s">
        <v>22</v>
      </c>
      <c r="F670" s="60" t="s">
        <v>41</v>
      </c>
      <c r="G670" s="60"/>
      <c r="H670" s="60" t="str">
        <f>IFERROR(INDEX('Docketed Comments'!C:C,MATCH(A670,'Docketed Comments'!H:H,0))&amp;", "&amp;INDEX('Docketed Comments'!B:B,MATCH(A670,'Docketed Comments'!H:H,0)),"")</f>
        <v>Randy, Brumund</v>
      </c>
      <c r="I670" s="60" t="str">
        <f>IFERROR(INDEX('Docketed Comments'!D:D,MATCH(A670,'Docketed Comments'!H:H,0)),"")</f>
        <v>Chino Valley</v>
      </c>
      <c r="J670" s="60" t="str">
        <f>IFERROR(INDEX('Docketed Comments'!I:I,MATCH(A670,'Docketed Comments'!H:H,0)),"")</f>
        <v>EPR-6w/E-12</v>
      </c>
      <c r="K670" s="60" t="str">
        <f t="shared" si="21"/>
        <v>⚠ Frozen Rate</v>
      </c>
      <c r="L670" s="60" t="str">
        <f>IFERROR(INDEX('Docketed Comments'!F:F,MATCH(A670,'Docketed Comments'!H:H,0)),"")</f>
        <v>Barely have enough to cover the increase of food</v>
      </c>
      <c r="M670" s="120" t="str">
        <f>IFERROR(INDEX('Docketed Comments'!G:G,MATCH(A670,'Docketed Comments'!H:H,0)),"")</f>
        <v>https://docket.images.azcc.gov/E000046309.pdf</v>
      </c>
      <c r="N670" s="118" t="str">
        <f>IFERROR(INDEX('Docketed Comments'!N:N,MATCH(A670,'Docketed Comments'!H:H,0)),"")</f>
        <v>No</v>
      </c>
      <c r="O670" s="118" t="str">
        <f>IFERROR(INDEX('Docketed Comments'!L:L,MATCH(A670,'Docketed Comments'!H:H,0)),"")</f>
        <v>Frozen Rate</v>
      </c>
      <c r="P670" s="119">
        <f t="shared" si="20"/>
        <v>0</v>
      </c>
      <c r="Q670" s="60" t="s">
        <v>23</v>
      </c>
      <c r="R670" s="64" t="s">
        <v>24</v>
      </c>
      <c r="S670" s="64" t="s">
        <v>1456</v>
      </c>
    </row>
    <row r="671" spans="1:19" ht="21.95" hidden="1" customHeight="1">
      <c r="A671" s="66" t="s">
        <v>1457</v>
      </c>
      <c r="B671" s="64" t="s">
        <v>31</v>
      </c>
      <c r="C671" s="65">
        <v>46081</v>
      </c>
      <c r="D671" s="64" t="s">
        <v>27</v>
      </c>
      <c r="E671" s="64" t="s">
        <v>35</v>
      </c>
      <c r="F671" s="60" t="s">
        <v>946</v>
      </c>
      <c r="G671" s="60"/>
      <c r="H671" s="60" t="str">
        <f>IFERROR(INDEX('Docketed Comments'!C:C,MATCH(A671,'Docketed Comments'!H:H,0))&amp;", "&amp;INDEX('Docketed Comments'!B:B,MATCH(A671,'Docketed Comments'!H:H,0)),"")</f>
        <v>Raju, Shah</v>
      </c>
      <c r="I671" s="60" t="str">
        <f>IFERROR(INDEX('Docketed Comments'!D:D,MATCH(A671,'Docketed Comments'!H:H,0)),"")</f>
        <v>Phoenix</v>
      </c>
      <c r="J671" s="60" t="str">
        <f>IFERROR(INDEX('Docketed Comments'!I:I,MATCH(A671,'Docketed Comments'!H:H,0)),"")</f>
        <v>EPR-6w/E-12</v>
      </c>
      <c r="K671" s="60" t="str">
        <f t="shared" si="21"/>
        <v>⚠ Frozen Rate</v>
      </c>
      <c r="L671" s="60" t="str">
        <f>IFERROR(INDEX('Docketed Comments'!F:F,MATCH(A671,'Docketed Comments'!H:H,0)),"")</f>
        <v>Opposed</v>
      </c>
      <c r="M671" s="120" t="str">
        <f>IFERROR(INDEX('Docketed Comments'!G:G,MATCH(A671,'Docketed Comments'!H:H,0)),"")</f>
        <v>https://docket.images.azcc.gov/E000046309.pdf</v>
      </c>
      <c r="N671" s="118" t="str">
        <f>IFERROR(INDEX('Docketed Comments'!N:N,MATCH(A671,'Docketed Comments'!H:H,0)),"")</f>
        <v>No</v>
      </c>
      <c r="O671" s="118" t="str">
        <f>IFERROR(INDEX('Docketed Comments'!L:L,MATCH(A671,'Docketed Comments'!H:H,0)),"")</f>
        <v>Frozen Rate</v>
      </c>
      <c r="P671" s="119">
        <f t="shared" si="20"/>
        <v>0</v>
      </c>
      <c r="Q671" s="60" t="s">
        <v>23</v>
      </c>
      <c r="R671" s="64" t="s">
        <v>24</v>
      </c>
      <c r="S671" s="64" t="s">
        <v>1458</v>
      </c>
    </row>
    <row r="672" spans="1:19" ht="21.95" customHeight="1">
      <c r="A672" s="66" t="s">
        <v>1459</v>
      </c>
      <c r="B672" s="64"/>
      <c r="C672" s="65"/>
      <c r="D672" s="64"/>
      <c r="E672" s="64"/>
      <c r="F672" s="60"/>
      <c r="G672" s="60" t="s">
        <v>88</v>
      </c>
      <c r="H672" s="60" t="str">
        <f>IFERROR(INDEX('Docketed Comments'!C:C,MATCH(A672,'Docketed Comments'!H:H,0))&amp;", "&amp;INDEX('Docketed Comments'!B:B,MATCH(A672,'Docketed Comments'!H:H,0)),"")</f>
        <v>Mark, Pircaro</v>
      </c>
      <c r="I672" s="60" t="str">
        <f>IFERROR(INDEX('Docketed Comments'!D:D,MATCH(A672,'Docketed Comments'!H:H,0)),"")</f>
        <v>Yuma</v>
      </c>
      <c r="J672" s="60" t="str">
        <f>IFERROR(INDEX('Docketed Comments'!I:I,MATCH(A672,'Docketed Comments'!H:H,0)),"")</f>
        <v>R3-47</v>
      </c>
      <c r="K672" s="60" t="str">
        <f t="shared" si="21"/>
        <v>✅ On Best Plan</v>
      </c>
      <c r="L672" s="60" t="str">
        <f>IFERROR(INDEX('Docketed Comments'!F:F,MATCH(A672,'Docketed Comments'!H:H,0)),"")</f>
        <v>Opposed</v>
      </c>
      <c r="M672" s="120" t="str">
        <f>IFERROR(INDEX('Docketed Comments'!G:G,MATCH(A672,'Docketed Comments'!H:H,0)),"")</f>
        <v>https://docket.images.azcc.gov/E000046309.pdf</v>
      </c>
      <c r="N672" s="118" t="str">
        <f>IFERROR(INDEX('Docketed Comments'!N:N,MATCH(A672,'Docketed Comments'!H:H,0)),"")</f>
        <v>No</v>
      </c>
      <c r="O672" s="118" t="str">
        <f>IFERROR(INDEX('Docketed Comments'!L:L,MATCH(A672,'Docketed Comments'!H:H,0)),"")</f>
        <v>Y</v>
      </c>
      <c r="P672" s="119">
        <f t="shared" si="20"/>
        <v>0</v>
      </c>
      <c r="Q672" s="60"/>
      <c r="R672" s="64" t="s">
        <v>75</v>
      </c>
      <c r="S672" s="64" t="s">
        <v>1460</v>
      </c>
    </row>
    <row r="673" spans="1:19" ht="21.95" hidden="1" customHeight="1">
      <c r="A673" s="66" t="s">
        <v>1461</v>
      </c>
      <c r="B673" s="64" t="s">
        <v>31</v>
      </c>
      <c r="C673" s="65">
        <v>46081</v>
      </c>
      <c r="D673" s="64" t="s">
        <v>21</v>
      </c>
      <c r="E673" s="64" t="s">
        <v>22</v>
      </c>
      <c r="F673" s="60" t="s">
        <v>41</v>
      </c>
      <c r="G673" s="60"/>
      <c r="H673" s="60" t="str">
        <f>IFERROR(INDEX('Docketed Comments'!C:C,MATCH(A673,'Docketed Comments'!H:H,0))&amp;", "&amp;INDEX('Docketed Comments'!B:B,MATCH(A673,'Docketed Comments'!H:H,0)),"")</f>
        <v>Ingeborg, Ray</v>
      </c>
      <c r="I673" s="60" t="str">
        <f>IFERROR(INDEX('Docketed Comments'!D:D,MATCH(A673,'Docketed Comments'!H:H,0)),"")</f>
        <v>Phoenix</v>
      </c>
      <c r="J673" s="60" t="str">
        <f>IFERROR(INDEX('Docketed Comments'!I:I,MATCH(A673,'Docketed Comments'!H:H,0)),"")</f>
        <v>R3-47</v>
      </c>
      <c r="K673" s="60" t="str">
        <f t="shared" si="21"/>
        <v>✅ On Best Plan</v>
      </c>
      <c r="L673" s="60" t="str">
        <f>IFERROR(INDEX('Docketed Comments'!F:F,MATCH(A673,'Docketed Comments'!H:H,0)),"")</f>
        <v>Opposed</v>
      </c>
      <c r="M673" s="120" t="str">
        <f>IFERROR(INDEX('Docketed Comments'!G:G,MATCH(A673,'Docketed Comments'!H:H,0)),"")</f>
        <v>https://docket.images.azcc.gov/E000046316.pdf</v>
      </c>
      <c r="N673" s="118" t="str">
        <f>IFERROR(INDEX('Docketed Comments'!N:N,MATCH(A673,'Docketed Comments'!H:H,0)),"")</f>
        <v>No</v>
      </c>
      <c r="O673" s="118" t="str">
        <f>IFERROR(INDEX('Docketed Comments'!L:L,MATCH(A673,'Docketed Comments'!H:H,0)),"")</f>
        <v>Y</v>
      </c>
      <c r="P673" s="119">
        <f t="shared" si="20"/>
        <v>0</v>
      </c>
      <c r="Q673" s="60" t="s">
        <v>23</v>
      </c>
      <c r="R673" s="64" t="s">
        <v>24</v>
      </c>
      <c r="S673" s="64" t="s">
        <v>1462</v>
      </c>
    </row>
    <row r="674" spans="1:19" ht="21.95" hidden="1" customHeight="1">
      <c r="A674" s="66" t="s">
        <v>1463</v>
      </c>
      <c r="B674" s="64" t="s">
        <v>31</v>
      </c>
      <c r="C674" s="65">
        <v>46081</v>
      </c>
      <c r="D674" s="64" t="s">
        <v>27</v>
      </c>
      <c r="E674" s="64" t="s">
        <v>35</v>
      </c>
      <c r="F674" s="60"/>
      <c r="G674" s="60"/>
      <c r="H674" s="60" t="str">
        <f>IFERROR(INDEX('Docketed Comments'!C:C,MATCH(A674,'Docketed Comments'!H:H,0))&amp;", "&amp;INDEX('Docketed Comments'!B:B,MATCH(A674,'Docketed Comments'!H:H,0)),"")</f>
        <v>Kyle, Frederick</v>
      </c>
      <c r="I674" s="60" t="str">
        <f>IFERROR(INDEX('Docketed Comments'!D:D,MATCH(A674,'Docketed Comments'!H:H,0)),"")</f>
        <v>Buckeye</v>
      </c>
      <c r="J674" s="60" t="str">
        <f>IFERROR(INDEX('Docketed Comments'!I:I,MATCH(A674,'Docketed Comments'!H:H,0)),"")</f>
        <v>RCPw/RTOUE47</v>
      </c>
      <c r="K674" s="60" t="str">
        <f t="shared" si="21"/>
        <v>✅ On Best Plan</v>
      </c>
      <c r="L674" s="60" t="str">
        <f>IFERROR(INDEX('Docketed Comments'!F:F,MATCH(A674,'Docketed Comments'!H:H,0)),"")</f>
        <v>Opposed</v>
      </c>
      <c r="M674" s="120" t="str">
        <f>IFERROR(INDEX('Docketed Comments'!G:G,MATCH(A674,'Docketed Comments'!H:H,0)),"")</f>
        <v>https://docket.images.azcc.gov/E000046329.pdf</v>
      </c>
      <c r="N674" s="118" t="str">
        <f>IFERROR(INDEX('Docketed Comments'!N:N,MATCH(A674,'Docketed Comments'!H:H,0)),"")</f>
        <v>No</v>
      </c>
      <c r="O674" s="118" t="str">
        <f>IFERROR(INDEX('Docketed Comments'!L:L,MATCH(A674,'Docketed Comments'!H:H,0)),"")</f>
        <v>Y</v>
      </c>
      <c r="P674" s="119">
        <f t="shared" si="20"/>
        <v>0</v>
      </c>
      <c r="Q674" s="60" t="s">
        <v>23</v>
      </c>
      <c r="R674" s="64" t="s">
        <v>24</v>
      </c>
      <c r="S674" s="64" t="s">
        <v>1464</v>
      </c>
    </row>
    <row r="675" spans="1:19" ht="21.95" customHeight="1">
      <c r="A675" s="66" t="s">
        <v>1465</v>
      </c>
      <c r="B675" s="64"/>
      <c r="C675" s="65"/>
      <c r="D675" s="64"/>
      <c r="E675" s="64"/>
      <c r="F675" s="60"/>
      <c r="G675" s="60" t="s">
        <v>88</v>
      </c>
      <c r="H675" s="60" t="str">
        <f>IFERROR(INDEX('Docketed Comments'!C:C,MATCH(A675,'Docketed Comments'!H:H,0))&amp;", "&amp;INDEX('Docketed Comments'!B:B,MATCH(A675,'Docketed Comments'!H:H,0)),"")</f>
        <v>Paul, Craycroft</v>
      </c>
      <c r="I675" s="60" t="str">
        <f>IFERROR(INDEX('Docketed Comments'!D:D,MATCH(A675,'Docketed Comments'!H:H,0)),"")</f>
        <v>Goodyear</v>
      </c>
      <c r="J675" s="60" t="str">
        <f>IFERROR(INDEX('Docketed Comments'!I:I,MATCH(A675,'Docketed Comments'!H:H,0)),"")</f>
        <v>RCPw/R-2</v>
      </c>
      <c r="K675" s="60" t="str">
        <f t="shared" si="21"/>
        <v>⚠ Frozen Rate</v>
      </c>
      <c r="L675" s="60" t="str">
        <f>IFERROR(INDEX('Docketed Comments'!F:F,MATCH(A675,'Docketed Comments'!H:H,0)),"")</f>
        <v>Opposed</v>
      </c>
      <c r="M675" s="120" t="str">
        <f>IFERROR(INDEX('Docketed Comments'!G:G,MATCH(A675,'Docketed Comments'!H:H,0)),"")</f>
        <v>https://docket.images.azcc.gov/E000046329.pdf</v>
      </c>
      <c r="N675" s="118" t="str">
        <f>IFERROR(INDEX('Docketed Comments'!N:N,MATCH(A675,'Docketed Comments'!H:H,0)),"")</f>
        <v>No</v>
      </c>
      <c r="O675" s="118" t="str">
        <f>IFERROR(INDEX('Docketed Comments'!L:L,MATCH(A675,'Docketed Comments'!H:H,0)),"")</f>
        <v>Frozen Rate</v>
      </c>
      <c r="P675" s="119">
        <f t="shared" si="20"/>
        <v>0</v>
      </c>
      <c r="Q675" s="60"/>
      <c r="R675" s="64" t="s">
        <v>75</v>
      </c>
      <c r="S675" s="64" t="s">
        <v>1466</v>
      </c>
    </row>
    <row r="676" spans="1:19" ht="21.95" hidden="1" customHeight="1">
      <c r="A676" s="66" t="s">
        <v>1467</v>
      </c>
      <c r="B676" s="64" t="s">
        <v>31</v>
      </c>
      <c r="C676" s="65">
        <v>46081</v>
      </c>
      <c r="D676" s="64" t="s">
        <v>21</v>
      </c>
      <c r="E676" s="64" t="s">
        <v>22</v>
      </c>
      <c r="F676" s="60" t="s">
        <v>41</v>
      </c>
      <c r="G676" s="60"/>
      <c r="H676" s="60" t="str">
        <f>IFERROR(INDEX('Docketed Comments'!C:C,MATCH(A676,'Docketed Comments'!H:H,0))&amp;", "&amp;INDEX('Docketed Comments'!B:B,MATCH(A676,'Docketed Comments'!H:H,0)),"")</f>
        <v>Chris , Starr</v>
      </c>
      <c r="I676" s="60" t="str">
        <f>IFERROR(INDEX('Docketed Comments'!D:D,MATCH(A676,'Docketed Comments'!H:H,0)),"")</f>
        <v>Peoria</v>
      </c>
      <c r="J676" s="60" t="str">
        <f>IFERROR(INDEX('Docketed Comments'!I:I,MATCH(A676,'Docketed Comments'!H:H,0)),"")</f>
        <v>RTOUE47</v>
      </c>
      <c r="K676" s="60" t="str">
        <f t="shared" si="21"/>
        <v>✅ On Best Plan</v>
      </c>
      <c r="L676" s="60" t="str">
        <f>IFERROR(INDEX('Docketed Comments'!F:F,MATCH(A676,'Docketed Comments'!H:H,0)),"")</f>
        <v>Opposed</v>
      </c>
      <c r="M676" s="120" t="str">
        <f>IFERROR(INDEX('Docketed Comments'!G:G,MATCH(A676,'Docketed Comments'!H:H,0)),"")</f>
        <v>https://docket.images.azcc.gov/E000046329.pdf</v>
      </c>
      <c r="N676" s="118" t="str">
        <f>IFERROR(INDEX('Docketed Comments'!N:N,MATCH(A676,'Docketed Comments'!H:H,0)),"")</f>
        <v>No</v>
      </c>
      <c r="O676" s="118" t="str">
        <f>IFERROR(INDEX('Docketed Comments'!L:L,MATCH(A676,'Docketed Comments'!H:H,0)),"")</f>
        <v>Y</v>
      </c>
      <c r="P676" s="119">
        <f t="shared" si="20"/>
        <v>0</v>
      </c>
      <c r="Q676" s="60" t="s">
        <v>23</v>
      </c>
      <c r="R676" s="64" t="s">
        <v>24</v>
      </c>
      <c r="S676" s="64" t="s">
        <v>1468</v>
      </c>
    </row>
    <row r="677" spans="1:19" ht="21.95" customHeight="1">
      <c r="A677" s="66" t="s">
        <v>1469</v>
      </c>
      <c r="B677" s="64"/>
      <c r="C677" s="65"/>
      <c r="D677" s="64"/>
      <c r="E677" s="64"/>
      <c r="F677" s="60"/>
      <c r="G677" s="60" t="s">
        <v>88</v>
      </c>
      <c r="H677" s="60" t="str">
        <f>IFERROR(INDEX('Docketed Comments'!C:C,MATCH(A677,'Docketed Comments'!H:H,0))&amp;", "&amp;INDEX('Docketed Comments'!B:B,MATCH(A677,'Docketed Comments'!H:H,0)),"")</f>
        <v>Aaron, Lassner</v>
      </c>
      <c r="I677" s="60" t="str">
        <f>IFERROR(INDEX('Docketed Comments'!D:D,MATCH(A677,'Docketed Comments'!H:H,0)),"")</f>
        <v>Surprise</v>
      </c>
      <c r="J677" s="60" t="str">
        <f>IFERROR(INDEX('Docketed Comments'!I:I,MATCH(A677,'Docketed Comments'!H:H,0)),"")</f>
        <v>RCPw/RTOUE47</v>
      </c>
      <c r="K677" s="60" t="str">
        <f t="shared" si="21"/>
        <v>✅ On Best Plan</v>
      </c>
      <c r="L677" s="60" t="str">
        <f>IFERROR(INDEX('Docketed Comments'!F:F,MATCH(A677,'Docketed Comments'!H:H,0)),"")</f>
        <v>Form letter</v>
      </c>
      <c r="M677" s="120" t="str">
        <f>IFERROR(INDEX('Docketed Comments'!G:G,MATCH(A677,'Docketed Comments'!H:H,0)),"")</f>
        <v>https://docket.images.azcc.gov/E000046349.pdf</v>
      </c>
      <c r="N677" s="118" t="str">
        <f>IFERROR(INDEX('Docketed Comments'!N:N,MATCH(A677,'Docketed Comments'!H:H,0)),"")</f>
        <v>No</v>
      </c>
      <c r="O677" s="118" t="str">
        <f>IFERROR(INDEX('Docketed Comments'!L:L,MATCH(A677,'Docketed Comments'!H:H,0)),"")</f>
        <v>Y</v>
      </c>
      <c r="P677" s="119">
        <f t="shared" si="20"/>
        <v>0</v>
      </c>
      <c r="Q677" s="60"/>
      <c r="R677" s="64" t="s">
        <v>75</v>
      </c>
      <c r="S677" s="64" t="s">
        <v>1470</v>
      </c>
    </row>
    <row r="678" spans="1:19" ht="21.95" hidden="1" customHeight="1">
      <c r="A678" s="66" t="s">
        <v>1471</v>
      </c>
      <c r="B678" s="64" t="s">
        <v>31</v>
      </c>
      <c r="C678" s="65">
        <v>46081</v>
      </c>
      <c r="D678" s="64" t="s">
        <v>27</v>
      </c>
      <c r="E678" s="64" t="s">
        <v>35</v>
      </c>
      <c r="F678" s="60"/>
      <c r="G678" s="60"/>
      <c r="H678" s="60" t="str">
        <f>IFERROR(INDEX('Docketed Comments'!C:C,MATCH(A678,'Docketed Comments'!H:H,0))&amp;", "&amp;INDEX('Docketed Comments'!B:B,MATCH(A678,'Docketed Comments'!H:H,0)),"")</f>
        <v>Saeed, Mohajerin</v>
      </c>
      <c r="I678" s="60" t="str">
        <f>IFERROR(INDEX('Docketed Comments'!D:D,MATCH(A678,'Docketed Comments'!H:H,0)),"")</f>
        <v>Scottsdale</v>
      </c>
      <c r="J678" s="60" t="str">
        <f>IFERROR(INDEX('Docketed Comments'!I:I,MATCH(A678,'Docketed Comments'!H:H,0)),"")</f>
        <v>R3-47</v>
      </c>
      <c r="K678" s="60" t="str">
        <f t="shared" si="21"/>
        <v>✅ On Best Plan</v>
      </c>
      <c r="L678" s="60" t="str">
        <f>IFERROR(INDEX('Docketed Comments'!F:F,MATCH(A678,'Docketed Comments'!H:H,0)),"")</f>
        <v>How much is enough</v>
      </c>
      <c r="M678" s="120" t="str">
        <f>IFERROR(INDEX('Docketed Comments'!G:G,MATCH(A678,'Docketed Comments'!H:H,0)),"")</f>
        <v>https://docket.images.azcc.gov/E000046349.pdf</v>
      </c>
      <c r="N678" s="118" t="str">
        <f>IFERROR(INDEX('Docketed Comments'!N:N,MATCH(A678,'Docketed Comments'!H:H,0)),"")</f>
        <v>No</v>
      </c>
      <c r="O678" s="118" t="str">
        <f>IFERROR(INDEX('Docketed Comments'!L:L,MATCH(A678,'Docketed Comments'!H:H,0)),"")</f>
        <v>Y</v>
      </c>
      <c r="P678" s="119">
        <f t="shared" si="20"/>
        <v>0</v>
      </c>
      <c r="Q678" s="60" t="s">
        <v>23</v>
      </c>
      <c r="R678" s="64" t="s">
        <v>24</v>
      </c>
      <c r="S678" s="64" t="s">
        <v>1472</v>
      </c>
    </row>
    <row r="679" spans="1:19" ht="21.95" customHeight="1">
      <c r="A679" s="66" t="s">
        <v>1473</v>
      </c>
      <c r="B679" s="64"/>
      <c r="C679" s="65"/>
      <c r="D679" s="64"/>
      <c r="E679" s="64"/>
      <c r="F679" s="60"/>
      <c r="G679" s="60" t="s">
        <v>88</v>
      </c>
      <c r="H679" s="60" t="str">
        <f>IFERROR(INDEX('Docketed Comments'!C:C,MATCH(A679,'Docketed Comments'!H:H,0))&amp;", "&amp;INDEX('Docketed Comments'!B:B,MATCH(A679,'Docketed Comments'!H:H,0)),"")</f>
        <v>Shirley, Thompson</v>
      </c>
      <c r="I679" s="60" t="str">
        <f>IFERROR(INDEX('Docketed Comments'!D:D,MATCH(A679,'Docketed Comments'!H:H,0)),"")</f>
        <v>Goodyear</v>
      </c>
      <c r="J679" s="60" t="str">
        <f>IFERROR(INDEX('Docketed Comments'!I:I,MATCH(A679,'Docketed Comments'!H:H,0)),"")</f>
        <v>R3-47</v>
      </c>
      <c r="K679" s="60" t="str">
        <f t="shared" si="21"/>
        <v>✅ On Best Plan</v>
      </c>
      <c r="L679" s="60" t="str">
        <f>IFERROR(INDEX('Docketed Comments'!F:F,MATCH(A679,'Docketed Comments'!H:H,0)),"")</f>
        <v>Opposed</v>
      </c>
      <c r="M679" s="120" t="str">
        <f>IFERROR(INDEX('Docketed Comments'!G:G,MATCH(A679,'Docketed Comments'!H:H,0)),"")</f>
        <v>https://docket.images.azcc.gov/E000046359.pdf</v>
      </c>
      <c r="N679" s="118" t="str">
        <f>IFERROR(INDEX('Docketed Comments'!N:N,MATCH(A679,'Docketed Comments'!H:H,0)),"")</f>
        <v>No</v>
      </c>
      <c r="O679" s="118" t="str">
        <f>IFERROR(INDEX('Docketed Comments'!L:L,MATCH(A679,'Docketed Comments'!H:H,0)),"")</f>
        <v>Y</v>
      </c>
      <c r="P679" s="119">
        <f t="shared" si="20"/>
        <v>0</v>
      </c>
      <c r="Q679" s="60"/>
      <c r="R679" s="64" t="s">
        <v>75</v>
      </c>
      <c r="S679" s="64" t="s">
        <v>1474</v>
      </c>
    </row>
    <row r="680" spans="1:19" ht="21.95" customHeight="1">
      <c r="A680" s="66" t="s">
        <v>1475</v>
      </c>
      <c r="B680" s="64"/>
      <c r="C680" s="65"/>
      <c r="D680" s="64"/>
      <c r="E680" s="64"/>
      <c r="F680" s="60"/>
      <c r="G680" s="60" t="s">
        <v>88</v>
      </c>
      <c r="H680" s="60" t="str">
        <f>IFERROR(INDEX('Docketed Comments'!C:C,MATCH(A680,'Docketed Comments'!H:H,0))&amp;", "&amp;INDEX('Docketed Comments'!B:B,MATCH(A680,'Docketed Comments'!H:H,0)),"")</f>
        <v>Melissa, Redman</v>
      </c>
      <c r="I680" s="60" t="str">
        <f>IFERROR(INDEX('Docketed Comments'!D:D,MATCH(A680,'Docketed Comments'!H:H,0)),"")</f>
        <v>Glendale</v>
      </c>
      <c r="J680" s="60" t="str">
        <f>IFERROR(INDEX('Docketed Comments'!I:I,MATCH(A680,'Docketed Comments'!H:H,0)),"")</f>
        <v>EPR-6w/E-12</v>
      </c>
      <c r="K680" s="60" t="str">
        <f t="shared" si="21"/>
        <v>⚠ Frozen Rate</v>
      </c>
      <c r="L680" s="60" t="str">
        <f>IFERROR(INDEX('Docketed Comments'!F:F,MATCH(A680,'Docketed Comments'!H:H,0)),"")</f>
        <v>Form letter</v>
      </c>
      <c r="M680" s="120" t="str">
        <f>IFERROR(INDEX('Docketed Comments'!G:G,MATCH(A680,'Docketed Comments'!H:H,0)),"")</f>
        <v>https://docket.images.azcc.gov/E000046404.pdf</v>
      </c>
      <c r="N680" s="118" t="str">
        <f>IFERROR(INDEX('Docketed Comments'!N:N,MATCH(A680,'Docketed Comments'!H:H,0)),"")</f>
        <v>No</v>
      </c>
      <c r="O680" s="118" t="str">
        <f>IFERROR(INDEX('Docketed Comments'!L:L,MATCH(A680,'Docketed Comments'!H:H,0)),"")</f>
        <v>Frozen Rate</v>
      </c>
      <c r="P680" s="119">
        <f t="shared" si="20"/>
        <v>0</v>
      </c>
      <c r="Q680" s="60"/>
      <c r="R680" s="64" t="s">
        <v>75</v>
      </c>
      <c r="S680" s="64" t="s">
        <v>1476</v>
      </c>
    </row>
    <row r="681" spans="1:19" ht="21.95" hidden="1" customHeight="1">
      <c r="A681" s="66" t="s">
        <v>1477</v>
      </c>
      <c r="B681" s="64" t="s">
        <v>31</v>
      </c>
      <c r="C681" s="65">
        <v>45997</v>
      </c>
      <c r="D681" s="64" t="s">
        <v>21</v>
      </c>
      <c r="E681" s="64" t="s">
        <v>22</v>
      </c>
      <c r="F681" s="60" t="s">
        <v>1478</v>
      </c>
      <c r="G681" s="60"/>
      <c r="H681" s="60" t="str">
        <f>IFERROR(INDEX('Docketed Comments'!C:C,MATCH(A681,'Docketed Comments'!H:H,0))&amp;", "&amp;INDEX('Docketed Comments'!B:B,MATCH(A681,'Docketed Comments'!H:H,0)),"")</f>
        <v xml:space="preserve">Kevin, Salt </v>
      </c>
      <c r="I681" s="60" t="str">
        <f>IFERROR(INDEX('Docketed Comments'!D:D,MATCH(A681,'Docketed Comments'!H:H,0)),"")</f>
        <v>Scottsdale</v>
      </c>
      <c r="J681" s="60" t="str">
        <f>IFERROR(INDEX('Docketed Comments'!I:I,MATCH(A681,'Docketed Comments'!H:H,0)),"")</f>
        <v>R-2</v>
      </c>
      <c r="K681" s="60" t="str">
        <f t="shared" si="21"/>
        <v>⚠ Frozen Rate</v>
      </c>
      <c r="L681" s="60" t="str">
        <f>IFERROR(INDEX('Docketed Comments'!F:F,MATCH(A681,'Docketed Comments'!H:H,0)),"")</f>
        <v>Opposed</v>
      </c>
      <c r="M681" s="120" t="str">
        <f>IFERROR(INDEX('Docketed Comments'!G:G,MATCH(A681,'Docketed Comments'!H:H,0)),"")</f>
        <v>https://docket.images.azcc.gov/E000046404.pdf</v>
      </c>
      <c r="N681" s="118" t="str">
        <f>IFERROR(INDEX('Docketed Comments'!N:N,MATCH(A681,'Docketed Comments'!H:H,0)),"")</f>
        <v>No</v>
      </c>
      <c r="O681" s="118" t="str">
        <f>IFERROR(INDEX('Docketed Comments'!L:L,MATCH(A681,'Docketed Comments'!H:H,0)),"")</f>
        <v>Frozen Rate</v>
      </c>
      <c r="P681" s="119">
        <f t="shared" si="20"/>
        <v>0</v>
      </c>
      <c r="Q681" s="60" t="s">
        <v>23</v>
      </c>
      <c r="R681" s="64" t="s">
        <v>24</v>
      </c>
      <c r="S681" s="64" t="s">
        <v>1479</v>
      </c>
    </row>
    <row r="682" spans="1:19" ht="21.95" customHeight="1">
      <c r="A682" s="66" t="s">
        <v>1480</v>
      </c>
      <c r="B682" s="64"/>
      <c r="C682" s="65"/>
      <c r="D682" s="64"/>
      <c r="E682" s="64"/>
      <c r="F682" s="60"/>
      <c r="G682" s="60" t="s">
        <v>88</v>
      </c>
      <c r="H682" s="60" t="str">
        <f>IFERROR(INDEX('Docketed Comments'!C:C,MATCH(A682,'Docketed Comments'!H:H,0))&amp;", "&amp;INDEX('Docketed Comments'!B:B,MATCH(A682,'Docketed Comments'!H:H,0)),"")</f>
        <v>Steven, Harms</v>
      </c>
      <c r="I682" s="60" t="str">
        <f>IFERROR(INDEX('Docketed Comments'!D:D,MATCH(A682,'Docketed Comments'!H:H,0)),"")</f>
        <v>Prescott</v>
      </c>
      <c r="J682" s="60" t="str">
        <f>IFERROR(INDEX('Docketed Comments'!I:I,MATCH(A682,'Docketed Comments'!H:H,0)),"")</f>
        <v>R-XS</v>
      </c>
      <c r="K682" s="60" t="str">
        <f t="shared" si="21"/>
        <v>✅ On Best Plan</v>
      </c>
      <c r="L682" s="60" t="str">
        <f>IFERROR(INDEX('Docketed Comments'!F:F,MATCH(A682,'Docketed Comments'!H:H,0)),"")</f>
        <v>Reduced exorbitant salaries</v>
      </c>
      <c r="M682" s="120" t="str">
        <f>IFERROR(INDEX('Docketed Comments'!G:G,MATCH(A682,'Docketed Comments'!H:H,0)),"")</f>
        <v>https://docket.images.azcc.gov/E000046437.pdf</v>
      </c>
      <c r="N682" s="118" t="str">
        <f>IFERROR(INDEX('Docketed Comments'!N:N,MATCH(A682,'Docketed Comments'!H:H,0)),"")</f>
        <v>No</v>
      </c>
      <c r="O682" s="118" t="str">
        <f>IFERROR(INDEX('Docketed Comments'!L:L,MATCH(A682,'Docketed Comments'!H:H,0)),"")</f>
        <v>Y</v>
      </c>
      <c r="P682" s="119">
        <f t="shared" si="20"/>
        <v>0</v>
      </c>
      <c r="Q682" s="60"/>
      <c r="R682" s="64" t="s">
        <v>75</v>
      </c>
      <c r="S682" s="64" t="s">
        <v>1481</v>
      </c>
    </row>
    <row r="683" spans="1:19" ht="21.95" hidden="1" customHeight="1">
      <c r="A683" s="66" t="s">
        <v>1482</v>
      </c>
      <c r="B683" s="64" t="s">
        <v>31</v>
      </c>
      <c r="C683" s="65">
        <v>45997</v>
      </c>
      <c r="D683" s="64" t="s">
        <v>21</v>
      </c>
      <c r="E683" s="64" t="s">
        <v>22</v>
      </c>
      <c r="F683" s="60" t="s">
        <v>1483</v>
      </c>
      <c r="G683" s="60"/>
      <c r="H683" s="60" t="str">
        <f>IFERROR(INDEX('Docketed Comments'!C:C,MATCH(A683,'Docketed Comments'!H:H,0))&amp;", "&amp;INDEX('Docketed Comments'!B:B,MATCH(A683,'Docketed Comments'!H:H,0)),"")</f>
        <v>David, Dukart</v>
      </c>
      <c r="I683" s="60" t="str">
        <f>IFERROR(INDEX('Docketed Comments'!D:D,MATCH(A683,'Docketed Comments'!H:H,0)),"")</f>
        <v>Glendale</v>
      </c>
      <c r="J683" s="60" t="str">
        <f>IFERROR(INDEX('Docketed Comments'!I:I,MATCH(A683,'Docketed Comments'!H:H,0)),"")</f>
        <v>R-2</v>
      </c>
      <c r="K683" s="60" t="str">
        <f t="shared" si="21"/>
        <v>⚠ Frozen Rate</v>
      </c>
      <c r="L683" s="60" t="str">
        <f>IFERROR(INDEX('Docketed Comments'!F:F,MATCH(A683,'Docketed Comments'!H:H,0)),"")</f>
        <v>Corporate Greed</v>
      </c>
      <c r="M683" s="120" t="str">
        <f>IFERROR(INDEX('Docketed Comments'!G:G,MATCH(A683,'Docketed Comments'!H:H,0)),"")</f>
        <v>https://docket.images.azcc.gov/E000046437.pdf</v>
      </c>
      <c r="N683" s="118" t="str">
        <f>IFERROR(INDEX('Docketed Comments'!N:N,MATCH(A683,'Docketed Comments'!H:H,0)),"")</f>
        <v>No</v>
      </c>
      <c r="O683" s="118" t="str">
        <f>IFERROR(INDEX('Docketed Comments'!L:L,MATCH(A683,'Docketed Comments'!H:H,0)),"")</f>
        <v>Frozen Rate</v>
      </c>
      <c r="P683" s="119">
        <f t="shared" si="20"/>
        <v>0</v>
      </c>
      <c r="Q683" s="60" t="s">
        <v>23</v>
      </c>
      <c r="R683" s="64" t="s">
        <v>24</v>
      </c>
      <c r="S683" s="64" t="s">
        <v>1484</v>
      </c>
    </row>
    <row r="684" spans="1:19" ht="21.95" customHeight="1">
      <c r="A684" s="66" t="s">
        <v>1485</v>
      </c>
      <c r="B684" s="64"/>
      <c r="C684" s="65"/>
      <c r="D684" s="64"/>
      <c r="E684" s="64"/>
      <c r="F684" s="60"/>
      <c r="G684" s="60" t="s">
        <v>88</v>
      </c>
      <c r="H684" s="60" t="str">
        <f>IFERROR(INDEX('Docketed Comments'!C:C,MATCH(A684,'Docketed Comments'!H:H,0))&amp;", "&amp;INDEX('Docketed Comments'!B:B,MATCH(A684,'Docketed Comments'!H:H,0)),"")</f>
        <v>David, Andrews</v>
      </c>
      <c r="I684" s="60" t="str">
        <f>IFERROR(INDEX('Docketed Comments'!D:D,MATCH(A684,'Docketed Comments'!H:H,0)),"")</f>
        <v>Yuma</v>
      </c>
      <c r="J684" s="60" t="str">
        <f>IFERROR(INDEX('Docketed Comments'!I:I,MATCH(A684,'Docketed Comments'!H:H,0)),"")</f>
        <v>R-XS</v>
      </c>
      <c r="K684" s="60" t="str">
        <f t="shared" si="21"/>
        <v>✅ On Best Plan</v>
      </c>
      <c r="L684" s="60" t="str">
        <f>IFERROR(INDEX('Docketed Comments'!F:F,MATCH(A684,'Docketed Comments'!H:H,0)),"")</f>
        <v>Firmly against</v>
      </c>
      <c r="M684" s="120" t="str">
        <f>IFERROR(INDEX('Docketed Comments'!G:G,MATCH(A684,'Docketed Comments'!H:H,0)),"")</f>
        <v>https://docket.images.azcc.gov/E000046437.pdf</v>
      </c>
      <c r="N684" s="118" t="str">
        <f>IFERROR(INDEX('Docketed Comments'!N:N,MATCH(A684,'Docketed Comments'!H:H,0)),"")</f>
        <v>No</v>
      </c>
      <c r="O684" s="118" t="str">
        <f>IFERROR(INDEX('Docketed Comments'!L:L,MATCH(A684,'Docketed Comments'!H:H,0)),"")</f>
        <v>Y</v>
      </c>
      <c r="P684" s="119">
        <f t="shared" si="20"/>
        <v>0</v>
      </c>
      <c r="Q684" s="60"/>
      <c r="R684" s="64" t="s">
        <v>75</v>
      </c>
      <c r="S684" s="64" t="s">
        <v>1486</v>
      </c>
    </row>
    <row r="685" spans="1:19" ht="21.95" hidden="1" customHeight="1">
      <c r="A685" s="66" t="s">
        <v>1487</v>
      </c>
      <c r="B685" s="64" t="s">
        <v>31</v>
      </c>
      <c r="C685" s="65">
        <v>46081</v>
      </c>
      <c r="D685" s="64" t="s">
        <v>27</v>
      </c>
      <c r="E685" s="64" t="s">
        <v>22</v>
      </c>
      <c r="F685" s="60" t="s">
        <v>1488</v>
      </c>
      <c r="G685" s="60"/>
      <c r="H685" s="60" t="str">
        <f>IFERROR(INDEX('Docketed Comments'!C:C,MATCH(A685,'Docketed Comments'!H:H,0))&amp;", "&amp;INDEX('Docketed Comments'!B:B,MATCH(A685,'Docketed Comments'!H:H,0)),"")</f>
        <v>Anthony, Harris</v>
      </c>
      <c r="I685" s="60" t="str">
        <f>IFERROR(INDEX('Docketed Comments'!D:D,MATCH(A685,'Docketed Comments'!H:H,0)),"")</f>
        <v>Glendale</v>
      </c>
      <c r="J685" s="60" t="str">
        <f>IFERROR(INDEX('Docketed Comments'!I:I,MATCH(A685,'Docketed Comments'!H:H,0)),"")</f>
        <v>R3-47</v>
      </c>
      <c r="K685" s="60" t="str">
        <f t="shared" si="21"/>
        <v>✅ On Best Plan</v>
      </c>
      <c r="L685" s="60" t="str">
        <f>IFERROR(INDEX('Docketed Comments'!F:F,MATCH(A685,'Docketed Comments'!H:H,0)),"")</f>
        <v>Form letter</v>
      </c>
      <c r="M685" s="120" t="str">
        <f>IFERROR(INDEX('Docketed Comments'!G:G,MATCH(A685,'Docketed Comments'!H:H,0)),"")</f>
        <v>https://docket.images.azcc.gov/E000046437.pdf</v>
      </c>
      <c r="N685" s="118" t="str">
        <f>IFERROR(INDEX('Docketed Comments'!N:N,MATCH(A685,'Docketed Comments'!H:H,0)),"")</f>
        <v>No</v>
      </c>
      <c r="O685" s="118" t="str">
        <f>IFERROR(INDEX('Docketed Comments'!L:L,MATCH(A685,'Docketed Comments'!H:H,0)),"")</f>
        <v>Y</v>
      </c>
      <c r="P685" s="119">
        <f t="shared" si="20"/>
        <v>0</v>
      </c>
      <c r="Q685" s="60" t="s">
        <v>23</v>
      </c>
      <c r="R685" s="64" t="s">
        <v>24</v>
      </c>
      <c r="S685" s="64" t="s">
        <v>1489</v>
      </c>
    </row>
    <row r="686" spans="1:19" ht="21.95" hidden="1" customHeight="1">
      <c r="A686" s="66" t="s">
        <v>1490</v>
      </c>
      <c r="B686" s="64" t="s">
        <v>31</v>
      </c>
      <c r="C686" s="65">
        <v>46081</v>
      </c>
      <c r="D686" s="64" t="s">
        <v>21</v>
      </c>
      <c r="E686" s="64" t="s">
        <v>22</v>
      </c>
      <c r="F686" s="60" t="s">
        <v>41</v>
      </c>
      <c r="G686" s="60"/>
      <c r="H686" s="60" t="str">
        <f>IFERROR(INDEX('Docketed Comments'!C:C,MATCH(A686,'Docketed Comments'!H:H,0))&amp;", "&amp;INDEX('Docketed Comments'!B:B,MATCH(A686,'Docketed Comments'!H:H,0)),"")</f>
        <v>Brenda, Mercado-Tarango</v>
      </c>
      <c r="I686" s="60" t="str">
        <f>IFERROR(INDEX('Docketed Comments'!D:D,MATCH(A686,'Docketed Comments'!H:H,0)),"")</f>
        <v>Avondale</v>
      </c>
      <c r="J686" s="60" t="str">
        <f>IFERROR(INDEX('Docketed Comments'!I:I,MATCH(A686,'Docketed Comments'!H:H,0)),"")</f>
        <v>RCPw/R3-47</v>
      </c>
      <c r="K686" s="60" t="str">
        <f t="shared" si="21"/>
        <v>✅ On Best Plan</v>
      </c>
      <c r="L686" s="60" t="str">
        <f>IFERROR(INDEX('Docketed Comments'!F:F,MATCH(A686,'Docketed Comments'!H:H,0)),"")</f>
        <v>Opposed</v>
      </c>
      <c r="M686" s="120" t="str">
        <f>IFERROR(INDEX('Docketed Comments'!G:G,MATCH(A686,'Docketed Comments'!H:H,0)),"")</f>
        <v>https://docket.images.azcc.gov/E000046437.pdf</v>
      </c>
      <c r="N686" s="118" t="str">
        <f>IFERROR(INDEX('Docketed Comments'!N:N,MATCH(A686,'Docketed Comments'!H:H,0)),"")</f>
        <v>No</v>
      </c>
      <c r="O686" s="118" t="str">
        <f>IFERROR(INDEX('Docketed Comments'!L:L,MATCH(A686,'Docketed Comments'!H:H,0)),"")</f>
        <v>Y</v>
      </c>
      <c r="P686" s="119">
        <f t="shared" si="20"/>
        <v>0</v>
      </c>
      <c r="Q686" s="60" t="s">
        <v>23</v>
      </c>
      <c r="R686" s="64" t="s">
        <v>24</v>
      </c>
      <c r="S686" s="64" t="s">
        <v>1491</v>
      </c>
    </row>
    <row r="687" spans="1:19" ht="21.95" customHeight="1">
      <c r="A687" s="66" t="s">
        <v>1492</v>
      </c>
      <c r="B687" s="64"/>
      <c r="C687" s="65"/>
      <c r="D687" s="64"/>
      <c r="E687" s="64"/>
      <c r="F687" s="60"/>
      <c r="G687" s="60" t="s">
        <v>88</v>
      </c>
      <c r="H687" s="60" t="str">
        <f>IFERROR(INDEX('Docketed Comments'!C:C,MATCH(A687,'Docketed Comments'!H:H,0))&amp;", "&amp;INDEX('Docketed Comments'!B:B,MATCH(A687,'Docketed Comments'!H:H,0)),"")</f>
        <v>Zachery, Sylvester</v>
      </c>
      <c r="I687" s="60" t="str">
        <f>IFERROR(INDEX('Docketed Comments'!D:D,MATCH(A687,'Docketed Comments'!H:H,0)),"")</f>
        <v>Phoenix</v>
      </c>
      <c r="J687" s="60" t="str">
        <f>IFERROR(INDEX('Docketed Comments'!I:I,MATCH(A687,'Docketed Comments'!H:H,0)),"")</f>
        <v>R-XS</v>
      </c>
      <c r="K687" s="60" t="str">
        <f t="shared" si="21"/>
        <v>✅ On Best Plan</v>
      </c>
      <c r="L687" s="60" t="str">
        <f>IFERROR(INDEX('Docketed Comments'!F:F,MATCH(A687,'Docketed Comments'!H:H,0)),"")</f>
        <v>Opposed</v>
      </c>
      <c r="M687" s="120" t="str">
        <f>IFERROR(INDEX('Docketed Comments'!G:G,MATCH(A687,'Docketed Comments'!H:H,0)),"")</f>
        <v>https://docket.images.azcc.gov/E000046437.pdf</v>
      </c>
      <c r="N687" s="118" t="str">
        <f>IFERROR(INDEX('Docketed Comments'!N:N,MATCH(A687,'Docketed Comments'!H:H,0)),"")</f>
        <v>No</v>
      </c>
      <c r="O687" s="118" t="str">
        <f>IFERROR(INDEX('Docketed Comments'!L:L,MATCH(A687,'Docketed Comments'!H:H,0)),"")</f>
        <v>Y</v>
      </c>
      <c r="P687" s="119">
        <f t="shared" si="20"/>
        <v>0</v>
      </c>
      <c r="Q687" s="60"/>
      <c r="R687" s="64" t="s">
        <v>75</v>
      </c>
      <c r="S687" s="64" t="s">
        <v>1493</v>
      </c>
    </row>
    <row r="688" spans="1:19" ht="21.95" hidden="1" customHeight="1">
      <c r="A688" s="66" t="s">
        <v>1494</v>
      </c>
      <c r="B688" s="64" t="s">
        <v>31</v>
      </c>
      <c r="C688" s="65">
        <v>46081</v>
      </c>
      <c r="D688" s="64" t="s">
        <v>21</v>
      </c>
      <c r="E688" s="64" t="s">
        <v>22</v>
      </c>
      <c r="F688" s="60" t="s">
        <v>41</v>
      </c>
      <c r="G688" s="60"/>
      <c r="H688" s="60" t="str">
        <f>IFERROR(INDEX('Docketed Comments'!C:C,MATCH(A688,'Docketed Comments'!H:H,0))&amp;", "&amp;INDEX('Docketed Comments'!B:B,MATCH(A688,'Docketed Comments'!H:H,0)),"")</f>
        <v>Richard, Callingham</v>
      </c>
      <c r="I688" s="60" t="str">
        <f>IFERROR(INDEX('Docketed Comments'!D:D,MATCH(A688,'Docketed Comments'!H:H,0)),"")</f>
        <v>Phoenix</v>
      </c>
      <c r="J688" s="60" t="str">
        <f>IFERROR(INDEX('Docketed Comments'!I:I,MATCH(A688,'Docketed Comments'!H:H,0)),"")</f>
        <v>EPR-6w/ET-2</v>
      </c>
      <c r="K688" s="60" t="str">
        <f t="shared" si="21"/>
        <v>⚠ Frozen Rate</v>
      </c>
      <c r="L688" s="60" t="str">
        <f>IFERROR(INDEX('Docketed Comments'!F:F,MATCH(A688,'Docketed Comments'!H:H,0)),"")</f>
        <v>Opposed</v>
      </c>
      <c r="M688" s="120" t="str">
        <f>IFERROR(INDEX('Docketed Comments'!G:G,MATCH(A688,'Docketed Comments'!H:H,0)),"")</f>
        <v>https://docket.images.azcc.gov/E000046437.pdf</v>
      </c>
      <c r="N688" s="118" t="str">
        <f>IFERROR(INDEX('Docketed Comments'!N:N,MATCH(A688,'Docketed Comments'!H:H,0)),"")</f>
        <v>No</v>
      </c>
      <c r="O688" s="118" t="str">
        <f>IFERROR(INDEX('Docketed Comments'!L:L,MATCH(A688,'Docketed Comments'!H:H,0)),"")</f>
        <v>Frozen Rate</v>
      </c>
      <c r="P688" s="119">
        <f t="shared" si="20"/>
        <v>0</v>
      </c>
      <c r="Q688" s="60" t="s">
        <v>23</v>
      </c>
      <c r="R688" s="64" t="s">
        <v>24</v>
      </c>
      <c r="S688" s="64" t="s">
        <v>1495</v>
      </c>
    </row>
    <row r="689" spans="1:19" ht="21.95" hidden="1" customHeight="1">
      <c r="A689" s="66" t="s">
        <v>1496</v>
      </c>
      <c r="B689" s="64" t="s">
        <v>31</v>
      </c>
      <c r="C689" s="65">
        <v>46081</v>
      </c>
      <c r="D689" s="64" t="s">
        <v>27</v>
      </c>
      <c r="E689" s="64" t="s">
        <v>35</v>
      </c>
      <c r="F689" s="60" t="s">
        <v>1423</v>
      </c>
      <c r="G689" s="60"/>
      <c r="H689" s="60" t="str">
        <f>IFERROR(INDEX('Docketed Comments'!C:C,MATCH(A689,'Docketed Comments'!H:H,0))&amp;", "&amp;INDEX('Docketed Comments'!B:B,MATCH(A689,'Docketed Comments'!H:H,0)),"")</f>
        <v>Alexander, Quinet</v>
      </c>
      <c r="I689" s="60" t="str">
        <f>IFERROR(INDEX('Docketed Comments'!D:D,MATCH(A689,'Docketed Comments'!H:H,0)),"")</f>
        <v>Phoenix</v>
      </c>
      <c r="J689" s="60" t="str">
        <f>IFERROR(INDEX('Docketed Comments'!I:I,MATCH(A689,'Docketed Comments'!H:H,0)),"")</f>
        <v>R-XS</v>
      </c>
      <c r="K689" s="60" t="str">
        <f t="shared" si="21"/>
        <v>✅ On Best Plan</v>
      </c>
      <c r="L689" s="60" t="str">
        <f>IFERROR(INDEX('Docketed Comments'!F:F,MATCH(A689,'Docketed Comments'!H:H,0)),"")</f>
        <v>Form letter</v>
      </c>
      <c r="M689" s="120" t="str">
        <f>IFERROR(INDEX('Docketed Comments'!G:G,MATCH(A689,'Docketed Comments'!H:H,0)),"")</f>
        <v>https://docket.images.azcc.gov/E000046437.pdf</v>
      </c>
      <c r="N689" s="118" t="str">
        <f>IFERROR(INDEX('Docketed Comments'!N:N,MATCH(A689,'Docketed Comments'!H:H,0)),"")</f>
        <v>No</v>
      </c>
      <c r="O689" s="118" t="str">
        <f>IFERROR(INDEX('Docketed Comments'!L:L,MATCH(A689,'Docketed Comments'!H:H,0)),"")</f>
        <v>Yes</v>
      </c>
      <c r="P689" s="119">
        <f t="shared" si="20"/>
        <v>0</v>
      </c>
      <c r="Q689" s="60" t="s">
        <v>23</v>
      </c>
      <c r="R689" s="64" t="s">
        <v>24</v>
      </c>
      <c r="S689" s="64" t="s">
        <v>1497</v>
      </c>
    </row>
    <row r="690" spans="1:19" ht="21.95" customHeight="1">
      <c r="A690" s="66" t="s">
        <v>1498</v>
      </c>
      <c r="B690" s="64"/>
      <c r="C690" s="65"/>
      <c r="D690" s="64"/>
      <c r="E690" s="64"/>
      <c r="F690" s="60"/>
      <c r="G690" s="60" t="s">
        <v>88</v>
      </c>
      <c r="H690" s="60" t="str">
        <f>IFERROR(INDEX('Docketed Comments'!C:C,MATCH(A690,'Docketed Comments'!H:H,0))&amp;", "&amp;INDEX('Docketed Comments'!B:B,MATCH(A690,'Docketed Comments'!H:H,0)),"")</f>
        <v>James, Bramble</v>
      </c>
      <c r="I690" s="60" t="str">
        <f>IFERROR(INDEX('Docketed Comments'!D:D,MATCH(A690,'Docketed Comments'!H:H,0)),"")</f>
        <v>Cottonwood</v>
      </c>
      <c r="J690" s="60" t="str">
        <f>IFERROR(INDEX('Docketed Comments'!I:I,MATCH(A690,'Docketed Comments'!H:H,0)),"")</f>
        <v>R3-47</v>
      </c>
      <c r="K690" s="60" t="str">
        <f t="shared" si="21"/>
        <v>✅ On Best Plan</v>
      </c>
      <c r="L690" s="60" t="str">
        <f>IFERROR(INDEX('Docketed Comments'!F:F,MATCH(A690,'Docketed Comments'!H:H,0)),"")</f>
        <v>The proposed rate increase is excessive</v>
      </c>
      <c r="M690" s="120" t="str">
        <f>IFERROR(INDEX('Docketed Comments'!G:G,MATCH(A690,'Docketed Comments'!H:H,0)),"")</f>
        <v>https://docket.images.azcc.gov/E000046494.pdf</v>
      </c>
      <c r="N690" s="118" t="str">
        <f>IFERROR(INDEX('Docketed Comments'!N:N,MATCH(A690,'Docketed Comments'!H:H,0)),"")</f>
        <v>No</v>
      </c>
      <c r="O690" s="118" t="str">
        <f>IFERROR(INDEX('Docketed Comments'!L:L,MATCH(A690,'Docketed Comments'!H:H,0)),"")</f>
        <v>Yes</v>
      </c>
      <c r="P690" s="119">
        <f t="shared" si="20"/>
        <v>0</v>
      </c>
      <c r="Q690" s="60"/>
      <c r="R690" s="64" t="s">
        <v>75</v>
      </c>
      <c r="S690" s="64" t="s">
        <v>1499</v>
      </c>
    </row>
    <row r="691" spans="1:19" ht="21.95" hidden="1" customHeight="1">
      <c r="A691" s="66" t="s">
        <v>1500</v>
      </c>
      <c r="B691" s="64" t="s">
        <v>31</v>
      </c>
      <c r="C691" s="65">
        <v>46081</v>
      </c>
      <c r="D691" s="64" t="s">
        <v>27</v>
      </c>
      <c r="E691" s="64" t="s">
        <v>35</v>
      </c>
      <c r="F691" s="60" t="s">
        <v>1423</v>
      </c>
      <c r="G691" s="60"/>
      <c r="H691" s="60" t="str">
        <f>IFERROR(INDEX('Docketed Comments'!C:C,MATCH(A691,'Docketed Comments'!H:H,0))&amp;", "&amp;INDEX('Docketed Comments'!B:B,MATCH(A691,'Docketed Comments'!H:H,0)),"")</f>
        <v>Frank, Craig</v>
      </c>
      <c r="I691" s="60" t="str">
        <f>IFERROR(INDEX('Docketed Comments'!D:D,MATCH(A691,'Docketed Comments'!H:H,0)),"")</f>
        <v>Cottonwood</v>
      </c>
      <c r="J691" s="60" t="str">
        <f>IFERROR(INDEX('Docketed Comments'!I:I,MATCH(A691,'Docketed Comments'!H:H,0)),"")</f>
        <v>RCPw/RTOUE47</v>
      </c>
      <c r="K691" s="60" t="str">
        <f t="shared" si="21"/>
        <v>✅ On Best Plan</v>
      </c>
      <c r="L691" s="60" t="str">
        <f>IFERROR(INDEX('Docketed Comments'!F:F,MATCH(A691,'Docketed Comments'!H:H,0)),"")</f>
        <v>Opposed</v>
      </c>
      <c r="M691" s="120" t="str">
        <f>IFERROR(INDEX('Docketed Comments'!G:G,MATCH(A691,'Docketed Comments'!H:H,0)),"")</f>
        <v>https://docket.images.azcc.gov/E000046494.pdf</v>
      </c>
      <c r="N691" s="118" t="str">
        <f>IFERROR(INDEX('Docketed Comments'!N:N,MATCH(A691,'Docketed Comments'!H:H,0)),"")</f>
        <v>No</v>
      </c>
      <c r="O691" s="118" t="str">
        <f>IFERROR(INDEX('Docketed Comments'!L:L,MATCH(A691,'Docketed Comments'!H:H,0)),"")</f>
        <v>Yes</v>
      </c>
      <c r="P691" s="119">
        <f t="shared" si="20"/>
        <v>0</v>
      </c>
      <c r="Q691" s="60" t="s">
        <v>23</v>
      </c>
      <c r="R691" s="64" t="s">
        <v>24</v>
      </c>
      <c r="S691" s="64" t="s">
        <v>1501</v>
      </c>
    </row>
    <row r="692" spans="1:19" ht="21.95" hidden="1" customHeight="1">
      <c r="A692" s="66" t="s">
        <v>1502</v>
      </c>
      <c r="B692" s="64" t="s">
        <v>31</v>
      </c>
      <c r="C692" s="65">
        <v>45997</v>
      </c>
      <c r="D692" s="64"/>
      <c r="E692" s="64" t="s">
        <v>22</v>
      </c>
      <c r="F692" s="60" t="s">
        <v>1503</v>
      </c>
      <c r="G692" s="60"/>
      <c r="H692" s="60" t="str">
        <f>IFERROR(INDEX('Docketed Comments'!C:C,MATCH(A692,'Docketed Comments'!H:H,0))&amp;", "&amp;INDEX('Docketed Comments'!B:B,MATCH(A692,'Docketed Comments'!H:H,0)),"")</f>
        <v>Karen, Fein</v>
      </c>
      <c r="I692" s="60" t="str">
        <f>IFERROR(INDEX('Docketed Comments'!D:D,MATCH(A692,'Docketed Comments'!H:H,0)),"")</f>
        <v>Phoenix</v>
      </c>
      <c r="J692" s="60" t="str">
        <f>IFERROR(INDEX('Docketed Comments'!I:I,MATCH(A692,'Docketed Comments'!H:H,0)),"")</f>
        <v>R3-47</v>
      </c>
      <c r="K692" s="60" t="str">
        <f t="shared" si="21"/>
        <v>✅ On Best Plan</v>
      </c>
      <c r="L692" s="60" t="str">
        <f>IFERROR(INDEX('Docketed Comments'!F:F,MATCH(A692,'Docketed Comments'!H:H,0)),"")</f>
        <v>Opposed-I wont survive another summer in AZ</v>
      </c>
      <c r="M692" s="120" t="str">
        <f>IFERROR(INDEX('Docketed Comments'!G:G,MATCH(A692,'Docketed Comments'!H:H,0)),"")</f>
        <v>https://docket.images.azcc.gov/E000046494.pdf</v>
      </c>
      <c r="N692" s="118" t="str">
        <f>IFERROR(INDEX('Docketed Comments'!N:N,MATCH(A692,'Docketed Comments'!H:H,0)),"")</f>
        <v>No</v>
      </c>
      <c r="O692" s="118" t="str">
        <f>IFERROR(INDEX('Docketed Comments'!L:L,MATCH(A692,'Docketed Comments'!H:H,0)),"")</f>
        <v>Yes</v>
      </c>
      <c r="P692" s="119">
        <f t="shared" si="20"/>
        <v>0</v>
      </c>
      <c r="Q692" s="60" t="s">
        <v>23</v>
      </c>
      <c r="R692" s="64" t="s">
        <v>24</v>
      </c>
      <c r="S692" s="64" t="s">
        <v>1504</v>
      </c>
    </row>
    <row r="693" spans="1:19" ht="21.95" hidden="1" customHeight="1">
      <c r="A693" s="66" t="s">
        <v>1505</v>
      </c>
      <c r="B693" s="64" t="s">
        <v>31</v>
      </c>
      <c r="C693" s="65">
        <v>46081</v>
      </c>
      <c r="D693" s="64" t="s">
        <v>27</v>
      </c>
      <c r="E693" s="64" t="s">
        <v>35</v>
      </c>
      <c r="F693" s="60" t="s">
        <v>946</v>
      </c>
      <c r="G693" s="60"/>
      <c r="H693" s="60" t="str">
        <f>IFERROR(INDEX('Docketed Comments'!C:C,MATCH(A693,'Docketed Comments'!H:H,0))&amp;", "&amp;INDEX('Docketed Comments'!B:B,MATCH(A693,'Docketed Comments'!H:H,0)),"")</f>
        <v>David, Hernandez</v>
      </c>
      <c r="I693" s="60" t="str">
        <f>IFERROR(INDEX('Docketed Comments'!D:D,MATCH(A693,'Docketed Comments'!H:H,0)),"")</f>
        <v>Phoenix</v>
      </c>
      <c r="J693" s="60" t="str">
        <f>IFERROR(INDEX('Docketed Comments'!I:I,MATCH(A693,'Docketed Comments'!H:H,0)),"")</f>
        <v>RCPw/R3-47</v>
      </c>
      <c r="K693" s="60" t="str">
        <f t="shared" si="21"/>
        <v>✅ On Best Plan</v>
      </c>
      <c r="L693" s="60" t="str">
        <f>IFERROR(INDEX('Docketed Comments'!F:F,MATCH(A693,'Docketed Comments'!H:H,0)),"")</f>
        <v>Form letter</v>
      </c>
      <c r="M693" s="120" t="str">
        <f>IFERROR(INDEX('Docketed Comments'!G:G,MATCH(A693,'Docketed Comments'!H:H,0)),"")</f>
        <v>https://docket.images.azcc.gov/E000046472.pdf</v>
      </c>
      <c r="N693" s="118" t="str">
        <f>IFERROR(INDEX('Docketed Comments'!N:N,MATCH(A693,'Docketed Comments'!H:H,0)),"")</f>
        <v>No</v>
      </c>
      <c r="O693" s="118" t="str">
        <f>IFERROR(INDEX('Docketed Comments'!L:L,MATCH(A693,'Docketed Comments'!H:H,0)),"")</f>
        <v>Yes</v>
      </c>
      <c r="P693" s="119">
        <f t="shared" si="20"/>
        <v>0</v>
      </c>
      <c r="Q693" s="60" t="s">
        <v>23</v>
      </c>
      <c r="R693" s="64" t="s">
        <v>24</v>
      </c>
      <c r="S693" s="64" t="s">
        <v>1506</v>
      </c>
    </row>
    <row r="694" spans="1:19" ht="21.95" hidden="1" customHeight="1">
      <c r="A694" s="66" t="s">
        <v>1507</v>
      </c>
      <c r="B694" s="64" t="s">
        <v>31</v>
      </c>
      <c r="C694" s="65">
        <v>45997</v>
      </c>
      <c r="D694" s="64"/>
      <c r="E694" s="64" t="s">
        <v>22</v>
      </c>
      <c r="F694" s="60" t="s">
        <v>1508</v>
      </c>
      <c r="G694" s="60"/>
      <c r="H694" s="60" t="str">
        <f>IFERROR(INDEX('Docketed Comments'!C:C,MATCH(A694,'Docketed Comments'!H:H,0))&amp;", "&amp;INDEX('Docketed Comments'!B:B,MATCH(A694,'Docketed Comments'!H:H,0)),"")</f>
        <v>Daniel, Gregg</v>
      </c>
      <c r="I694" s="60" t="str">
        <f>IFERROR(INDEX('Docketed Comments'!D:D,MATCH(A694,'Docketed Comments'!H:H,0)),"")</f>
        <v>Scottsdale</v>
      </c>
      <c r="J694" s="60" t="str">
        <f>IFERROR(INDEX('Docketed Comments'!I:I,MATCH(A694,'Docketed Comments'!H:H,0)),"")</f>
        <v>R3-47</v>
      </c>
      <c r="K694" s="60" t="str">
        <f t="shared" si="21"/>
        <v>✅ On Best Plan</v>
      </c>
      <c r="L694" s="60" t="str">
        <f>IFERROR(INDEX('Docketed Comments'!F:F,MATCH(A694,'Docketed Comments'!H:H,0)),"")</f>
        <v>Opposed-APS sees a profit margin already of 9.55%</v>
      </c>
      <c r="M694" s="120" t="str">
        <f>IFERROR(INDEX('Docketed Comments'!G:G,MATCH(A694,'Docketed Comments'!H:H,0)),"")</f>
        <v>https://docket.images.azcc.gov/E000046502.pdf</v>
      </c>
      <c r="N694" s="118" t="str">
        <f>IFERROR(INDEX('Docketed Comments'!N:N,MATCH(A694,'Docketed Comments'!H:H,0)),"")</f>
        <v>No</v>
      </c>
      <c r="O694" s="118" t="str">
        <f>IFERROR(INDEX('Docketed Comments'!L:L,MATCH(A694,'Docketed Comments'!H:H,0)),"")</f>
        <v>Yes</v>
      </c>
      <c r="P694" s="119">
        <f t="shared" si="20"/>
        <v>0</v>
      </c>
      <c r="Q694" s="60" t="s">
        <v>23</v>
      </c>
      <c r="R694" s="64" t="s">
        <v>24</v>
      </c>
      <c r="S694" s="64" t="s">
        <v>1509</v>
      </c>
    </row>
    <row r="695" spans="1:19" ht="21.95" customHeight="1">
      <c r="A695" s="66" t="s">
        <v>1510</v>
      </c>
      <c r="B695" s="64"/>
      <c r="C695" s="65"/>
      <c r="D695" s="64"/>
      <c r="E695" s="64"/>
      <c r="F695" s="60"/>
      <c r="G695" s="60" t="s">
        <v>88</v>
      </c>
      <c r="H695" s="60" t="str">
        <f>IFERROR(INDEX('Docketed Comments'!C:C,MATCH(A695,'Docketed Comments'!H:H,0))&amp;", "&amp;INDEX('Docketed Comments'!B:B,MATCH(A695,'Docketed Comments'!H:H,0)),"")</f>
        <v>Matt, Mensinger</v>
      </c>
      <c r="I695" s="60" t="str">
        <f>IFERROR(INDEX('Docketed Comments'!D:D,MATCH(A695,'Docketed Comments'!H:H,0)),"")</f>
        <v>Glendale</v>
      </c>
      <c r="J695" s="60" t="str">
        <f>IFERROR(INDEX('Docketed Comments'!I:I,MATCH(A695,'Docketed Comments'!H:H,0)),"")</f>
        <v>R3-47</v>
      </c>
      <c r="K695" s="60" t="str">
        <f t="shared" si="21"/>
        <v>✅ On Best Plan</v>
      </c>
      <c r="L695" s="60" t="str">
        <f>IFERROR(INDEX('Docketed Comments'!F:F,MATCH(A695,'Docketed Comments'!H:H,0)),"")</f>
        <v>Opposed-Lets take a closer look at company spending habits</v>
      </c>
      <c r="M695" s="120" t="str">
        <f>IFERROR(INDEX('Docketed Comments'!G:G,MATCH(A695,'Docketed Comments'!H:H,0)),"")</f>
        <v>https://docket.images.azcc.gov/E000046502.pdf</v>
      </c>
      <c r="N695" s="118" t="str">
        <f>IFERROR(INDEX('Docketed Comments'!N:N,MATCH(A695,'Docketed Comments'!H:H,0)),"")</f>
        <v>No</v>
      </c>
      <c r="O695" s="118" t="str">
        <f>IFERROR(INDEX('Docketed Comments'!L:L,MATCH(A695,'Docketed Comments'!H:H,0)),"")</f>
        <v>Yes</v>
      </c>
      <c r="P695" s="119">
        <f t="shared" si="20"/>
        <v>0</v>
      </c>
      <c r="Q695" s="60"/>
      <c r="R695" s="64" t="s">
        <v>75</v>
      </c>
      <c r="S695" s="64" t="s">
        <v>1511</v>
      </c>
    </row>
    <row r="696" spans="1:19" ht="21.95" hidden="1" customHeight="1">
      <c r="A696" s="66" t="s">
        <v>1512</v>
      </c>
      <c r="B696" s="64" t="s">
        <v>31</v>
      </c>
      <c r="C696" s="65">
        <v>46081</v>
      </c>
      <c r="D696" s="64" t="s">
        <v>27</v>
      </c>
      <c r="E696" s="64" t="s">
        <v>35</v>
      </c>
      <c r="F696" s="60" t="s">
        <v>1423</v>
      </c>
      <c r="G696" s="60"/>
      <c r="H696" s="60" t="str">
        <f>IFERROR(INDEX('Docketed Comments'!C:C,MATCH(A696,'Docketed Comments'!H:H,0))&amp;", "&amp;INDEX('Docketed Comments'!B:B,MATCH(A696,'Docketed Comments'!H:H,0)),"")</f>
        <v>Christopher, Houck</v>
      </c>
      <c r="I696" s="60" t="str">
        <f>IFERROR(INDEX('Docketed Comments'!D:D,MATCH(A696,'Docketed Comments'!H:H,0)),"")</f>
        <v>Goodyear</v>
      </c>
      <c r="J696" s="60" t="str">
        <f>IFERROR(INDEX('Docketed Comments'!I:I,MATCH(A696,'Docketed Comments'!H:H,0)),"")</f>
        <v>R3-47</v>
      </c>
      <c r="K696" s="60" t="str">
        <f t="shared" si="21"/>
        <v>✅ On Best Plan</v>
      </c>
      <c r="L696" s="60" t="str">
        <f>IFERROR(INDEX('Docketed Comments'!F:F,MATCH(A696,'Docketed Comments'!H:H,0)),"")</f>
        <v>Opposed-APS sis 25% higher than SRP</v>
      </c>
      <c r="M696" s="120" t="str">
        <f>IFERROR(INDEX('Docketed Comments'!G:G,MATCH(A696,'Docketed Comments'!H:H,0)),"")</f>
        <v>https://docket.images.azcc.gov/E000046525.pdf</v>
      </c>
      <c r="N696" s="118" t="str">
        <f>IFERROR(INDEX('Docketed Comments'!N:N,MATCH(A696,'Docketed Comments'!H:H,0)),"")</f>
        <v>No</v>
      </c>
      <c r="O696" s="118" t="str">
        <f>IFERROR(INDEX('Docketed Comments'!L:L,MATCH(A696,'Docketed Comments'!H:H,0)),"")</f>
        <v>Yes</v>
      </c>
      <c r="P696" s="119">
        <f t="shared" si="20"/>
        <v>0</v>
      </c>
      <c r="Q696" s="60" t="s">
        <v>23</v>
      </c>
      <c r="R696" s="64" t="s">
        <v>24</v>
      </c>
      <c r="S696" s="64" t="s">
        <v>1513</v>
      </c>
    </row>
    <row r="697" spans="1:19" ht="21.95" hidden="1" customHeight="1">
      <c r="A697" s="66" t="s">
        <v>1514</v>
      </c>
      <c r="B697" s="64" t="s">
        <v>31</v>
      </c>
      <c r="C697" s="65">
        <v>45997</v>
      </c>
      <c r="D697" s="64"/>
      <c r="E697" s="64" t="s">
        <v>22</v>
      </c>
      <c r="F697" s="60" t="s">
        <v>1515</v>
      </c>
      <c r="G697" s="60"/>
      <c r="H697" s="60" t="str">
        <f>IFERROR(INDEX('Docketed Comments'!C:C,MATCH(A697,'Docketed Comments'!H:H,0))&amp;", "&amp;INDEX('Docketed Comments'!B:B,MATCH(A697,'Docketed Comments'!H:H,0)),"")</f>
        <v>Steven, Lewis</v>
      </c>
      <c r="I697" s="60" t="str">
        <f>IFERROR(INDEX('Docketed Comments'!D:D,MATCH(A697,'Docketed Comments'!H:H,0)),"")</f>
        <v>Phoenix</v>
      </c>
      <c r="J697" s="60" t="str">
        <f>IFERROR(INDEX('Docketed Comments'!I:I,MATCH(A697,'Docketed Comments'!H:H,0)),"")</f>
        <v>RTOUE47</v>
      </c>
      <c r="K697" s="60" t="str">
        <f t="shared" si="21"/>
        <v>✅ On Best Plan</v>
      </c>
      <c r="L697" s="60" t="str">
        <f>IFERROR(INDEX('Docketed Comments'!F:F,MATCH(A697,'Docketed Comments'!H:H,0)),"")</f>
        <v>Opposed-AC set 83 and still high bills</v>
      </c>
      <c r="M697" s="120" t="str">
        <f>IFERROR(INDEX('Docketed Comments'!G:G,MATCH(A697,'Docketed Comments'!H:H,0)),"")</f>
        <v>https://docket.images.azcc.gov/E000046525.pdf</v>
      </c>
      <c r="N697" s="118" t="str">
        <f>IFERROR(INDEX('Docketed Comments'!N:N,MATCH(A697,'Docketed Comments'!H:H,0)),"")</f>
        <v>No</v>
      </c>
      <c r="O697" s="118" t="str">
        <f>IFERROR(INDEX('Docketed Comments'!L:L,MATCH(A697,'Docketed Comments'!H:H,0)),"")</f>
        <v>Yes</v>
      </c>
      <c r="P697" s="119">
        <f t="shared" si="20"/>
        <v>0</v>
      </c>
      <c r="Q697" s="60" t="s">
        <v>23</v>
      </c>
      <c r="R697" s="64" t="s">
        <v>24</v>
      </c>
      <c r="S697" s="64" t="s">
        <v>1516</v>
      </c>
    </row>
    <row r="698" spans="1:19" ht="21.95" customHeight="1">
      <c r="A698" s="66" t="s">
        <v>1517</v>
      </c>
      <c r="B698" s="64"/>
      <c r="C698" s="65"/>
      <c r="D698" s="64"/>
      <c r="E698" s="64"/>
      <c r="F698" s="60"/>
      <c r="G698" s="60" t="s">
        <v>88</v>
      </c>
      <c r="H698" s="60" t="str">
        <f>IFERROR(INDEX('Docketed Comments'!C:C,MATCH(A698,'Docketed Comments'!H:H,0))&amp;", "&amp;INDEX('Docketed Comments'!B:B,MATCH(A698,'Docketed Comments'!H:H,0)),"")</f>
        <v>Joseph, Hulsey</v>
      </c>
      <c r="I698" s="60" t="str">
        <f>IFERROR(INDEX('Docketed Comments'!D:D,MATCH(A698,'Docketed Comments'!H:H,0)),"")</f>
        <v>Tempe</v>
      </c>
      <c r="J698" s="60" t="str">
        <f>IFERROR(INDEX('Docketed Comments'!I:I,MATCH(A698,'Docketed Comments'!H:H,0)),"")</f>
        <v>R3-47</v>
      </c>
      <c r="K698" s="60" t="str">
        <f t="shared" si="21"/>
        <v>✅ On Best Plan</v>
      </c>
      <c r="L698" s="60" t="str">
        <f>IFERROR(INDEX('Docketed Comments'!F:F,MATCH(A698,'Docketed Comments'!H:H,0)),"")</f>
        <v>Strongly Oppose 14% increase</v>
      </c>
      <c r="M698" s="120" t="str">
        <f>IFERROR(INDEX('Docketed Comments'!G:G,MATCH(A698,'Docketed Comments'!H:H,0)),"")</f>
        <v>https://docket.images.azcc.gov/E000046525.pdf</v>
      </c>
      <c r="N698" s="118" t="str">
        <f>IFERROR(INDEX('Docketed Comments'!N:N,MATCH(A698,'Docketed Comments'!H:H,0)),"")</f>
        <v>No</v>
      </c>
      <c r="O698" s="118" t="str">
        <f>IFERROR(INDEX('Docketed Comments'!L:L,MATCH(A698,'Docketed Comments'!H:H,0)),"")</f>
        <v>Yes</v>
      </c>
      <c r="P698" s="119">
        <f t="shared" si="20"/>
        <v>0</v>
      </c>
      <c r="Q698" s="60"/>
      <c r="R698" s="64" t="s">
        <v>75</v>
      </c>
      <c r="S698" s="64" t="s">
        <v>1518</v>
      </c>
    </row>
    <row r="699" spans="1:19" ht="21.95" hidden="1" customHeight="1">
      <c r="A699" s="66" t="s">
        <v>1519</v>
      </c>
      <c r="B699" s="64" t="s">
        <v>31</v>
      </c>
      <c r="C699" s="65">
        <v>46074</v>
      </c>
      <c r="D699" s="64" t="s">
        <v>27</v>
      </c>
      <c r="E699" s="64" t="s">
        <v>35</v>
      </c>
      <c r="F699" s="60" t="s">
        <v>1423</v>
      </c>
      <c r="G699" s="60"/>
      <c r="H699" s="60" t="str">
        <f>IFERROR(INDEX('Docketed Comments'!C:C,MATCH(A699,'Docketed Comments'!H:H,0))&amp;", "&amp;INDEX('Docketed Comments'!B:B,MATCH(A699,'Docketed Comments'!H:H,0)),"")</f>
        <v>Julie, Munson</v>
      </c>
      <c r="I699" s="60" t="str">
        <f>IFERROR(INDEX('Docketed Comments'!D:D,MATCH(A699,'Docketed Comments'!H:H,0)),"")</f>
        <v>Show Low</v>
      </c>
      <c r="J699" s="60" t="str">
        <f>IFERROR(INDEX('Docketed Comments'!I:I,MATCH(A699,'Docketed Comments'!H:H,0)),"")</f>
        <v>R-XS</v>
      </c>
      <c r="K699" s="60" t="str">
        <f t="shared" si="21"/>
        <v>✅ On Best Plan</v>
      </c>
      <c r="L699" s="60" t="str">
        <f>IFERROR(INDEX('Docketed Comments'!F:F,MATCH(A699,'Docketed Comments'!H:H,0)),"")</f>
        <v>Opposed-Corporate greed</v>
      </c>
      <c r="M699" s="120" t="str">
        <f>IFERROR(INDEX('Docketed Comments'!G:G,MATCH(A699,'Docketed Comments'!H:H,0)),"")</f>
        <v>https://docket.images.azcc.gov/E000046525.pdf</v>
      </c>
      <c r="N699" s="118" t="str">
        <f>IFERROR(INDEX('Docketed Comments'!N:N,MATCH(A699,'Docketed Comments'!H:H,0)),"")</f>
        <v>No</v>
      </c>
      <c r="O699" s="118" t="str">
        <f>IFERROR(INDEX('Docketed Comments'!L:L,MATCH(A699,'Docketed Comments'!H:H,0)),"")</f>
        <v>Yes</v>
      </c>
      <c r="P699" s="119">
        <f t="shared" si="20"/>
        <v>0</v>
      </c>
      <c r="Q699" s="60" t="s">
        <v>23</v>
      </c>
      <c r="R699" s="64" t="s">
        <v>24</v>
      </c>
      <c r="S699" s="64" t="s">
        <v>1520</v>
      </c>
    </row>
    <row r="700" spans="1:19" ht="21.95" customHeight="1">
      <c r="A700" s="66" t="s">
        <v>1521</v>
      </c>
      <c r="B700" s="64"/>
      <c r="C700" s="65"/>
      <c r="D700" s="64"/>
      <c r="E700" s="64"/>
      <c r="F700" s="60"/>
      <c r="G700" s="60" t="s">
        <v>88</v>
      </c>
      <c r="H700" s="60" t="str">
        <f>IFERROR(INDEX('Docketed Comments'!C:C,MATCH(A700,'Docketed Comments'!H:H,0))&amp;", "&amp;INDEX('Docketed Comments'!B:B,MATCH(A700,'Docketed Comments'!H:H,0)),"")</f>
        <v>Madeline, Craft</v>
      </c>
      <c r="I700" s="60" t="str">
        <f>IFERROR(INDEX('Docketed Comments'!D:D,MATCH(A700,'Docketed Comments'!H:H,0)),"")</f>
        <v>Goodyear</v>
      </c>
      <c r="J700" s="60" t="str">
        <f>IFERROR(INDEX('Docketed Comments'!I:I,MATCH(A700,'Docketed Comments'!H:H,0)),"")</f>
        <v>R-BASIC</v>
      </c>
      <c r="K700" s="60" t="str">
        <f t="shared" si="21"/>
        <v>✅ On Best Plan</v>
      </c>
      <c r="L700" s="60" t="str">
        <f>IFERROR(INDEX('Docketed Comments'!F:F,MATCH(A700,'Docketed Comments'!H:H,0)),"")</f>
        <v xml:space="preserve">Opposed-Ridiculous for such a large company </v>
      </c>
      <c r="M700" s="120" t="str">
        <f>IFERROR(INDEX('Docketed Comments'!G:G,MATCH(A700,'Docketed Comments'!H:H,0)),"")</f>
        <v>https://docket.images.azcc.gov/E000046525.pdf</v>
      </c>
      <c r="N700" s="118" t="str">
        <f>IFERROR(INDEX('Docketed Comments'!N:N,MATCH(A700,'Docketed Comments'!H:H,0)),"")</f>
        <v>No</v>
      </c>
      <c r="O700" s="118" t="str">
        <f>IFERROR(INDEX('Docketed Comments'!L:L,MATCH(A700,'Docketed Comments'!H:H,0)),"")</f>
        <v>Yes</v>
      </c>
      <c r="P700" s="119">
        <f t="shared" si="20"/>
        <v>0</v>
      </c>
      <c r="Q700" s="60"/>
      <c r="R700" s="64" t="s">
        <v>75</v>
      </c>
      <c r="S700" s="64" t="s">
        <v>1522</v>
      </c>
    </row>
    <row r="701" spans="1:19" ht="21.95" customHeight="1">
      <c r="A701" s="66" t="s">
        <v>1523</v>
      </c>
      <c r="B701" s="64"/>
      <c r="C701" s="65"/>
      <c r="D701" s="64"/>
      <c r="E701" s="64"/>
      <c r="F701" s="60"/>
      <c r="G701" s="60" t="s">
        <v>88</v>
      </c>
      <c r="H701" s="60" t="str">
        <f>IFERROR(INDEX('Docketed Comments'!C:C,MATCH(A701,'Docketed Comments'!H:H,0))&amp;", "&amp;INDEX('Docketed Comments'!B:B,MATCH(A701,'Docketed Comments'!H:H,0)),"")</f>
        <v>Wade, Siers</v>
      </c>
      <c r="I701" s="60" t="str">
        <f>IFERROR(INDEX('Docketed Comments'!D:D,MATCH(A701,'Docketed Comments'!H:H,0)),"")</f>
        <v>Scottsdale</v>
      </c>
      <c r="J701" s="60" t="str">
        <f>IFERROR(INDEX('Docketed Comments'!I:I,MATCH(A701,'Docketed Comments'!H:H,0)),"")</f>
        <v>R-BASIC</v>
      </c>
      <c r="K701" s="60" t="str">
        <f t="shared" si="21"/>
        <v>✅ On Best Plan</v>
      </c>
      <c r="L701" s="60" t="str">
        <f>IFERROR(INDEX('Docketed Comments'!F:F,MATCH(A701,'Docketed Comments'!H:H,0)),"")</f>
        <v>Opposed-14% appears rather excessive</v>
      </c>
      <c r="M701" s="120" t="str">
        <f>IFERROR(INDEX('Docketed Comments'!G:G,MATCH(A701,'Docketed Comments'!H:H,0)),"")</f>
        <v>https://docket.images.azcc.gov/E000046525.pdf</v>
      </c>
      <c r="N701" s="118" t="str">
        <f>IFERROR(INDEX('Docketed Comments'!N:N,MATCH(A701,'Docketed Comments'!H:H,0)),"")</f>
        <v>No</v>
      </c>
      <c r="O701" s="118" t="str">
        <f>IFERROR(INDEX('Docketed Comments'!L:L,MATCH(A701,'Docketed Comments'!H:H,0)),"")</f>
        <v>Yes</v>
      </c>
      <c r="P701" s="119">
        <f t="shared" si="20"/>
        <v>0</v>
      </c>
      <c r="Q701" s="60"/>
      <c r="R701" s="64" t="s">
        <v>75</v>
      </c>
      <c r="S701" s="64" t="s">
        <v>1524</v>
      </c>
    </row>
    <row r="702" spans="1:19" ht="21.95" hidden="1" customHeight="1">
      <c r="A702" s="66" t="s">
        <v>1525</v>
      </c>
      <c r="B702" s="64" t="s">
        <v>31</v>
      </c>
      <c r="C702" s="65">
        <v>46074</v>
      </c>
      <c r="D702" s="64" t="s">
        <v>21</v>
      </c>
      <c r="E702" s="64" t="s">
        <v>22</v>
      </c>
      <c r="F702" s="60" t="s">
        <v>41</v>
      </c>
      <c r="G702" s="60"/>
      <c r="H702" s="60" t="str">
        <f>IFERROR(INDEX('Docketed Comments'!C:C,MATCH(A702,'Docketed Comments'!H:H,0))&amp;", "&amp;INDEX('Docketed Comments'!B:B,MATCH(A702,'Docketed Comments'!H:H,0)),"")</f>
        <v>Rhonda, Boerner</v>
      </c>
      <c r="I702" s="60" t="str">
        <f>IFERROR(INDEX('Docketed Comments'!D:D,MATCH(A702,'Docketed Comments'!H:H,0)),"")</f>
        <v>Goodyear</v>
      </c>
      <c r="J702" s="60" t="str">
        <f>IFERROR(INDEX('Docketed Comments'!I:I,MATCH(A702,'Docketed Comments'!H:H,0)),"")</f>
        <v>EPR-6w/E-12</v>
      </c>
      <c r="K702" s="60" t="str">
        <f t="shared" si="21"/>
        <v>⚠ Frozen Rate</v>
      </c>
      <c r="L702" s="60" t="str">
        <f>IFERROR(INDEX('Docketed Comments'!F:F,MATCH(A702,'Docketed Comments'!H:H,0)),"")</f>
        <v>Opposed-Unfair to residential customers</v>
      </c>
      <c r="M702" s="120" t="str">
        <f>IFERROR(INDEX('Docketed Comments'!G:G,MATCH(A702,'Docketed Comments'!H:H,0)),"")</f>
        <v>https://docket.images.azcc.gov/E000046525.pdf</v>
      </c>
      <c r="N702" s="118" t="str">
        <f>IFERROR(INDEX('Docketed Comments'!N:N,MATCH(A702,'Docketed Comments'!H:H,0)),"")</f>
        <v>No</v>
      </c>
      <c r="O702" s="118" t="str">
        <f>IFERROR(INDEX('Docketed Comments'!L:L,MATCH(A702,'Docketed Comments'!H:H,0)),"")</f>
        <v>Frozen Rate</v>
      </c>
      <c r="P702" s="119">
        <f t="shared" si="20"/>
        <v>0</v>
      </c>
      <c r="Q702" s="60" t="s">
        <v>23</v>
      </c>
      <c r="R702" s="64" t="s">
        <v>24</v>
      </c>
      <c r="S702" s="64" t="s">
        <v>1526</v>
      </c>
    </row>
    <row r="703" spans="1:19" ht="21.95" customHeight="1">
      <c r="A703" s="66" t="s">
        <v>1527</v>
      </c>
      <c r="B703" s="64"/>
      <c r="C703" s="65"/>
      <c r="D703" s="64"/>
      <c r="E703" s="64"/>
      <c r="F703" s="60"/>
      <c r="G703" s="60" t="s">
        <v>88</v>
      </c>
      <c r="H703" s="60" t="str">
        <f>IFERROR(INDEX('Docketed Comments'!C:C,MATCH(A703,'Docketed Comments'!H:H,0))&amp;", "&amp;INDEX('Docketed Comments'!B:B,MATCH(A703,'Docketed Comments'!H:H,0)),"")</f>
        <v>Alejandro, Zamudio</v>
      </c>
      <c r="I703" s="60" t="str">
        <f>IFERROR(INDEX('Docketed Comments'!D:D,MATCH(A703,'Docketed Comments'!H:H,0)),"")</f>
        <v>Phoenix</v>
      </c>
      <c r="J703" s="60" t="str">
        <f>IFERROR(INDEX('Docketed Comments'!I:I,MATCH(A703,'Docketed Comments'!H:H,0)),"")</f>
        <v>RCPw/RTOUE47</v>
      </c>
      <c r="K703" s="60" t="str">
        <f t="shared" si="21"/>
        <v>✅ On Best Plan</v>
      </c>
      <c r="L703" s="60" t="str">
        <f>IFERROR(INDEX('Docketed Comments'!F:F,MATCH(A703,'Docketed Comments'!H:H,0)),"")</f>
        <v>Opposed- Unacceptable and unreasonable</v>
      </c>
      <c r="M703" s="120" t="str">
        <f>IFERROR(INDEX('Docketed Comments'!G:G,MATCH(A703,'Docketed Comments'!H:H,0)),"")</f>
        <v>https://docket.images.azcc.gov/E000046525.pdf</v>
      </c>
      <c r="N703" s="118" t="str">
        <f>IFERROR(INDEX('Docketed Comments'!N:N,MATCH(A703,'Docketed Comments'!H:H,0)),"")</f>
        <v>No</v>
      </c>
      <c r="O703" s="118" t="str">
        <f>IFERROR(INDEX('Docketed Comments'!L:L,MATCH(A703,'Docketed Comments'!H:H,0)),"")</f>
        <v>Yes</v>
      </c>
      <c r="P703" s="119">
        <f t="shared" si="20"/>
        <v>0</v>
      </c>
      <c r="Q703" s="60"/>
      <c r="R703" s="64" t="s">
        <v>75</v>
      </c>
      <c r="S703" s="64" t="s">
        <v>1528</v>
      </c>
    </row>
    <row r="704" spans="1:19" ht="21.95" hidden="1" customHeight="1">
      <c r="A704" s="66" t="s">
        <v>1529</v>
      </c>
      <c r="B704" s="64" t="s">
        <v>31</v>
      </c>
      <c r="C704" s="65">
        <v>46074</v>
      </c>
      <c r="D704" s="64" t="s">
        <v>21</v>
      </c>
      <c r="E704" s="64" t="s">
        <v>22</v>
      </c>
      <c r="F704" s="60" t="s">
        <v>41</v>
      </c>
      <c r="G704" s="60"/>
      <c r="H704" s="60" t="str">
        <f>IFERROR(INDEX('Docketed Comments'!C:C,MATCH(A704,'Docketed Comments'!H:H,0))&amp;", "&amp;INDEX('Docketed Comments'!B:B,MATCH(A704,'Docketed Comments'!H:H,0)),"")</f>
        <v>Christopher, Ducar</v>
      </c>
      <c r="I704" s="60" t="str">
        <f>IFERROR(INDEX('Docketed Comments'!D:D,MATCH(A704,'Docketed Comments'!H:H,0)),"")</f>
        <v>Phoenix</v>
      </c>
      <c r="J704" s="60" t="str">
        <f>IFERROR(INDEX('Docketed Comments'!I:I,MATCH(A704,'Docketed Comments'!H:H,0)),"")</f>
        <v>R3-47</v>
      </c>
      <c r="K704" s="60" t="str">
        <f t="shared" si="21"/>
        <v>✅ On Best Plan</v>
      </c>
      <c r="L704" s="60" t="str">
        <f>IFERROR(INDEX('Docketed Comments'!F:F,MATCH(A704,'Docketed Comments'!H:H,0)),"")</f>
        <v>Outraged the commission would even consider this</v>
      </c>
      <c r="M704" s="120" t="str">
        <f>IFERROR(INDEX('Docketed Comments'!G:G,MATCH(A704,'Docketed Comments'!H:H,0)),"")</f>
        <v>https://docket.images.azcc.gov/E000046525.pdf</v>
      </c>
      <c r="N704" s="118" t="str">
        <f>IFERROR(INDEX('Docketed Comments'!N:N,MATCH(A704,'Docketed Comments'!H:H,0)),"")</f>
        <v>No</v>
      </c>
      <c r="O704" s="118" t="str">
        <f>IFERROR(INDEX('Docketed Comments'!L:L,MATCH(A704,'Docketed Comments'!H:H,0)),"")</f>
        <v>Yes</v>
      </c>
      <c r="P704" s="119">
        <f t="shared" si="20"/>
        <v>0</v>
      </c>
      <c r="Q704" s="60" t="s">
        <v>23</v>
      </c>
      <c r="R704" s="64" t="s">
        <v>24</v>
      </c>
      <c r="S704" s="64" t="s">
        <v>1530</v>
      </c>
    </row>
    <row r="705" spans="1:19" ht="21.95" customHeight="1">
      <c r="A705" s="66" t="s">
        <v>1531</v>
      </c>
      <c r="B705" s="64"/>
      <c r="C705" s="65"/>
      <c r="D705" s="64"/>
      <c r="E705" s="64"/>
      <c r="F705" s="60"/>
      <c r="G705" s="60" t="s">
        <v>88</v>
      </c>
      <c r="H705" s="60" t="str">
        <f>IFERROR(INDEX('Docketed Comments'!C:C,MATCH(A705,'Docketed Comments'!H:H,0))&amp;", "&amp;INDEX('Docketed Comments'!B:B,MATCH(A705,'Docketed Comments'!H:H,0)),"")</f>
        <v>Rachel, Sharley</v>
      </c>
      <c r="I705" s="60" t="str">
        <f>IFERROR(INDEX('Docketed Comments'!D:D,MATCH(A705,'Docketed Comments'!H:H,0)),"")</f>
        <v>Litchfield Park</v>
      </c>
      <c r="J705" s="60" t="str">
        <f>IFERROR(INDEX('Docketed Comments'!I:I,MATCH(A705,'Docketed Comments'!H:H,0)),"")</f>
        <v>R-XS</v>
      </c>
      <c r="K705" s="60" t="str">
        <f t="shared" si="21"/>
        <v>✅ On Best Plan</v>
      </c>
      <c r="L705" s="60" t="str">
        <f>IFERROR(INDEX('Docketed Comments'!F:F,MATCH(A705,'Docketed Comments'!H:H,0)),"")</f>
        <v>Opposed- Financial burden if passed</v>
      </c>
      <c r="M705" s="120" t="str">
        <f>IFERROR(INDEX('Docketed Comments'!G:G,MATCH(A705,'Docketed Comments'!H:H,0)),"")</f>
        <v>https://docket.images.azcc.gov/E000046531.pdf</v>
      </c>
      <c r="N705" s="118" t="str">
        <f>IFERROR(INDEX('Docketed Comments'!N:N,MATCH(A705,'Docketed Comments'!H:H,0)),"")</f>
        <v>No</v>
      </c>
      <c r="O705" s="118" t="str">
        <f>IFERROR(INDEX('Docketed Comments'!L:L,MATCH(A705,'Docketed Comments'!H:H,0)),"")</f>
        <v>Y</v>
      </c>
      <c r="P705" s="119">
        <f t="shared" si="20"/>
        <v>0</v>
      </c>
      <c r="Q705" s="60"/>
      <c r="R705" s="64" t="s">
        <v>75</v>
      </c>
      <c r="S705" s="64" t="s">
        <v>1532</v>
      </c>
    </row>
    <row r="706" spans="1:19" ht="21.95" hidden="1" customHeight="1">
      <c r="A706" s="66" t="s">
        <v>1533</v>
      </c>
      <c r="B706" s="64" t="s">
        <v>31</v>
      </c>
      <c r="C706" s="65">
        <v>46074</v>
      </c>
      <c r="D706" s="64" t="s">
        <v>27</v>
      </c>
      <c r="E706" s="64" t="s">
        <v>35</v>
      </c>
      <c r="F706" s="60"/>
      <c r="G706" s="60"/>
      <c r="H706" s="60" t="str">
        <f>IFERROR(INDEX('Docketed Comments'!C:C,MATCH(A706,'Docketed Comments'!H:H,0))&amp;", "&amp;INDEX('Docketed Comments'!B:B,MATCH(A706,'Docketed Comments'!H:H,0)),"")</f>
        <v>Carol, Post</v>
      </c>
      <c r="I706" s="60" t="str">
        <f>IFERROR(INDEX('Docketed Comments'!D:D,MATCH(A706,'Docketed Comments'!H:H,0)),"")</f>
        <v>Scottsdale</v>
      </c>
      <c r="J706" s="60" t="str">
        <f>IFERROR(INDEX('Docketed Comments'!I:I,MATCH(A706,'Docketed Comments'!H:H,0)),"")</f>
        <v>RCPw/R-2</v>
      </c>
      <c r="K706" s="60" t="str">
        <f t="shared" si="21"/>
        <v>⚠ Frozen Rate</v>
      </c>
      <c r="L706" s="60" t="str">
        <f>IFERROR(INDEX('Docketed Comments'!F:F,MATCH(A706,'Docketed Comments'!H:H,0)),"")</f>
        <v>Opposed- New Mexico bill is cheaper</v>
      </c>
      <c r="M706" s="120" t="str">
        <f>IFERROR(INDEX('Docketed Comments'!G:G,MATCH(A706,'Docketed Comments'!H:H,0)),"")</f>
        <v>https://docket.images.azcc.gov/E000046531.pdf</v>
      </c>
      <c r="N706" s="118" t="str">
        <f>IFERROR(INDEX('Docketed Comments'!N:N,MATCH(A706,'Docketed Comments'!H:H,0)),"")</f>
        <v>No</v>
      </c>
      <c r="O706" s="118" t="str">
        <f>IFERROR(INDEX('Docketed Comments'!L:L,MATCH(A706,'Docketed Comments'!H:H,0)),"")</f>
        <v>Frozen Rate</v>
      </c>
      <c r="P706" s="119">
        <f t="shared" ref="P706:P769" si="22">IFERROR(IF(ISNUMBER(SEARCH("$",O706)),VALUE(SUBSTITUTE(SUBSTITUTE(MID(O706,FIND("$",O706)+1,FIND(")",O706)-FIND("$",O706)-1),",","")," ","")),VALUE(SUBSTITUTE(SUBSTITUTE(MID(O706,FIND("(",O706)+1,FIND(")",O706)-FIND("(",O706)-1),",","")," ",""))),0)</f>
        <v>0</v>
      </c>
      <c r="Q706" s="60" t="s">
        <v>23</v>
      </c>
      <c r="R706" s="64" t="s">
        <v>24</v>
      </c>
      <c r="S706" s="64" t="s">
        <v>1534</v>
      </c>
    </row>
    <row r="707" spans="1:19" ht="21.95" hidden="1" customHeight="1">
      <c r="A707" s="66" t="s">
        <v>1535</v>
      </c>
      <c r="B707" s="64" t="s">
        <v>31</v>
      </c>
      <c r="C707" s="65">
        <v>46074</v>
      </c>
      <c r="D707" s="64" t="s">
        <v>21</v>
      </c>
      <c r="E707" s="64" t="s">
        <v>22</v>
      </c>
      <c r="F707" s="60" t="s">
        <v>41</v>
      </c>
      <c r="G707" s="60"/>
      <c r="H707" s="60" t="str">
        <f>IFERROR(INDEX('Docketed Comments'!C:C,MATCH(A707,'Docketed Comments'!H:H,0))&amp;", "&amp;INDEX('Docketed Comments'!B:B,MATCH(A707,'Docketed Comments'!H:H,0)),"")</f>
        <v>Gregg, Sawyer</v>
      </c>
      <c r="I707" s="60" t="str">
        <f>IFERROR(INDEX('Docketed Comments'!D:D,MATCH(A707,'Docketed Comments'!H:H,0)),"")</f>
        <v>El Mirage</v>
      </c>
      <c r="J707" s="60" t="str">
        <f>IFERROR(INDEX('Docketed Comments'!I:I,MATCH(A707,'Docketed Comments'!H:H,0)),"")</f>
        <v>RCPw/RTOUE47</v>
      </c>
      <c r="K707" s="60" t="str">
        <f t="shared" ref="K707:K770" si="23">IFERROR(IF(OR(LEFT(O707,2)="No",LEFT(O707,3)="Not"),"❌ Not on Best Plan",IF(OR(O707="Yes",O707="Y",O707="Yes "),"✅ On Best Plan","⚠ "&amp;O707)),"")</f>
        <v>✅ On Best Plan</v>
      </c>
      <c r="L707" s="60" t="str">
        <f>IFERROR(INDEX('Docketed Comments'!F:F,MATCH(A707,'Docketed Comments'!H:H,0)),"")</f>
        <v>Opposed-SRP model is superior</v>
      </c>
      <c r="M707" s="120" t="str">
        <f>IFERROR(INDEX('Docketed Comments'!G:G,MATCH(A707,'Docketed Comments'!H:H,0)),"")</f>
        <v>https://docket.images.azcc.gov/E000046531.pdf</v>
      </c>
      <c r="N707" s="118" t="str">
        <f>IFERROR(INDEX('Docketed Comments'!N:N,MATCH(A707,'Docketed Comments'!H:H,0)),"")</f>
        <v>No</v>
      </c>
      <c r="O707" s="118" t="str">
        <f>IFERROR(INDEX('Docketed Comments'!L:L,MATCH(A707,'Docketed Comments'!H:H,0)),"")</f>
        <v>Yes</v>
      </c>
      <c r="P707" s="119">
        <f t="shared" si="22"/>
        <v>0</v>
      </c>
      <c r="Q707" s="60" t="s">
        <v>23</v>
      </c>
      <c r="R707" s="64" t="s">
        <v>24</v>
      </c>
      <c r="S707" s="64" t="s">
        <v>1536</v>
      </c>
    </row>
    <row r="708" spans="1:19" ht="21.95" hidden="1" customHeight="1">
      <c r="A708" s="66" t="s">
        <v>1537</v>
      </c>
      <c r="B708" s="64" t="s">
        <v>31</v>
      </c>
      <c r="C708" s="65">
        <v>46074</v>
      </c>
      <c r="D708" s="64" t="s">
        <v>21</v>
      </c>
      <c r="E708" s="64" t="s">
        <v>22</v>
      </c>
      <c r="F708" s="60" t="s">
        <v>41</v>
      </c>
      <c r="G708" s="60"/>
      <c r="H708" s="60" t="str">
        <f>IFERROR(INDEX('Docketed Comments'!C:C,MATCH(A708,'Docketed Comments'!H:H,0))&amp;", "&amp;INDEX('Docketed Comments'!B:B,MATCH(A708,'Docketed Comments'!H:H,0)),"")</f>
        <v>Paige, Swett</v>
      </c>
      <c r="I708" s="60" t="str">
        <f>IFERROR(INDEX('Docketed Comments'!D:D,MATCH(A708,'Docketed Comments'!H:H,0)),"")</f>
        <v xml:space="preserve">Glendale </v>
      </c>
      <c r="J708" s="60" t="str">
        <f>IFERROR(INDEX('Docketed Comments'!I:I,MATCH(A708,'Docketed Comments'!H:H,0)),"")</f>
        <v>RCPw/R3-47</v>
      </c>
      <c r="K708" s="60" t="str">
        <f t="shared" si="23"/>
        <v>✅ On Best Plan</v>
      </c>
      <c r="L708" s="60" t="str">
        <f>IFERROR(INDEX('Docketed Comments'!F:F,MATCH(A708,'Docketed Comments'!H:H,0)),"")</f>
        <v xml:space="preserve">Strongly against rate increase </v>
      </c>
      <c r="M708" s="120" t="str">
        <f>IFERROR(INDEX('Docketed Comments'!G:G,MATCH(A708,'Docketed Comments'!H:H,0)),"")</f>
        <v>https://docket.images.azcc.gov/E000046531.pdf</v>
      </c>
      <c r="N708" s="118" t="str">
        <f>IFERROR(INDEX('Docketed Comments'!N:N,MATCH(A708,'Docketed Comments'!H:H,0)),"")</f>
        <v>No</v>
      </c>
      <c r="O708" s="118" t="str">
        <f>IFERROR(INDEX('Docketed Comments'!L:L,MATCH(A708,'Docketed Comments'!H:H,0)),"")</f>
        <v>Yes</v>
      </c>
      <c r="P708" s="119">
        <f t="shared" si="22"/>
        <v>0</v>
      </c>
      <c r="Q708" s="60" t="s">
        <v>23</v>
      </c>
      <c r="R708" s="64" t="s">
        <v>24</v>
      </c>
      <c r="S708" s="64" t="s">
        <v>1538</v>
      </c>
    </row>
    <row r="709" spans="1:19" ht="21.95" customHeight="1">
      <c r="A709" s="66" t="s">
        <v>1539</v>
      </c>
      <c r="B709" s="64"/>
      <c r="C709" s="65"/>
      <c r="D709" s="64"/>
      <c r="E709" s="64"/>
      <c r="F709" s="60"/>
      <c r="G709" s="60" t="s">
        <v>88</v>
      </c>
      <c r="H709" s="60" t="str">
        <f>IFERROR(INDEX('Docketed Comments'!C:C,MATCH(A709,'Docketed Comments'!H:H,0))&amp;", "&amp;INDEX('Docketed Comments'!B:B,MATCH(A709,'Docketed Comments'!H:H,0)),"")</f>
        <v xml:space="preserve">Dajiah, Mathews </v>
      </c>
      <c r="I709" s="60" t="str">
        <f>IFERROR(INDEX('Docketed Comments'!D:D,MATCH(A709,'Docketed Comments'!H:H,0)),"")</f>
        <v>Peoria</v>
      </c>
      <c r="J709" s="60" t="str">
        <f>IFERROR(INDEX('Docketed Comments'!I:I,MATCH(A709,'Docketed Comments'!H:H,0)),"")</f>
        <v>R-BASIC</v>
      </c>
      <c r="K709" s="60" t="str">
        <f t="shared" si="23"/>
        <v>✅ On Best Plan</v>
      </c>
      <c r="L709" s="60" t="str">
        <f>IFERROR(INDEX('Docketed Comments'!F:F,MATCH(A709,'Docketed Comments'!H:H,0)),"")</f>
        <v>Opposed-increase e3 and crises base lines to match</v>
      </c>
      <c r="M709" s="120" t="str">
        <f>IFERROR(INDEX('Docketed Comments'!G:G,MATCH(A709,'Docketed Comments'!H:H,0)),"")</f>
        <v>https://docket.images.azcc.gov/E000046548.pdf</v>
      </c>
      <c r="N709" s="118" t="str">
        <f>IFERROR(INDEX('Docketed Comments'!N:N,MATCH(A709,'Docketed Comments'!H:H,0)),"")</f>
        <v>No</v>
      </c>
      <c r="O709" s="118" t="str">
        <f>IFERROR(INDEX('Docketed Comments'!L:L,MATCH(A709,'Docketed Comments'!H:H,0)),"")</f>
        <v>Yes</v>
      </c>
      <c r="P709" s="119">
        <f t="shared" si="22"/>
        <v>0</v>
      </c>
      <c r="Q709" s="60"/>
      <c r="R709" s="64" t="s">
        <v>75</v>
      </c>
      <c r="S709" s="64" t="s">
        <v>1540</v>
      </c>
    </row>
    <row r="710" spans="1:19" ht="21.95" hidden="1" customHeight="1">
      <c r="A710" s="66" t="s">
        <v>1541</v>
      </c>
      <c r="B710" s="64" t="s">
        <v>31</v>
      </c>
      <c r="C710" s="65">
        <v>46074</v>
      </c>
      <c r="D710" s="64" t="s">
        <v>21</v>
      </c>
      <c r="E710" s="64" t="s">
        <v>22</v>
      </c>
      <c r="F710" s="60" t="s">
        <v>41</v>
      </c>
      <c r="G710" s="60"/>
      <c r="H710" s="60" t="str">
        <f>IFERROR(INDEX('Docketed Comments'!C:C,MATCH(A710,'Docketed Comments'!H:H,0))&amp;", "&amp;INDEX('Docketed Comments'!B:B,MATCH(A710,'Docketed Comments'!H:H,0)),"")</f>
        <v>Laura, Norquist</v>
      </c>
      <c r="I710" s="60" t="str">
        <f>IFERROR(INDEX('Docketed Comments'!D:D,MATCH(A710,'Docketed Comments'!H:H,0)),"")</f>
        <v>Paradise Valley</v>
      </c>
      <c r="J710" s="60" t="str">
        <f>IFERROR(INDEX('Docketed Comments'!I:I,MATCH(A710,'Docketed Comments'!H:H,0)),"")</f>
        <v>R3-47</v>
      </c>
      <c r="K710" s="60" t="str">
        <f t="shared" si="23"/>
        <v>✅ On Best Plan</v>
      </c>
      <c r="L710" s="60" t="str">
        <f>IFERROR(INDEX('Docketed Comments'!F:F,MATCH(A710,'Docketed Comments'!H:H,0)),"")</f>
        <v>Chip factories and AI are driving up costs</v>
      </c>
      <c r="M710" s="120" t="str">
        <f>IFERROR(INDEX('Docketed Comments'!G:G,MATCH(A710,'Docketed Comments'!H:H,0)),"")</f>
        <v>https://docket.images.azcc.gov/E000046548.pdf</v>
      </c>
      <c r="N710" s="118" t="str">
        <f>IFERROR(INDEX('Docketed Comments'!N:N,MATCH(A710,'Docketed Comments'!H:H,0)),"")</f>
        <v>No</v>
      </c>
      <c r="O710" s="118" t="str">
        <f>IFERROR(INDEX('Docketed Comments'!L:L,MATCH(A710,'Docketed Comments'!H:H,0)),"")</f>
        <v>Yes</v>
      </c>
      <c r="P710" s="119">
        <f t="shared" si="22"/>
        <v>0</v>
      </c>
      <c r="Q710" s="60" t="s">
        <v>23</v>
      </c>
      <c r="R710" s="64" t="s">
        <v>24</v>
      </c>
      <c r="S710" s="64" t="s">
        <v>1542</v>
      </c>
    </row>
    <row r="711" spans="1:19" ht="21.95" customHeight="1">
      <c r="A711" s="66" t="s">
        <v>1543</v>
      </c>
      <c r="B711" s="64"/>
      <c r="C711" s="65"/>
      <c r="D711" s="64"/>
      <c r="E711" s="64"/>
      <c r="F711" s="60"/>
      <c r="G711" s="60" t="s">
        <v>88</v>
      </c>
      <c r="H711" s="60" t="str">
        <f>IFERROR(INDEX('Docketed Comments'!C:C,MATCH(A711,'Docketed Comments'!H:H,0))&amp;", "&amp;INDEX('Docketed Comments'!B:B,MATCH(A711,'Docketed Comments'!H:H,0)),"")</f>
        <v>David, Hamilton</v>
      </c>
      <c r="I711" s="60" t="str">
        <f>IFERROR(INDEX('Docketed Comments'!D:D,MATCH(A711,'Docketed Comments'!H:H,0)),"")</f>
        <v>Wittmann</v>
      </c>
      <c r="J711" s="60" t="str">
        <f>IFERROR(INDEX('Docketed Comments'!I:I,MATCH(A711,'Docketed Comments'!H:H,0)),"")</f>
        <v>R-XS</v>
      </c>
      <c r="K711" s="60" t="str">
        <f t="shared" si="23"/>
        <v>✅ On Best Plan</v>
      </c>
      <c r="L711" s="60" t="str">
        <f>IFERROR(INDEX('Docketed Comments'!F:F,MATCH(A711,'Docketed Comments'!H:H,0)),"")</f>
        <v>Opposed-retired on a fixed income</v>
      </c>
      <c r="M711" s="120" t="str">
        <f>IFERROR(INDEX('Docketed Comments'!G:G,MATCH(A711,'Docketed Comments'!H:H,0)),"")</f>
        <v>https://docket.images.azcc.gov/E000046548.pdf</v>
      </c>
      <c r="N711" s="118" t="str">
        <f>IFERROR(INDEX('Docketed Comments'!N:N,MATCH(A711,'Docketed Comments'!H:H,0)),"")</f>
        <v>No</v>
      </c>
      <c r="O711" s="118" t="str">
        <f>IFERROR(INDEX('Docketed Comments'!L:L,MATCH(A711,'Docketed Comments'!H:H,0)),"")</f>
        <v>Yes</v>
      </c>
      <c r="P711" s="119">
        <f t="shared" si="22"/>
        <v>0</v>
      </c>
      <c r="Q711" s="60"/>
      <c r="R711" s="64" t="s">
        <v>75</v>
      </c>
      <c r="S711" s="64" t="s">
        <v>1544</v>
      </c>
    </row>
    <row r="712" spans="1:19" ht="21.95" hidden="1" customHeight="1">
      <c r="A712" s="66" t="s">
        <v>1545</v>
      </c>
      <c r="B712" s="64" t="s">
        <v>31</v>
      </c>
      <c r="C712" s="65">
        <v>46074</v>
      </c>
      <c r="D712" s="64" t="s">
        <v>21</v>
      </c>
      <c r="E712" s="64" t="s">
        <v>22</v>
      </c>
      <c r="F712" s="60" t="s">
        <v>41</v>
      </c>
      <c r="G712" s="60"/>
      <c r="H712" s="60" t="str">
        <f>IFERROR(INDEX('Docketed Comments'!C:C,MATCH(A712,'Docketed Comments'!H:H,0))&amp;", "&amp;INDEX('Docketed Comments'!B:B,MATCH(A712,'Docketed Comments'!H:H,0)),"")</f>
        <v>Ilya, Brown</v>
      </c>
      <c r="I712" s="60" t="str">
        <f>IFERROR(INDEX('Docketed Comments'!D:D,MATCH(A712,'Docketed Comments'!H:H,0)),"")</f>
        <v>Surprise</v>
      </c>
      <c r="J712" s="60" t="str">
        <f>IFERROR(INDEX('Docketed Comments'!I:I,MATCH(A712,'Docketed Comments'!H:H,0)),"")</f>
        <v>EPR-6w/ET-2</v>
      </c>
      <c r="K712" s="60" t="str">
        <f t="shared" si="23"/>
        <v>⚠ Frozen Rate</v>
      </c>
      <c r="L712" s="60" t="str">
        <f>IFERROR(INDEX('Docketed Comments'!F:F,MATCH(A712,'Docketed Comments'!H:H,0)),"")</f>
        <v xml:space="preserve">Opposed- deep concern and frustration </v>
      </c>
      <c r="M712" s="120" t="str">
        <f>IFERROR(INDEX('Docketed Comments'!G:G,MATCH(A712,'Docketed Comments'!H:H,0)),"")</f>
        <v>https://docket.images.azcc.gov/E000046548.pdf</v>
      </c>
      <c r="N712" s="118" t="str">
        <f>IFERROR(INDEX('Docketed Comments'!N:N,MATCH(A712,'Docketed Comments'!H:H,0)),"")</f>
        <v>No</v>
      </c>
      <c r="O712" s="118" t="str">
        <f>IFERROR(INDEX('Docketed Comments'!L:L,MATCH(A712,'Docketed Comments'!H:H,0)),"")</f>
        <v>Frozen Rate</v>
      </c>
      <c r="P712" s="119">
        <f t="shared" si="22"/>
        <v>0</v>
      </c>
      <c r="Q712" s="60" t="s">
        <v>23</v>
      </c>
      <c r="R712" s="64" t="s">
        <v>24</v>
      </c>
      <c r="S712" s="64" t="s">
        <v>1546</v>
      </c>
    </row>
    <row r="713" spans="1:19" ht="21.95" customHeight="1">
      <c r="A713" s="66" t="s">
        <v>1547</v>
      </c>
      <c r="B713" s="64"/>
      <c r="C713" s="65"/>
      <c r="D713" s="64"/>
      <c r="E713" s="64"/>
      <c r="F713" s="60"/>
      <c r="G713" s="60" t="s">
        <v>88</v>
      </c>
      <c r="H713" s="60" t="str">
        <f>IFERROR(INDEX('Docketed Comments'!C:C,MATCH(A713,'Docketed Comments'!H:H,0))&amp;", "&amp;INDEX('Docketed Comments'!B:B,MATCH(A713,'Docketed Comments'!H:H,0)),"")</f>
        <v>Krystal, Bourdieu</v>
      </c>
      <c r="I713" s="60" t="str">
        <f>IFERROR(INDEX('Docketed Comments'!D:D,MATCH(A713,'Docketed Comments'!H:H,0)),"")</f>
        <v>Phoenix</v>
      </c>
      <c r="J713" s="60" t="str">
        <f>IFERROR(INDEX('Docketed Comments'!I:I,MATCH(A713,'Docketed Comments'!H:H,0)),"")</f>
        <v>EPR-6w/ET-2</v>
      </c>
      <c r="K713" s="60" t="str">
        <f t="shared" si="23"/>
        <v>⚠ Frozen Rate</v>
      </c>
      <c r="L713" s="60" t="str">
        <f>IFERROR(INDEX('Docketed Comments'!F:F,MATCH(A713,'Docketed Comments'!H:H,0)),"")</f>
        <v xml:space="preserve">Opposed-2024 net income 600 million </v>
      </c>
      <c r="M713" s="120" t="str">
        <f>IFERROR(INDEX('Docketed Comments'!G:G,MATCH(A713,'Docketed Comments'!H:H,0)),"")</f>
        <v>https://docket.images.azcc.gov/E000046548.pdf</v>
      </c>
      <c r="N713" s="118" t="str">
        <f>IFERROR(INDEX('Docketed Comments'!N:N,MATCH(A713,'Docketed Comments'!H:H,0)),"")</f>
        <v>No</v>
      </c>
      <c r="O713" s="118" t="str">
        <f>IFERROR(INDEX('Docketed Comments'!L:L,MATCH(A713,'Docketed Comments'!H:H,0)),"")</f>
        <v>Frozen Rate</v>
      </c>
      <c r="P713" s="119">
        <f t="shared" si="22"/>
        <v>0</v>
      </c>
      <c r="Q713" s="60"/>
      <c r="R713" s="64" t="s">
        <v>75</v>
      </c>
      <c r="S713" s="64" t="s">
        <v>1548</v>
      </c>
    </row>
    <row r="714" spans="1:19" ht="21.95" hidden="1" customHeight="1">
      <c r="A714" s="66" t="s">
        <v>1549</v>
      </c>
      <c r="B714" s="64" t="s">
        <v>31</v>
      </c>
      <c r="C714" s="65">
        <v>46074</v>
      </c>
      <c r="D714" s="64" t="s">
        <v>21</v>
      </c>
      <c r="E714" s="64" t="s">
        <v>22</v>
      </c>
      <c r="F714" s="60" t="s">
        <v>41</v>
      </c>
      <c r="G714" s="60"/>
      <c r="H714" s="60" t="str">
        <f>IFERROR(INDEX('Docketed Comments'!C:C,MATCH(A714,'Docketed Comments'!H:H,0))&amp;", "&amp;INDEX('Docketed Comments'!B:B,MATCH(A714,'Docketed Comments'!H:H,0)),"")</f>
        <v>Cayla, Ruddy</v>
      </c>
      <c r="I714" s="60" t="str">
        <f>IFERROR(INDEX('Docketed Comments'!D:D,MATCH(A714,'Docketed Comments'!H:H,0)),"")</f>
        <v>Peoria</v>
      </c>
      <c r="J714" s="60" t="str">
        <f>IFERROR(INDEX('Docketed Comments'!I:I,MATCH(A714,'Docketed Comments'!H:H,0)),"")</f>
        <v>RCPw/R3-47</v>
      </c>
      <c r="K714" s="60" t="str">
        <f t="shared" si="23"/>
        <v>✅ On Best Plan</v>
      </c>
      <c r="L714" s="60" t="str">
        <f>IFERROR(INDEX('Docketed Comments'!F:F,MATCH(A714,'Docketed Comments'!H:H,0)),"")</f>
        <v>Opposed-APS is not interested in providing affordable energy</v>
      </c>
      <c r="M714" s="120" t="str">
        <f>IFERROR(INDEX('Docketed Comments'!G:G,MATCH(A714,'Docketed Comments'!H:H,0)),"")</f>
        <v>https://docket.images.azcc.gov/E000046548.pdf</v>
      </c>
      <c r="N714" s="118" t="str">
        <f>IFERROR(INDEX('Docketed Comments'!N:N,MATCH(A714,'Docketed Comments'!H:H,0)),"")</f>
        <v>No</v>
      </c>
      <c r="O714" s="118" t="str">
        <f>IFERROR(INDEX('Docketed Comments'!L:L,MATCH(A714,'Docketed Comments'!H:H,0)),"")</f>
        <v>Yes</v>
      </c>
      <c r="P714" s="119">
        <f t="shared" si="22"/>
        <v>0</v>
      </c>
      <c r="Q714" s="60" t="s">
        <v>23</v>
      </c>
      <c r="R714" s="64" t="s">
        <v>24</v>
      </c>
      <c r="S714" s="64" t="s">
        <v>1550</v>
      </c>
    </row>
    <row r="715" spans="1:19" ht="21.95" customHeight="1">
      <c r="A715" s="66" t="s">
        <v>1551</v>
      </c>
      <c r="B715" s="64"/>
      <c r="C715" s="65"/>
      <c r="D715" s="64"/>
      <c r="E715" s="64"/>
      <c r="F715" s="60"/>
      <c r="G715" s="60" t="s">
        <v>88</v>
      </c>
      <c r="H715" s="60" t="str">
        <f>IFERROR(INDEX('Docketed Comments'!C:C,MATCH(A715,'Docketed Comments'!H:H,0))&amp;", "&amp;INDEX('Docketed Comments'!B:B,MATCH(A715,'Docketed Comments'!H:H,0)),"")</f>
        <v>Vicki, Toback</v>
      </c>
      <c r="I715" s="60" t="str">
        <f>IFERROR(INDEX('Docketed Comments'!D:D,MATCH(A715,'Docketed Comments'!H:H,0)),"")</f>
        <v>Scottsdale</v>
      </c>
      <c r="J715" s="60" t="str">
        <f>IFERROR(INDEX('Docketed Comments'!I:I,MATCH(A715,'Docketed Comments'!H:H,0)),"")</f>
        <v>R3-47</v>
      </c>
      <c r="K715" s="60" t="str">
        <f t="shared" si="23"/>
        <v>✅ On Best Plan</v>
      </c>
      <c r="L715" s="60" t="str">
        <f>IFERROR(INDEX('Docketed Comments'!F:F,MATCH(A715,'Docketed Comments'!H:H,0)),"")</f>
        <v>Opposed-Average family wont be able to keep up</v>
      </c>
      <c r="M715" s="120" t="str">
        <f>IFERROR(INDEX('Docketed Comments'!G:G,MATCH(A715,'Docketed Comments'!H:H,0)),"")</f>
        <v>https://docket.images.azcc.gov/E000046548.pdf</v>
      </c>
      <c r="N715" s="118" t="str">
        <f>IFERROR(INDEX('Docketed Comments'!N:N,MATCH(A715,'Docketed Comments'!H:H,0)),"")</f>
        <v>No</v>
      </c>
      <c r="O715" s="118" t="str">
        <f>IFERROR(INDEX('Docketed Comments'!L:L,MATCH(A715,'Docketed Comments'!H:H,0)),"")</f>
        <v>Yes</v>
      </c>
      <c r="P715" s="119">
        <f t="shared" si="22"/>
        <v>0</v>
      </c>
      <c r="Q715" s="60"/>
      <c r="R715" s="64" t="s">
        <v>75</v>
      </c>
      <c r="S715" s="64" t="s">
        <v>1552</v>
      </c>
    </row>
    <row r="716" spans="1:19" ht="21.95" hidden="1" customHeight="1">
      <c r="A716" s="66" t="s">
        <v>1553</v>
      </c>
      <c r="B716" s="64" t="s">
        <v>31</v>
      </c>
      <c r="C716" s="65">
        <v>45997</v>
      </c>
      <c r="D716" s="64"/>
      <c r="E716" s="64" t="s">
        <v>22</v>
      </c>
      <c r="F716" s="60" t="s">
        <v>1554</v>
      </c>
      <c r="G716" s="60"/>
      <c r="H716" s="60" t="str">
        <f>IFERROR(INDEX('Docketed Comments'!C:C,MATCH(A716,'Docketed Comments'!H:H,0))&amp;", "&amp;INDEX('Docketed Comments'!B:B,MATCH(A716,'Docketed Comments'!H:H,0)),"")</f>
        <v>Jacob, Vollmer</v>
      </c>
      <c r="I716" s="60" t="str">
        <f>IFERROR(INDEX('Docketed Comments'!D:D,MATCH(A716,'Docketed Comments'!H:H,0)),"")</f>
        <v>Unknown</v>
      </c>
      <c r="J716" s="60" t="str">
        <f>IFERROR(INDEX('Docketed Comments'!I:I,MATCH(A716,'Docketed Comments'!H:H,0)),"")</f>
        <v>EPR-6w/ET-2</v>
      </c>
      <c r="K716" s="60" t="str">
        <f t="shared" si="23"/>
        <v>⚠ Frozen Rate</v>
      </c>
      <c r="L716" s="60" t="str">
        <f>IFERROR(INDEX('Docketed Comments'!F:F,MATCH(A716,'Docketed Comments'!H:H,0)),"")</f>
        <v>Opposed-Bogus rate increase, money grab</v>
      </c>
      <c r="M716" s="120" t="str">
        <f>IFERROR(INDEX('Docketed Comments'!G:G,MATCH(A716,'Docketed Comments'!H:H,0)),"")</f>
        <v>https://docket.images.azcc.gov/E000046548.pdf</v>
      </c>
      <c r="N716" s="118" t="str">
        <f>IFERROR(INDEX('Docketed Comments'!N:N,MATCH(A716,'Docketed Comments'!H:H,0)),"")</f>
        <v>No</v>
      </c>
      <c r="O716" s="118" t="str">
        <f>IFERROR(INDEX('Docketed Comments'!L:L,MATCH(A716,'Docketed Comments'!H:H,0)),"")</f>
        <v>Frozen Rate</v>
      </c>
      <c r="P716" s="119">
        <f t="shared" si="22"/>
        <v>0</v>
      </c>
      <c r="Q716" s="60" t="s">
        <v>23</v>
      </c>
      <c r="R716" s="64" t="s">
        <v>24</v>
      </c>
      <c r="S716" s="64" t="s">
        <v>1555</v>
      </c>
    </row>
    <row r="717" spans="1:19" ht="21.95" customHeight="1">
      <c r="A717" s="66" t="s">
        <v>1556</v>
      </c>
      <c r="B717" s="64"/>
      <c r="C717" s="65"/>
      <c r="D717" s="64"/>
      <c r="E717" s="64"/>
      <c r="F717" s="60"/>
      <c r="G717" s="60" t="s">
        <v>88</v>
      </c>
      <c r="H717" s="60" t="str">
        <f>IFERROR(INDEX('Docketed Comments'!C:C,MATCH(A717,'Docketed Comments'!H:H,0))&amp;", "&amp;INDEX('Docketed Comments'!B:B,MATCH(A717,'Docketed Comments'!H:H,0)),"")</f>
        <v>Adam, Schiff</v>
      </c>
      <c r="I717" s="60" t="str">
        <f>IFERROR(INDEX('Docketed Comments'!D:D,MATCH(A717,'Docketed Comments'!H:H,0)),"")</f>
        <v>Phoenix</v>
      </c>
      <c r="J717" s="60" t="str">
        <f>IFERROR(INDEX('Docketed Comments'!I:I,MATCH(A717,'Docketed Comments'!H:H,0)),"")</f>
        <v>EPR-6w/ET-2</v>
      </c>
      <c r="K717" s="60" t="str">
        <f t="shared" si="23"/>
        <v>⚠ Frozen Rate</v>
      </c>
      <c r="L717" s="60" t="str">
        <f>IFERROR(INDEX('Docketed Comments'!F:F,MATCH(A717,'Docketed Comments'!H:H,0)),"")</f>
        <v>Opposed</v>
      </c>
      <c r="M717" s="120" t="str">
        <f>IFERROR(INDEX('Docketed Comments'!G:G,MATCH(A717,'Docketed Comments'!H:H,0)),"")</f>
        <v>https://docket.images.azcc.gov/E000046548.pdf</v>
      </c>
      <c r="N717" s="118" t="str">
        <f>IFERROR(INDEX('Docketed Comments'!N:N,MATCH(A717,'Docketed Comments'!H:H,0)),"")</f>
        <v>No</v>
      </c>
      <c r="O717" s="118" t="str">
        <f>IFERROR(INDEX('Docketed Comments'!L:L,MATCH(A717,'Docketed Comments'!H:H,0)),"")</f>
        <v>Frozen Rate</v>
      </c>
      <c r="P717" s="119">
        <f t="shared" si="22"/>
        <v>0</v>
      </c>
      <c r="Q717" s="60"/>
      <c r="R717" s="64" t="s">
        <v>75</v>
      </c>
      <c r="S717" s="64" t="s">
        <v>1557</v>
      </c>
    </row>
    <row r="718" spans="1:19" ht="21.95" hidden="1" customHeight="1">
      <c r="A718" s="66" t="s">
        <v>1558</v>
      </c>
      <c r="B718" s="64" t="s">
        <v>31</v>
      </c>
      <c r="C718" s="65">
        <v>46074</v>
      </c>
      <c r="D718" s="64" t="s">
        <v>27</v>
      </c>
      <c r="E718" s="64" t="s">
        <v>22</v>
      </c>
      <c r="F718" s="60" t="s">
        <v>211</v>
      </c>
      <c r="G718" s="60"/>
      <c r="H718" s="60" t="str">
        <f>IFERROR(INDEX('Docketed Comments'!C:C,MATCH(A718,'Docketed Comments'!H:H,0))&amp;", "&amp;INDEX('Docketed Comments'!B:B,MATCH(A718,'Docketed Comments'!H:H,0)),"")</f>
        <v>Richard, Knaeble</v>
      </c>
      <c r="I718" s="60" t="str">
        <f>IFERROR(INDEX('Docketed Comments'!D:D,MATCH(A718,'Docketed Comments'!H:H,0)),"")</f>
        <v>Phoenix</v>
      </c>
      <c r="J718" s="60" t="str">
        <f>IFERROR(INDEX('Docketed Comments'!I:I,MATCH(A718,'Docketed Comments'!H:H,0)),"")</f>
        <v>R3-47</v>
      </c>
      <c r="K718" s="60" t="str">
        <f t="shared" si="23"/>
        <v>✅ On Best Plan</v>
      </c>
      <c r="L718" s="60" t="str">
        <f>IFERROR(INDEX('Docketed Comments'!F:F,MATCH(A718,'Docketed Comments'!H:H,0)),"")</f>
        <v>Opposed-Charge data centers more</v>
      </c>
      <c r="M718" s="120" t="str">
        <f>IFERROR(INDEX('Docketed Comments'!G:G,MATCH(A718,'Docketed Comments'!H:H,0)),"")</f>
        <v>https://docket.images.azcc.gov/E000046548.pdf</v>
      </c>
      <c r="N718" s="118" t="str">
        <f>IFERROR(INDEX('Docketed Comments'!N:N,MATCH(A718,'Docketed Comments'!H:H,0)),"")</f>
        <v>No</v>
      </c>
      <c r="O718" s="118" t="str">
        <f>IFERROR(INDEX('Docketed Comments'!L:L,MATCH(A718,'Docketed Comments'!H:H,0)),"")</f>
        <v>Yes</v>
      </c>
      <c r="P718" s="119">
        <f t="shared" si="22"/>
        <v>0</v>
      </c>
      <c r="Q718" s="60" t="s">
        <v>23</v>
      </c>
      <c r="R718" s="64" t="s">
        <v>24</v>
      </c>
      <c r="S718" s="64" t="s">
        <v>1559</v>
      </c>
    </row>
    <row r="719" spans="1:19" ht="21.95" hidden="1" customHeight="1">
      <c r="A719" s="66" t="s">
        <v>1560</v>
      </c>
      <c r="B719" s="64" t="s">
        <v>31</v>
      </c>
      <c r="C719" s="65">
        <v>45997</v>
      </c>
      <c r="D719" s="64"/>
      <c r="E719" s="64" t="s">
        <v>22</v>
      </c>
      <c r="F719" s="60" t="s">
        <v>1561</v>
      </c>
      <c r="G719" s="60"/>
      <c r="H719" s="60" t="str">
        <f>IFERROR(INDEX('Docketed Comments'!C:C,MATCH(A719,'Docketed Comments'!H:H,0))&amp;", "&amp;INDEX('Docketed Comments'!B:B,MATCH(A719,'Docketed Comments'!H:H,0)),"")</f>
        <v>Veronica R., Valerio</v>
      </c>
      <c r="I719" s="60" t="str">
        <f>IFERROR(INDEX('Docketed Comments'!D:D,MATCH(A719,'Docketed Comments'!H:H,0)),"")</f>
        <v>Prescott</v>
      </c>
      <c r="J719" s="60" t="str">
        <f>IFERROR(INDEX('Docketed Comments'!I:I,MATCH(A719,'Docketed Comments'!H:H,0)),"")</f>
        <v>R-BASIC</v>
      </c>
      <c r="K719" s="60" t="str">
        <f t="shared" si="23"/>
        <v>✅ On Best Plan</v>
      </c>
      <c r="L719" s="60" t="str">
        <f>IFERROR(INDEX('Docketed Comments'!F:F,MATCH(A719,'Docketed Comments'!H:H,0)),"")</f>
        <v>Opposed-increase is concerning</v>
      </c>
      <c r="M719" s="120" t="str">
        <f>IFERROR(INDEX('Docketed Comments'!G:G,MATCH(A719,'Docketed Comments'!H:H,0)),"")</f>
        <v>https://docket.images.azcc.gov/E000046548.pdf</v>
      </c>
      <c r="N719" s="118" t="str">
        <f>IFERROR(INDEX('Docketed Comments'!N:N,MATCH(A719,'Docketed Comments'!H:H,0)),"")</f>
        <v>No</v>
      </c>
      <c r="O719" s="118" t="str">
        <f>IFERROR(INDEX('Docketed Comments'!L:L,MATCH(A719,'Docketed Comments'!H:H,0)),"")</f>
        <v>Yes</v>
      </c>
      <c r="P719" s="119">
        <f t="shared" si="22"/>
        <v>0</v>
      </c>
      <c r="Q719" s="60" t="s">
        <v>23</v>
      </c>
      <c r="R719" s="64" t="s">
        <v>24</v>
      </c>
      <c r="S719" s="124" t="s">
        <v>1562</v>
      </c>
    </row>
    <row r="720" spans="1:19" ht="21.95" hidden="1" customHeight="1">
      <c r="A720" s="66" t="s">
        <v>1563</v>
      </c>
      <c r="B720" s="64" t="s">
        <v>31</v>
      </c>
      <c r="C720" s="65">
        <v>46074</v>
      </c>
      <c r="D720" s="64" t="s">
        <v>27</v>
      </c>
      <c r="E720" s="64" t="s">
        <v>35</v>
      </c>
      <c r="F720" s="60"/>
      <c r="G720" s="60"/>
      <c r="H720" s="60" t="str">
        <f>IFERROR(INDEX('Docketed Comments'!C:C,MATCH(A720,'Docketed Comments'!H:H,0))&amp;", "&amp;INDEX('Docketed Comments'!B:B,MATCH(A720,'Docketed Comments'!H:H,0)),"")</f>
        <v>Kimberly, Eggert</v>
      </c>
      <c r="I720" s="60" t="str">
        <f>IFERROR(INDEX('Docketed Comments'!D:D,MATCH(A720,'Docketed Comments'!H:H,0)),"")</f>
        <v>Scottsdale</v>
      </c>
      <c r="J720" s="60" t="str">
        <f>IFERROR(INDEX('Docketed Comments'!I:I,MATCH(A720,'Docketed Comments'!H:H,0)),"")</f>
        <v>R3-47</v>
      </c>
      <c r="K720" s="60" t="str">
        <f t="shared" si="23"/>
        <v>✅ On Best Plan</v>
      </c>
      <c r="L720" s="60" t="str">
        <f>IFERROR(INDEX('Docketed Comments'!F:F,MATCH(A720,'Docketed Comments'!H:H,0)),"")</f>
        <v>Opposed-Is there a reason AZ doesn’t allow competition?</v>
      </c>
      <c r="M720" s="120" t="str">
        <f>IFERROR(INDEX('Docketed Comments'!G:G,MATCH(A720,'Docketed Comments'!H:H,0)),"")</f>
        <v>https://docket.images.azcc.gov/E000046554.pdf</v>
      </c>
      <c r="N720" s="118" t="str">
        <f>IFERROR(INDEX('Docketed Comments'!N:N,MATCH(A720,'Docketed Comments'!H:H,0)),"")</f>
        <v>No</v>
      </c>
      <c r="O720" s="118" t="str">
        <f>IFERROR(INDEX('Docketed Comments'!L:L,MATCH(A720,'Docketed Comments'!H:H,0)),"")</f>
        <v>Y</v>
      </c>
      <c r="P720" s="119">
        <f t="shared" si="22"/>
        <v>0</v>
      </c>
      <c r="Q720" s="60" t="s">
        <v>23</v>
      </c>
      <c r="R720" s="64" t="s">
        <v>24</v>
      </c>
      <c r="S720" s="64" t="s">
        <v>1564</v>
      </c>
    </row>
    <row r="721" spans="1:19" ht="21.95" hidden="1" customHeight="1">
      <c r="A721" s="66" t="s">
        <v>1565</v>
      </c>
      <c r="B721" s="64" t="s">
        <v>31</v>
      </c>
      <c r="C721" s="65">
        <v>46074</v>
      </c>
      <c r="D721" s="64" t="s">
        <v>21</v>
      </c>
      <c r="E721" s="64" t="s">
        <v>22</v>
      </c>
      <c r="F721" s="60" t="s">
        <v>41</v>
      </c>
      <c r="G721" s="60"/>
      <c r="H721" s="60" t="str">
        <f>IFERROR(INDEX('Docketed Comments'!C:C,MATCH(A721,'Docketed Comments'!H:H,0))&amp;", "&amp;INDEX('Docketed Comments'!B:B,MATCH(A721,'Docketed Comments'!H:H,0)),"")</f>
        <v>Janelle, Bottlinger</v>
      </c>
      <c r="I721" s="60" t="str">
        <f>IFERROR(INDEX('Docketed Comments'!D:D,MATCH(A721,'Docketed Comments'!H:H,0)),"")</f>
        <v>Phoenix</v>
      </c>
      <c r="J721" s="60" t="str">
        <f>IFERROR(INDEX('Docketed Comments'!I:I,MATCH(A721,'Docketed Comments'!H:H,0)),"")</f>
        <v>R3-47</v>
      </c>
      <c r="K721" s="60" t="str">
        <f t="shared" si="23"/>
        <v>✅ On Best Plan</v>
      </c>
      <c r="L721" s="60" t="str">
        <f>IFERROR(INDEX('Docketed Comments'!F:F,MATCH(A721,'Docketed Comments'!H:H,0)),"")</f>
        <v>Rates are extremely expensive</v>
      </c>
      <c r="M721" s="120" t="str">
        <f>IFERROR(INDEX('Docketed Comments'!G:G,MATCH(A721,'Docketed Comments'!H:H,0)),"")</f>
        <v>https://docket.images.azcc.gov/E000046554.pdf</v>
      </c>
      <c r="N721" s="118" t="str">
        <f>IFERROR(INDEX('Docketed Comments'!N:N,MATCH(A721,'Docketed Comments'!H:H,0)),"")</f>
        <v>No</v>
      </c>
      <c r="O721" s="118" t="str">
        <f>IFERROR(INDEX('Docketed Comments'!L:L,MATCH(A721,'Docketed Comments'!H:H,0)),"")</f>
        <v>Y</v>
      </c>
      <c r="P721" s="119">
        <f t="shared" si="22"/>
        <v>0</v>
      </c>
      <c r="Q721" s="60" t="s">
        <v>23</v>
      </c>
      <c r="R721" s="64" t="s">
        <v>24</v>
      </c>
      <c r="S721" s="64" t="s">
        <v>1566</v>
      </c>
    </row>
    <row r="722" spans="1:19" ht="21.95" customHeight="1">
      <c r="A722" s="66" t="s">
        <v>1567</v>
      </c>
      <c r="B722" s="64"/>
      <c r="C722" s="65"/>
      <c r="D722" s="64"/>
      <c r="E722" s="64"/>
      <c r="F722" s="60"/>
      <c r="G722" s="60" t="s">
        <v>88</v>
      </c>
      <c r="H722" s="60" t="str">
        <f>IFERROR(INDEX('Docketed Comments'!C:C,MATCH(A722,'Docketed Comments'!H:H,0))&amp;", "&amp;INDEX('Docketed Comments'!B:B,MATCH(A722,'Docketed Comments'!H:H,0)),"")</f>
        <v>Pamela, Gibson</v>
      </c>
      <c r="I722" s="60" t="str">
        <f>IFERROR(INDEX('Docketed Comments'!D:D,MATCH(A722,'Docketed Comments'!H:H,0)),"")</f>
        <v>Surprise</v>
      </c>
      <c r="J722" s="60" t="str">
        <f>IFERROR(INDEX('Docketed Comments'!I:I,MATCH(A722,'Docketed Comments'!H:H,0)),"")</f>
        <v>R3-47</v>
      </c>
      <c r="K722" s="60" t="str">
        <f t="shared" si="23"/>
        <v>✅ On Best Plan</v>
      </c>
      <c r="L722" s="60" t="str">
        <f>IFERROR(INDEX('Docketed Comments'!F:F,MATCH(A722,'Docketed Comments'!H:H,0)),"")</f>
        <v>No one can keep up with their bills</v>
      </c>
      <c r="M722" s="120" t="str">
        <f>IFERROR(INDEX('Docketed Comments'!G:G,MATCH(A722,'Docketed Comments'!H:H,0)),"")</f>
        <v>https://docket.images.azcc.gov/E000046554.pdf</v>
      </c>
      <c r="N722" s="118" t="str">
        <f>IFERROR(INDEX('Docketed Comments'!N:N,MATCH(A722,'Docketed Comments'!H:H,0)),"")</f>
        <v>No</v>
      </c>
      <c r="O722" s="118" t="str">
        <f>IFERROR(INDEX('Docketed Comments'!L:L,MATCH(A722,'Docketed Comments'!H:H,0)),"")</f>
        <v>Y</v>
      </c>
      <c r="P722" s="119">
        <f t="shared" si="22"/>
        <v>0</v>
      </c>
      <c r="Q722" s="60"/>
      <c r="R722" s="64" t="s">
        <v>75</v>
      </c>
      <c r="S722" s="64" t="s">
        <v>1568</v>
      </c>
    </row>
    <row r="723" spans="1:19" ht="21.95" customHeight="1">
      <c r="A723" s="66" t="s">
        <v>1569</v>
      </c>
      <c r="B723" s="64"/>
      <c r="C723" s="65"/>
      <c r="D723" s="64"/>
      <c r="E723" s="64"/>
      <c r="F723" s="60"/>
      <c r="G723" s="60" t="s">
        <v>88</v>
      </c>
      <c r="H723" s="60" t="str">
        <f>IFERROR(INDEX('Docketed Comments'!C:C,MATCH(A723,'Docketed Comments'!H:H,0))&amp;", "&amp;INDEX('Docketed Comments'!B:B,MATCH(A723,'Docketed Comments'!H:H,0)),"")</f>
        <v>Dawn, Owsley</v>
      </c>
      <c r="I723" s="60" t="str">
        <f>IFERROR(INDEX('Docketed Comments'!D:D,MATCH(A723,'Docketed Comments'!H:H,0)),"")</f>
        <v>Unknown</v>
      </c>
      <c r="J723" s="60" t="str">
        <f>IFERROR(INDEX('Docketed Comments'!I:I,MATCH(A723,'Docketed Comments'!H:H,0)),"")</f>
        <v>R3-47</v>
      </c>
      <c r="K723" s="60" t="str">
        <f t="shared" si="23"/>
        <v>✅ On Best Plan</v>
      </c>
      <c r="L723" s="60" t="str">
        <f>IFERROR(INDEX('Docketed Comments'!F:F,MATCH(A723,'Docketed Comments'!H:H,0)),"")</f>
        <v>Unacceptable- will leave many unable to pay their bills</v>
      </c>
      <c r="M723" s="120" t="str">
        <f>IFERROR(INDEX('Docketed Comments'!G:G,MATCH(A723,'Docketed Comments'!H:H,0)),"")</f>
        <v>https://docket.images.azcc.gov/E000046554.pdf</v>
      </c>
      <c r="N723" s="118" t="str">
        <f>IFERROR(INDEX('Docketed Comments'!N:N,MATCH(A723,'Docketed Comments'!H:H,0)),"")</f>
        <v>No</v>
      </c>
      <c r="O723" s="118" t="str">
        <f>IFERROR(INDEX('Docketed Comments'!L:L,MATCH(A723,'Docketed Comments'!H:H,0)),"")</f>
        <v>Y</v>
      </c>
      <c r="P723" s="119">
        <f t="shared" si="22"/>
        <v>0</v>
      </c>
      <c r="Q723" s="60"/>
      <c r="R723" s="64" t="s">
        <v>75</v>
      </c>
      <c r="S723" s="64" t="s">
        <v>1570</v>
      </c>
    </row>
    <row r="724" spans="1:19" ht="21.95" hidden="1" customHeight="1">
      <c r="A724" s="66" t="s">
        <v>1571</v>
      </c>
      <c r="B724" s="64" t="s">
        <v>31</v>
      </c>
      <c r="C724" s="65">
        <v>46074</v>
      </c>
      <c r="D724" s="64" t="s">
        <v>21</v>
      </c>
      <c r="E724" s="64" t="s">
        <v>22</v>
      </c>
      <c r="F724" s="60" t="s">
        <v>41</v>
      </c>
      <c r="G724" s="60"/>
      <c r="H724" s="60" t="str">
        <f>IFERROR(INDEX('Docketed Comments'!C:C,MATCH(A724,'Docketed Comments'!H:H,0))&amp;", "&amp;INDEX('Docketed Comments'!B:B,MATCH(A724,'Docketed Comments'!H:H,0)),"")</f>
        <v>Kevin, Castano</v>
      </c>
      <c r="I724" s="60" t="str">
        <f>IFERROR(INDEX('Docketed Comments'!D:D,MATCH(A724,'Docketed Comments'!H:H,0)),"")</f>
        <v>Chino Valley</v>
      </c>
      <c r="J724" s="60" t="str">
        <f>IFERROR(INDEX('Docketed Comments'!I:I,MATCH(A724,'Docketed Comments'!H:H,0)),"")</f>
        <v>R-XS</v>
      </c>
      <c r="K724" s="60" t="str">
        <f t="shared" si="23"/>
        <v>✅ On Best Plan</v>
      </c>
      <c r="L724" s="60" t="str">
        <f>IFERROR(INDEX('Docketed Comments'!F:F,MATCH(A724,'Docketed Comments'!H:H,0)),"")</f>
        <v>Opposed-already struggling with cost of living</v>
      </c>
      <c r="M724" s="120" t="str">
        <f>IFERROR(INDEX('Docketed Comments'!G:G,MATCH(A724,'Docketed Comments'!H:H,0)),"")</f>
        <v>https://docket.images.azcc.gov/E000046554.pdf</v>
      </c>
      <c r="N724" s="118" t="str">
        <f>IFERROR(INDEX('Docketed Comments'!N:N,MATCH(A724,'Docketed Comments'!H:H,0)),"")</f>
        <v>No</v>
      </c>
      <c r="O724" s="118" t="str">
        <f>IFERROR(INDEX('Docketed Comments'!L:L,MATCH(A724,'Docketed Comments'!H:H,0)),"")</f>
        <v>Y</v>
      </c>
      <c r="P724" s="119">
        <f t="shared" si="22"/>
        <v>0</v>
      </c>
      <c r="Q724" s="60" t="s">
        <v>23</v>
      </c>
      <c r="R724" s="64" t="s">
        <v>24</v>
      </c>
      <c r="S724" s="64" t="s">
        <v>1572</v>
      </c>
    </row>
    <row r="725" spans="1:19" ht="21.95" hidden="1" customHeight="1">
      <c r="A725" s="66" t="s">
        <v>1573</v>
      </c>
      <c r="B725" s="64" t="s">
        <v>31</v>
      </c>
      <c r="C725" s="65">
        <v>46074</v>
      </c>
      <c r="D725" s="64" t="s">
        <v>27</v>
      </c>
      <c r="E725" s="64" t="s">
        <v>22</v>
      </c>
      <c r="F725" s="60" t="s">
        <v>54</v>
      </c>
      <c r="G725" s="60"/>
      <c r="H725" s="60" t="str">
        <f>IFERROR(INDEX('Docketed Comments'!C:C,MATCH(A725,'Docketed Comments'!H:H,0))&amp;", "&amp;INDEX('Docketed Comments'!B:B,MATCH(A725,'Docketed Comments'!H:H,0)),"")</f>
        <v>Christine, McCloskey</v>
      </c>
      <c r="I725" s="60" t="str">
        <f>IFERROR(INDEX('Docketed Comments'!D:D,MATCH(A725,'Docketed Comments'!H:H,0)),"")</f>
        <v>Buckeye</v>
      </c>
      <c r="J725" s="60" t="str">
        <f>IFERROR(INDEX('Docketed Comments'!I:I,MATCH(A725,'Docketed Comments'!H:H,0)),"")</f>
        <v>R3-47</v>
      </c>
      <c r="K725" s="60" t="str">
        <f t="shared" si="23"/>
        <v>✅ On Best Plan</v>
      </c>
      <c r="L725" s="60" t="str">
        <f>IFERROR(INDEX('Docketed Comments'!F:F,MATCH(A725,'Docketed Comments'!H:H,0)),"")</f>
        <v>Form letter</v>
      </c>
      <c r="M725" s="120" t="str">
        <f>IFERROR(INDEX('Docketed Comments'!G:G,MATCH(A725,'Docketed Comments'!H:H,0)),"")</f>
        <v>https://docket.images.azcc.gov/E000046578.pdf</v>
      </c>
      <c r="N725" s="118" t="str">
        <f>IFERROR(INDEX('Docketed Comments'!N:N,MATCH(A725,'Docketed Comments'!H:H,0)),"")</f>
        <v>No</v>
      </c>
      <c r="O725" s="118" t="str">
        <f>IFERROR(INDEX('Docketed Comments'!L:L,MATCH(A725,'Docketed Comments'!H:H,0)),"")</f>
        <v>Y</v>
      </c>
      <c r="P725" s="119">
        <f t="shared" si="22"/>
        <v>0</v>
      </c>
      <c r="Q725" s="60" t="s">
        <v>23</v>
      </c>
      <c r="R725" s="64" t="s">
        <v>24</v>
      </c>
      <c r="S725" s="64" t="s">
        <v>1574</v>
      </c>
    </row>
    <row r="726" spans="1:19" ht="21.95" customHeight="1">
      <c r="A726" s="66" t="s">
        <v>1575</v>
      </c>
      <c r="B726" s="64"/>
      <c r="C726" s="65"/>
      <c r="D726" s="64"/>
      <c r="E726" s="64"/>
      <c r="F726" s="60"/>
      <c r="G726" s="60" t="s">
        <v>88</v>
      </c>
      <c r="H726" s="60" t="str">
        <f>IFERROR(INDEX('Docketed Comments'!C:C,MATCH(A726,'Docketed Comments'!H:H,0))&amp;", "&amp;INDEX('Docketed Comments'!B:B,MATCH(A726,'Docketed Comments'!H:H,0)),"")</f>
        <v>Kaitlynne, Barley</v>
      </c>
      <c r="I726" s="60" t="str">
        <f>IFERROR(INDEX('Docketed Comments'!D:D,MATCH(A726,'Docketed Comments'!H:H,0)),"")</f>
        <v>Litchfield Park</v>
      </c>
      <c r="J726" s="60" t="str">
        <f>IFERROR(INDEX('Docketed Comments'!I:I,MATCH(A726,'Docketed Comments'!H:H,0)),"")</f>
        <v>R3-47</v>
      </c>
      <c r="K726" s="60" t="str">
        <f t="shared" si="23"/>
        <v>✅ On Best Plan</v>
      </c>
      <c r="L726" s="60" t="str">
        <f>IFERROR(INDEX('Docketed Comments'!F:F,MATCH(A726,'Docketed Comments'!H:H,0)),"")</f>
        <v>Strongly Opposed</v>
      </c>
      <c r="M726" s="120" t="str">
        <f>IFERROR(INDEX('Docketed Comments'!G:G,MATCH(A726,'Docketed Comments'!H:H,0)),"")</f>
        <v>https://docket.images.azcc.gov/E000046578.pdf</v>
      </c>
      <c r="N726" s="118" t="str">
        <f>IFERROR(INDEX('Docketed Comments'!N:N,MATCH(A726,'Docketed Comments'!H:H,0)),"")</f>
        <v>No</v>
      </c>
      <c r="O726" s="118" t="str">
        <f>IFERROR(INDEX('Docketed Comments'!L:L,MATCH(A726,'Docketed Comments'!H:H,0)),"")</f>
        <v>Y</v>
      </c>
      <c r="P726" s="119">
        <f t="shared" si="22"/>
        <v>0</v>
      </c>
      <c r="Q726" s="60"/>
      <c r="R726" s="64" t="s">
        <v>75</v>
      </c>
      <c r="S726" s="64" t="s">
        <v>1576</v>
      </c>
    </row>
    <row r="727" spans="1:19" ht="21.95" customHeight="1">
      <c r="A727" s="66" t="s">
        <v>1577</v>
      </c>
      <c r="B727" s="64"/>
      <c r="C727" s="65"/>
      <c r="D727" s="64"/>
      <c r="E727" s="64"/>
      <c r="F727" s="60"/>
      <c r="G727" s="60" t="s">
        <v>88</v>
      </c>
      <c r="H727" s="60" t="str">
        <f>IFERROR(INDEX('Docketed Comments'!C:C,MATCH(A727,'Docketed Comments'!H:H,0))&amp;", "&amp;INDEX('Docketed Comments'!B:B,MATCH(A727,'Docketed Comments'!H:H,0)),"")</f>
        <v>Katherine, Barbarite</v>
      </c>
      <c r="I727" s="60" t="str">
        <f>IFERROR(INDEX('Docketed Comments'!D:D,MATCH(A727,'Docketed Comments'!H:H,0)),"")</f>
        <v>Dewey</v>
      </c>
      <c r="J727" s="60" t="str">
        <f>IFERROR(INDEX('Docketed Comments'!I:I,MATCH(A727,'Docketed Comments'!H:H,0)),"")</f>
        <v>RCPw/RTOUE47</v>
      </c>
      <c r="K727" s="60" t="str">
        <f t="shared" si="23"/>
        <v>✅ On Best Plan</v>
      </c>
      <c r="L727" s="60" t="str">
        <f>IFERROR(INDEX('Docketed Comments'!F:F,MATCH(A727,'Docketed Comments'!H:H,0)),"")</f>
        <v>Absolutely Unjust</v>
      </c>
      <c r="M727" s="120" t="str">
        <f>IFERROR(INDEX('Docketed Comments'!G:G,MATCH(A727,'Docketed Comments'!H:H,0)),"")</f>
        <v>https://docket.images.azcc.gov/E000046578.pdf</v>
      </c>
      <c r="N727" s="118" t="str">
        <f>IFERROR(INDEX('Docketed Comments'!N:N,MATCH(A727,'Docketed Comments'!H:H,0)),"")</f>
        <v>No</v>
      </c>
      <c r="O727" s="118" t="str">
        <f>IFERROR(INDEX('Docketed Comments'!L:L,MATCH(A727,'Docketed Comments'!H:H,0)),"")</f>
        <v>Y</v>
      </c>
      <c r="P727" s="119">
        <f t="shared" si="22"/>
        <v>0</v>
      </c>
      <c r="Q727" s="60"/>
      <c r="R727" s="64" t="s">
        <v>75</v>
      </c>
      <c r="S727" s="64" t="s">
        <v>1578</v>
      </c>
    </row>
    <row r="728" spans="1:19" ht="21.95" customHeight="1">
      <c r="A728" s="66" t="s">
        <v>1579</v>
      </c>
      <c r="B728" s="64"/>
      <c r="C728" s="65"/>
      <c r="D728" s="64"/>
      <c r="E728" s="64"/>
      <c r="F728" s="60"/>
      <c r="G728" s="60" t="s">
        <v>88</v>
      </c>
      <c r="H728" s="60" t="str">
        <f>IFERROR(INDEX('Docketed Comments'!C:C,MATCH(A728,'Docketed Comments'!H:H,0))&amp;", "&amp;INDEX('Docketed Comments'!B:B,MATCH(A728,'Docketed Comments'!H:H,0)),"")</f>
        <v>Michelle, Haynes</v>
      </c>
      <c r="I728" s="60" t="str">
        <f>IFERROR(INDEX('Docketed Comments'!D:D,MATCH(A728,'Docketed Comments'!H:H,0)),"")</f>
        <v>Prescott</v>
      </c>
      <c r="J728" s="60" t="str">
        <f>IFERROR(INDEX('Docketed Comments'!I:I,MATCH(A728,'Docketed Comments'!H:H,0)),"")</f>
        <v>R-XS</v>
      </c>
      <c r="K728" s="60" t="str">
        <f t="shared" si="23"/>
        <v>✅ On Best Plan</v>
      </c>
      <c r="L728" s="60" t="str">
        <f>IFERROR(INDEX('Docketed Comments'!F:F,MATCH(A728,'Docketed Comments'!H:H,0)),"")</f>
        <v>Opposed-Unacceptable</v>
      </c>
      <c r="M728" s="120" t="str">
        <f>IFERROR(INDEX('Docketed Comments'!G:G,MATCH(A728,'Docketed Comments'!H:H,0)),"")</f>
        <v>https://docket.images.azcc.gov/E000046578.pdf</v>
      </c>
      <c r="N728" s="118" t="str">
        <f>IFERROR(INDEX('Docketed Comments'!N:N,MATCH(A728,'Docketed Comments'!H:H,0)),"")</f>
        <v>No</v>
      </c>
      <c r="O728" s="118" t="str">
        <f>IFERROR(INDEX('Docketed Comments'!L:L,MATCH(A728,'Docketed Comments'!H:H,0)),"")</f>
        <v>Yes</v>
      </c>
      <c r="P728" s="119">
        <f t="shared" si="22"/>
        <v>0</v>
      </c>
      <c r="Q728" s="60"/>
      <c r="R728" s="64" t="s">
        <v>75</v>
      </c>
      <c r="S728" s="64" t="s">
        <v>1580</v>
      </c>
    </row>
    <row r="729" spans="1:19" ht="21.95" customHeight="1">
      <c r="A729" s="66" t="s">
        <v>1581</v>
      </c>
      <c r="B729" s="64"/>
      <c r="C729" s="65"/>
      <c r="D729" s="64"/>
      <c r="E729" s="64"/>
      <c r="F729" s="60"/>
      <c r="G729" s="60" t="s">
        <v>88</v>
      </c>
      <c r="H729" s="60" t="str">
        <f>IFERROR(INDEX('Docketed Comments'!C:C,MATCH(A729,'Docketed Comments'!H:H,0))&amp;", "&amp;INDEX('Docketed Comments'!B:B,MATCH(A729,'Docketed Comments'!H:H,0)),"")</f>
        <v>Haley, Mccann</v>
      </c>
      <c r="I729" s="60" t="str">
        <f>IFERROR(INDEX('Docketed Comments'!D:D,MATCH(A729,'Docketed Comments'!H:H,0)),"")</f>
        <v>Surprise</v>
      </c>
      <c r="J729" s="60" t="str">
        <f>IFERROR(INDEX('Docketed Comments'!I:I,MATCH(A729,'Docketed Comments'!H:H,0)),"")</f>
        <v>R3-47</v>
      </c>
      <c r="K729" s="60" t="str">
        <f t="shared" si="23"/>
        <v>✅ On Best Plan</v>
      </c>
      <c r="L729" s="60" t="str">
        <f>IFERROR(INDEX('Docketed Comments'!F:F,MATCH(A729,'Docketed Comments'!H:H,0)),"")</f>
        <v xml:space="preserve">People can barely afford electricity as is now </v>
      </c>
      <c r="M729" s="120" t="str">
        <f>IFERROR(INDEX('Docketed Comments'!G:G,MATCH(A729,'Docketed Comments'!H:H,0)),"")</f>
        <v>https://docket.images.azcc.gov/E000046578.pdf</v>
      </c>
      <c r="N729" s="118" t="str">
        <f>IFERROR(INDEX('Docketed Comments'!N:N,MATCH(A729,'Docketed Comments'!H:H,0)),"")</f>
        <v>No</v>
      </c>
      <c r="O729" s="118" t="str">
        <f>IFERROR(INDEX('Docketed Comments'!L:L,MATCH(A729,'Docketed Comments'!H:H,0)),"")</f>
        <v>Yes</v>
      </c>
      <c r="P729" s="119">
        <f t="shared" si="22"/>
        <v>0</v>
      </c>
      <c r="Q729" s="60"/>
      <c r="R729" s="64" t="s">
        <v>75</v>
      </c>
      <c r="S729" s="64" t="s">
        <v>1582</v>
      </c>
    </row>
    <row r="730" spans="1:19" ht="21.95" customHeight="1">
      <c r="A730" s="66" t="s">
        <v>1583</v>
      </c>
      <c r="B730" s="64"/>
      <c r="C730" s="65"/>
      <c r="D730" s="64"/>
      <c r="E730" s="64"/>
      <c r="F730" s="60"/>
      <c r="G730" s="60" t="s">
        <v>88</v>
      </c>
      <c r="H730" s="60" t="str">
        <f>IFERROR(INDEX('Docketed Comments'!C:C,MATCH(A730,'Docketed Comments'!H:H,0))&amp;", "&amp;INDEX('Docketed Comments'!B:B,MATCH(A730,'Docketed Comments'!H:H,0)),"")</f>
        <v>Helen, Dueringer</v>
      </c>
      <c r="I730" s="60" t="str">
        <f>IFERROR(INDEX('Docketed Comments'!D:D,MATCH(A730,'Docketed Comments'!H:H,0)),"")</f>
        <v>Phoenix</v>
      </c>
      <c r="J730" s="60" t="str">
        <f>IFERROR(INDEX('Docketed Comments'!I:I,MATCH(A730,'Docketed Comments'!H:H,0)),"")</f>
        <v>R-BASIC</v>
      </c>
      <c r="K730" s="60" t="str">
        <f t="shared" si="23"/>
        <v>✅ On Best Plan</v>
      </c>
      <c r="L730" s="60" t="str">
        <f>IFERROR(INDEX('Docketed Comments'!F:F,MATCH(A730,'Docketed Comments'!H:H,0)),"")</f>
        <v>Rates should only be risen for Commercial properties</v>
      </c>
      <c r="M730" s="120" t="str">
        <f>IFERROR(INDEX('Docketed Comments'!G:G,MATCH(A730,'Docketed Comments'!H:H,0)),"")</f>
        <v>https://docket.images.azcc.gov/E000046579.pdf</v>
      </c>
      <c r="N730" s="118" t="str">
        <f>IFERROR(INDEX('Docketed Comments'!N:N,MATCH(A730,'Docketed Comments'!H:H,0)),"")</f>
        <v>No</v>
      </c>
      <c r="O730" s="118" t="str">
        <f>IFERROR(INDEX('Docketed Comments'!L:L,MATCH(A730,'Docketed Comments'!H:H,0)),"")</f>
        <v>Yes</v>
      </c>
      <c r="P730" s="119">
        <f t="shared" si="22"/>
        <v>0</v>
      </c>
      <c r="Q730" s="60"/>
      <c r="R730" s="64" t="s">
        <v>75</v>
      </c>
      <c r="S730" s="64" t="s">
        <v>1584</v>
      </c>
    </row>
    <row r="731" spans="1:19" ht="21.95" customHeight="1">
      <c r="A731" s="66" t="s">
        <v>1585</v>
      </c>
      <c r="B731" s="64"/>
      <c r="C731" s="65"/>
      <c r="D731" s="64"/>
      <c r="E731" s="64"/>
      <c r="F731" s="60"/>
      <c r="G731" s="60" t="s">
        <v>88</v>
      </c>
      <c r="H731" s="60" t="str">
        <f>IFERROR(INDEX('Docketed Comments'!C:C,MATCH(A731,'Docketed Comments'!H:H,0))&amp;", "&amp;INDEX('Docketed Comments'!B:B,MATCH(A731,'Docketed Comments'!H:H,0)),"")</f>
        <v>Karen, Mckinney</v>
      </c>
      <c r="I731" s="60" t="str">
        <f>IFERROR(INDEX('Docketed Comments'!D:D,MATCH(A731,'Docketed Comments'!H:H,0)),"")</f>
        <v>Buckeye</v>
      </c>
      <c r="J731" s="60" t="str">
        <f>IFERROR(INDEX('Docketed Comments'!I:I,MATCH(A731,'Docketed Comments'!H:H,0)),"")</f>
        <v>RCPw/RTOUE47</v>
      </c>
      <c r="K731" s="60" t="str">
        <f t="shared" si="23"/>
        <v>✅ On Best Plan</v>
      </c>
      <c r="L731" s="60" t="str">
        <f>IFERROR(INDEX('Docketed Comments'!F:F,MATCH(A731,'Docketed Comments'!H:H,0)),"")</f>
        <v>Strongly disagree</v>
      </c>
      <c r="M731" s="120" t="str">
        <f>IFERROR(INDEX('Docketed Comments'!G:G,MATCH(A731,'Docketed Comments'!H:H,0)),"")</f>
        <v>https://docket.images.azcc.gov/E000046586.pdf</v>
      </c>
      <c r="N731" s="118" t="str">
        <f>IFERROR(INDEX('Docketed Comments'!N:N,MATCH(A731,'Docketed Comments'!H:H,0)),"")</f>
        <v>No</v>
      </c>
      <c r="O731" s="118" t="str">
        <f>IFERROR(INDEX('Docketed Comments'!L:L,MATCH(A731,'Docketed Comments'!H:H,0)),"")</f>
        <v>Yes</v>
      </c>
      <c r="P731" s="119">
        <f t="shared" si="22"/>
        <v>0</v>
      </c>
      <c r="Q731" s="60"/>
      <c r="R731" s="64" t="s">
        <v>75</v>
      </c>
      <c r="S731" s="64" t="s">
        <v>1586</v>
      </c>
    </row>
    <row r="732" spans="1:19" ht="21.95" customHeight="1">
      <c r="A732" s="66" t="s">
        <v>1587</v>
      </c>
      <c r="B732" s="64"/>
      <c r="C732" s="65"/>
      <c r="D732" s="64"/>
      <c r="E732" s="64"/>
      <c r="F732" s="60"/>
      <c r="G732" s="60" t="s">
        <v>88</v>
      </c>
      <c r="H732" s="60" t="str">
        <f>IFERROR(INDEX('Docketed Comments'!C:C,MATCH(A732,'Docketed Comments'!H:H,0))&amp;", "&amp;INDEX('Docketed Comments'!B:B,MATCH(A732,'Docketed Comments'!H:H,0)),"")</f>
        <v>Valerie, Brown</v>
      </c>
      <c r="I732" s="60" t="str">
        <f>IFERROR(INDEX('Docketed Comments'!D:D,MATCH(A732,'Docketed Comments'!H:H,0)),"")</f>
        <v>Litchfield Park</v>
      </c>
      <c r="J732" s="60" t="str">
        <f>IFERROR(INDEX('Docketed Comments'!I:I,MATCH(A732,'Docketed Comments'!H:H,0)),"")</f>
        <v>R3-47</v>
      </c>
      <c r="K732" s="60" t="str">
        <f t="shared" si="23"/>
        <v>✅ On Best Plan</v>
      </c>
      <c r="L732" s="60" t="str">
        <f>IFERROR(INDEX('Docketed Comments'!F:F,MATCH(A732,'Docketed Comments'!H:H,0)),"")</f>
        <v>Opposed-already struggling with the last increase</v>
      </c>
      <c r="M732" s="120" t="str">
        <f>IFERROR(INDEX('Docketed Comments'!G:G,MATCH(A732,'Docketed Comments'!H:H,0)),"")</f>
        <v>https://docket.images.azcc.gov/E000046586.pdf</v>
      </c>
      <c r="N732" s="118" t="str">
        <f>IFERROR(INDEX('Docketed Comments'!N:N,MATCH(A732,'Docketed Comments'!H:H,0)),"")</f>
        <v>No</v>
      </c>
      <c r="O732" s="118" t="str">
        <f>IFERROR(INDEX('Docketed Comments'!L:L,MATCH(A732,'Docketed Comments'!H:H,0)),"")</f>
        <v>Yes</v>
      </c>
      <c r="P732" s="119">
        <f t="shared" si="22"/>
        <v>0</v>
      </c>
      <c r="Q732" s="60"/>
      <c r="R732" s="64" t="s">
        <v>75</v>
      </c>
      <c r="S732" s="64" t="s">
        <v>1588</v>
      </c>
    </row>
    <row r="733" spans="1:19" ht="21.95" customHeight="1">
      <c r="A733" s="66" t="s">
        <v>1565</v>
      </c>
      <c r="B733" s="64"/>
      <c r="C733" s="65"/>
      <c r="D733" s="64"/>
      <c r="E733" s="64"/>
      <c r="F733" s="60"/>
      <c r="G733" s="60" t="s">
        <v>88</v>
      </c>
      <c r="H733" s="60" t="str">
        <f>IFERROR(INDEX('Docketed Comments'!C:C,MATCH(A733,'Docketed Comments'!H:H,0))&amp;", "&amp;INDEX('Docketed Comments'!B:B,MATCH(A733,'Docketed Comments'!H:H,0)),"")</f>
        <v>Janelle, Bottlinger</v>
      </c>
      <c r="I733" s="60" t="str">
        <f>IFERROR(INDEX('Docketed Comments'!D:D,MATCH(A733,'Docketed Comments'!H:H,0)),"")</f>
        <v>Phoenix</v>
      </c>
      <c r="J733" s="60" t="str">
        <f>IFERROR(INDEX('Docketed Comments'!I:I,MATCH(A733,'Docketed Comments'!H:H,0)),"")</f>
        <v>R3-47</v>
      </c>
      <c r="K733" s="60" t="str">
        <f t="shared" si="23"/>
        <v>✅ On Best Plan</v>
      </c>
      <c r="L733" s="60" t="str">
        <f>IFERROR(INDEX('Docketed Comments'!F:F,MATCH(A733,'Docketed Comments'!H:H,0)),"")</f>
        <v>Rates are extremely expensive</v>
      </c>
      <c r="M733" s="120" t="str">
        <f>IFERROR(INDEX('Docketed Comments'!G:G,MATCH(A733,'Docketed Comments'!H:H,0)),"")</f>
        <v>https://docket.images.azcc.gov/E000046554.pdf</v>
      </c>
      <c r="N733" s="118" t="str">
        <f>IFERROR(INDEX('Docketed Comments'!N:N,MATCH(A733,'Docketed Comments'!H:H,0)),"")</f>
        <v>No</v>
      </c>
      <c r="O733" s="118" t="str">
        <f>IFERROR(INDEX('Docketed Comments'!L:L,MATCH(A733,'Docketed Comments'!H:H,0)),"")</f>
        <v>Y</v>
      </c>
      <c r="P733" s="119">
        <f t="shared" si="22"/>
        <v>0</v>
      </c>
      <c r="Q733" s="60"/>
      <c r="R733" s="64" t="s">
        <v>75</v>
      </c>
      <c r="S733" s="64" t="s">
        <v>1589</v>
      </c>
    </row>
    <row r="734" spans="1:19" ht="21.95" hidden="1" customHeight="1">
      <c r="A734" s="66" t="s">
        <v>1590</v>
      </c>
      <c r="B734" s="64" t="s">
        <v>31</v>
      </c>
      <c r="C734" s="65">
        <v>46074</v>
      </c>
      <c r="D734" s="64" t="s">
        <v>21</v>
      </c>
      <c r="E734" s="64" t="s">
        <v>22</v>
      </c>
      <c r="F734" s="60" t="s">
        <v>41</v>
      </c>
      <c r="G734" s="60"/>
      <c r="H734" s="60" t="str">
        <f>IFERROR(INDEX('Docketed Comments'!C:C,MATCH(A734,'Docketed Comments'!H:H,0))&amp;", "&amp;INDEX('Docketed Comments'!B:B,MATCH(A734,'Docketed Comments'!H:H,0)),"")</f>
        <v>John, Fenton</v>
      </c>
      <c r="I734" s="60" t="str">
        <f>IFERROR(INDEX('Docketed Comments'!D:D,MATCH(A734,'Docketed Comments'!H:H,0)),"")</f>
        <v>Payson</v>
      </c>
      <c r="J734" s="60" t="str">
        <f>IFERROR(INDEX('Docketed Comments'!I:I,MATCH(A734,'Docketed Comments'!H:H,0)),"")</f>
        <v>R-XS</v>
      </c>
      <c r="K734" s="60" t="str">
        <f t="shared" si="23"/>
        <v>✅ On Best Plan</v>
      </c>
      <c r="L734" s="60" t="str">
        <f>IFERROR(INDEX('Docketed Comments'!F:F,MATCH(A734,'Docketed Comments'!H:H,0)),"")</f>
        <v>Fixed Income, cannot afford an increase</v>
      </c>
      <c r="M734" s="120" t="str">
        <f>IFERROR(INDEX('Docketed Comments'!G:G,MATCH(A734,'Docketed Comments'!H:H,0)),"")</f>
        <v>https://docket.images.azcc.gov/E000046638.pdf</v>
      </c>
      <c r="N734" s="118" t="str">
        <f>IFERROR(INDEX('Docketed Comments'!N:N,MATCH(A734,'Docketed Comments'!H:H,0)),"")</f>
        <v>No</v>
      </c>
      <c r="O734" s="118" t="str">
        <f>IFERROR(INDEX('Docketed Comments'!L:L,MATCH(A734,'Docketed Comments'!H:H,0)),"")</f>
        <v>Yes</v>
      </c>
      <c r="P734" s="119">
        <f t="shared" si="22"/>
        <v>0</v>
      </c>
      <c r="Q734" s="60" t="s">
        <v>23</v>
      </c>
      <c r="R734" s="64" t="s">
        <v>24</v>
      </c>
      <c r="S734" s="64" t="s">
        <v>1591</v>
      </c>
    </row>
    <row r="735" spans="1:19" ht="21.95" customHeight="1">
      <c r="A735" s="66" t="s">
        <v>1592</v>
      </c>
      <c r="B735" s="64"/>
      <c r="C735" s="65"/>
      <c r="D735" s="64"/>
      <c r="E735" s="64"/>
      <c r="F735" s="60"/>
      <c r="G735" s="60" t="s">
        <v>88</v>
      </c>
      <c r="H735" s="60" t="str">
        <f>IFERROR(INDEX('Docketed Comments'!C:C,MATCH(A735,'Docketed Comments'!H:H,0))&amp;", "&amp;INDEX('Docketed Comments'!B:B,MATCH(A735,'Docketed Comments'!H:H,0)),"")</f>
        <v>Steven, Apostolides</v>
      </c>
      <c r="I735" s="60" t="str">
        <f>IFERROR(INDEX('Docketed Comments'!D:D,MATCH(A735,'Docketed Comments'!H:H,0)),"")</f>
        <v>Phoenix</v>
      </c>
      <c r="J735" s="60" t="str">
        <f>IFERROR(INDEX('Docketed Comments'!I:I,MATCH(A735,'Docketed Comments'!H:H,0)),"")</f>
        <v>Multiple SAs</v>
      </c>
      <c r="K735" s="60" t="str">
        <f t="shared" si="23"/>
        <v>✅ On Best Plan</v>
      </c>
      <c r="L735" s="60" t="str">
        <f>IFERROR(INDEX('Docketed Comments'!F:F,MATCH(A735,'Docketed Comments'!H:H,0)),"")</f>
        <v>Opposed and upset over fuel pricing</v>
      </c>
      <c r="M735" s="120" t="str">
        <f>IFERROR(INDEX('Docketed Comments'!G:G,MATCH(A735,'Docketed Comments'!H:H,0)),"")</f>
        <v>https://docket.images.azcc.gov/E000046638.pdf</v>
      </c>
      <c r="N735" s="118" t="str">
        <f>IFERROR(INDEX('Docketed Comments'!N:N,MATCH(A735,'Docketed Comments'!H:H,0)),"")</f>
        <v>No</v>
      </c>
      <c r="O735" s="118" t="str">
        <f>IFERROR(INDEX('Docketed Comments'!L:L,MATCH(A735,'Docketed Comments'!H:H,0)),"")</f>
        <v>Yes</v>
      </c>
      <c r="P735" s="119">
        <f t="shared" si="22"/>
        <v>0</v>
      </c>
      <c r="Q735" s="60"/>
      <c r="R735" s="64" t="s">
        <v>75</v>
      </c>
      <c r="S735" s="64" t="s">
        <v>1593</v>
      </c>
    </row>
    <row r="736" spans="1:19" ht="21.95" customHeight="1">
      <c r="A736" s="66" t="s">
        <v>1594</v>
      </c>
      <c r="B736" s="64"/>
      <c r="C736" s="65"/>
      <c r="D736" s="64"/>
      <c r="E736" s="64"/>
      <c r="F736" s="60"/>
      <c r="G736" s="60" t="s">
        <v>88</v>
      </c>
      <c r="H736" s="60" t="str">
        <f>IFERROR(INDEX('Docketed Comments'!C:C,MATCH(A736,'Docketed Comments'!H:H,0))&amp;", "&amp;INDEX('Docketed Comments'!B:B,MATCH(A736,'Docketed Comments'!H:H,0)),"")</f>
        <v>Brandon, Wheeler</v>
      </c>
      <c r="I736" s="60" t="str">
        <f>IFERROR(INDEX('Docketed Comments'!D:D,MATCH(A736,'Docketed Comments'!H:H,0)),"")</f>
        <v>Chino Valley</v>
      </c>
      <c r="J736" s="60" t="str">
        <f>IFERROR(INDEX('Docketed Comments'!I:I,MATCH(A736,'Docketed Comments'!H:H,0)),"")</f>
        <v>R-BASIC</v>
      </c>
      <c r="K736" s="60" t="str">
        <f t="shared" si="23"/>
        <v>✅ On Best Plan</v>
      </c>
      <c r="L736" s="60" t="str">
        <f>IFERROR(INDEX('Docketed Comments'!F:F,MATCH(A736,'Docketed Comments'!H:H,0)),"")</f>
        <v>Opposed-CEO needs a pay cut</v>
      </c>
      <c r="M736" s="120" t="str">
        <f>IFERROR(INDEX('Docketed Comments'!G:G,MATCH(A736,'Docketed Comments'!H:H,0)),"")</f>
        <v>https://docket.images.azcc.gov/E000046665.pdf</v>
      </c>
      <c r="N736" s="118" t="str">
        <f>IFERROR(INDEX('Docketed Comments'!N:N,MATCH(A736,'Docketed Comments'!H:H,0)),"")</f>
        <v>No</v>
      </c>
      <c r="O736" s="118" t="str">
        <f>IFERROR(INDEX('Docketed Comments'!L:L,MATCH(A736,'Docketed Comments'!H:H,0)),"")</f>
        <v>Yes</v>
      </c>
      <c r="P736" s="119">
        <f t="shared" si="22"/>
        <v>0</v>
      </c>
      <c r="Q736" s="60"/>
      <c r="R736" s="64" t="s">
        <v>75</v>
      </c>
      <c r="S736" s="64" t="s">
        <v>1595</v>
      </c>
    </row>
    <row r="737" spans="1:19" ht="21.95" hidden="1" customHeight="1">
      <c r="A737" s="66" t="s">
        <v>1596</v>
      </c>
      <c r="B737" s="64" t="s">
        <v>31</v>
      </c>
      <c r="C737" s="65">
        <v>46074</v>
      </c>
      <c r="D737" s="64" t="s">
        <v>21</v>
      </c>
      <c r="E737" s="64" t="s">
        <v>22</v>
      </c>
      <c r="F737" s="60" t="s">
        <v>41</v>
      </c>
      <c r="G737" s="60"/>
      <c r="H737" s="60" t="str">
        <f>IFERROR(INDEX('Docketed Comments'!C:C,MATCH(A737,'Docketed Comments'!H:H,0))&amp;", "&amp;INDEX('Docketed Comments'!B:B,MATCH(A737,'Docketed Comments'!H:H,0)),"")</f>
        <v>Gregory, Gonzales</v>
      </c>
      <c r="I737" s="60" t="str">
        <f>IFERROR(INDEX('Docketed Comments'!D:D,MATCH(A737,'Docketed Comments'!H:H,0)),"")</f>
        <v>Litchfield Park</v>
      </c>
      <c r="J737" s="60" t="str">
        <f>IFERROR(INDEX('Docketed Comments'!I:I,MATCH(A737,'Docketed Comments'!H:H,0)),"")</f>
        <v>R3-47</v>
      </c>
      <c r="K737" s="60" t="str">
        <f t="shared" si="23"/>
        <v>✅ On Best Plan</v>
      </c>
      <c r="L737" s="60" t="str">
        <f>IFERROR(INDEX('Docketed Comments'!F:F,MATCH(A737,'Docketed Comments'!H:H,0)),"")</f>
        <v>Opposed-I don’t want to use aps but have no choice</v>
      </c>
      <c r="M737" s="120" t="str">
        <f>IFERROR(INDEX('Docketed Comments'!G:G,MATCH(A737,'Docketed Comments'!H:H,0)),"")</f>
        <v>https://docket.images.azcc.gov/E000046665.pdf</v>
      </c>
      <c r="N737" s="118" t="str">
        <f>IFERROR(INDEX('Docketed Comments'!N:N,MATCH(A737,'Docketed Comments'!H:H,0)),"")</f>
        <v>No</v>
      </c>
      <c r="O737" s="118" t="str">
        <f>IFERROR(INDEX('Docketed Comments'!L:L,MATCH(A737,'Docketed Comments'!H:H,0)),"")</f>
        <v>Yes</v>
      </c>
      <c r="P737" s="119">
        <f t="shared" si="22"/>
        <v>0</v>
      </c>
      <c r="Q737" s="60" t="s">
        <v>23</v>
      </c>
      <c r="R737" s="64" t="s">
        <v>24</v>
      </c>
      <c r="S737" s="64" t="s">
        <v>1597</v>
      </c>
    </row>
    <row r="738" spans="1:19" ht="21.95" customHeight="1">
      <c r="A738" s="66" t="s">
        <v>1598</v>
      </c>
      <c r="B738" s="64"/>
      <c r="C738" s="65"/>
      <c r="D738" s="64"/>
      <c r="E738" s="64"/>
      <c r="F738" s="60"/>
      <c r="G738" s="60" t="s">
        <v>88</v>
      </c>
      <c r="H738" s="60" t="str">
        <f>IFERROR(INDEX('Docketed Comments'!C:C,MATCH(A738,'Docketed Comments'!H:H,0))&amp;", "&amp;INDEX('Docketed Comments'!B:B,MATCH(A738,'Docketed Comments'!H:H,0)),"")</f>
        <v>Nikki, Hage</v>
      </c>
      <c r="I738" s="60" t="str">
        <f>IFERROR(INDEX('Docketed Comments'!D:D,MATCH(A738,'Docketed Comments'!H:H,0)),"")</f>
        <v>Yuma</v>
      </c>
      <c r="J738" s="60" t="str">
        <f>IFERROR(INDEX('Docketed Comments'!I:I,MATCH(A738,'Docketed Comments'!H:H,0)),"")</f>
        <v>R3-47</v>
      </c>
      <c r="K738" s="60" t="str">
        <f t="shared" si="23"/>
        <v>✅ On Best Plan</v>
      </c>
      <c r="L738" s="60" t="str">
        <f>IFERROR(INDEX('Docketed Comments'!F:F,MATCH(A738,'Docketed Comments'!H:H,0)),"")</f>
        <v>What cost cutting measures has aps taken internally?</v>
      </c>
      <c r="M738" s="120" t="str">
        <f>IFERROR(INDEX('Docketed Comments'!G:G,MATCH(A738,'Docketed Comments'!H:H,0)),"")</f>
        <v>https://docket.images.azcc.gov/E000046726.pdf</v>
      </c>
      <c r="N738" s="118" t="str">
        <f>IFERROR(INDEX('Docketed Comments'!N:N,MATCH(A738,'Docketed Comments'!H:H,0)),"")</f>
        <v>No</v>
      </c>
      <c r="O738" s="118" t="str">
        <f>IFERROR(INDEX('Docketed Comments'!L:L,MATCH(A738,'Docketed Comments'!H:H,0)),"")</f>
        <v>Yes</v>
      </c>
      <c r="P738" s="119">
        <f t="shared" si="22"/>
        <v>0</v>
      </c>
      <c r="Q738" s="60"/>
      <c r="R738" s="64" t="s">
        <v>75</v>
      </c>
      <c r="S738" s="64" t="s">
        <v>1599</v>
      </c>
    </row>
    <row r="739" spans="1:19" ht="21.95" hidden="1" customHeight="1">
      <c r="A739" s="66" t="s">
        <v>1600</v>
      </c>
      <c r="B739" s="64" t="s">
        <v>31</v>
      </c>
      <c r="C739" s="65">
        <v>46074</v>
      </c>
      <c r="D739" s="64" t="s">
        <v>21</v>
      </c>
      <c r="E739" s="64" t="s">
        <v>22</v>
      </c>
      <c r="F739" s="60" t="s">
        <v>41</v>
      </c>
      <c r="G739" s="60"/>
      <c r="H739" s="60" t="str">
        <f>IFERROR(INDEX('Docketed Comments'!C:C,MATCH(A739,'Docketed Comments'!H:H,0))&amp;", "&amp;INDEX('Docketed Comments'!B:B,MATCH(A739,'Docketed Comments'!H:H,0)),"")</f>
        <v>Peter, Trethewey</v>
      </c>
      <c r="I739" s="60" t="str">
        <f>IFERROR(INDEX('Docketed Comments'!D:D,MATCH(A739,'Docketed Comments'!H:H,0)),"")</f>
        <v>Scottsdale</v>
      </c>
      <c r="J739" s="60" t="str">
        <f>IFERROR(INDEX('Docketed Comments'!I:I,MATCH(A739,'Docketed Comments'!H:H,0)),"")</f>
        <v>R3-47</v>
      </c>
      <c r="K739" s="60" t="str">
        <f t="shared" si="23"/>
        <v>✅ On Best Plan</v>
      </c>
      <c r="L739" s="60" t="str">
        <f>IFERROR(INDEX('Docketed Comments'!F:F,MATCH(A739,'Docketed Comments'!H:H,0)),"")</f>
        <v>Rate increase outpasses the rate of inflation</v>
      </c>
      <c r="M739" s="120" t="str">
        <f>IFERROR(INDEX('Docketed Comments'!G:G,MATCH(A739,'Docketed Comments'!H:H,0)),"")</f>
        <v>https://docket.images.azcc.gov/E000046710.pdf</v>
      </c>
      <c r="N739" s="118" t="str">
        <f>IFERROR(INDEX('Docketed Comments'!N:N,MATCH(A739,'Docketed Comments'!H:H,0)),"")</f>
        <v>No</v>
      </c>
      <c r="O739" s="118" t="str">
        <f>IFERROR(INDEX('Docketed Comments'!L:L,MATCH(A739,'Docketed Comments'!H:H,0)),"")</f>
        <v>Yes</v>
      </c>
      <c r="P739" s="119">
        <f t="shared" si="22"/>
        <v>0</v>
      </c>
      <c r="Q739" s="60" t="s">
        <v>23</v>
      </c>
      <c r="R739" s="64" t="s">
        <v>24</v>
      </c>
      <c r="S739" s="64" t="s">
        <v>1601</v>
      </c>
    </row>
    <row r="740" spans="1:19" ht="21.95" customHeight="1">
      <c r="A740" s="66" t="s">
        <v>1602</v>
      </c>
      <c r="B740" s="64"/>
      <c r="C740" s="65"/>
      <c r="D740" s="64"/>
      <c r="E740" s="64"/>
      <c r="F740" s="60"/>
      <c r="G740" s="60" t="s">
        <v>88</v>
      </c>
      <c r="H740" s="60" t="str">
        <f>IFERROR(INDEX('Docketed Comments'!C:C,MATCH(A740,'Docketed Comments'!H:H,0))&amp;", "&amp;INDEX('Docketed Comments'!B:B,MATCH(A740,'Docketed Comments'!H:H,0)),"")</f>
        <v>Jessica, Barnes</v>
      </c>
      <c r="I740" s="60" t="str">
        <f>IFERROR(INDEX('Docketed Comments'!D:D,MATCH(A740,'Docketed Comments'!H:H,0)),"")</f>
        <v>Sun City</v>
      </c>
      <c r="J740" s="60" t="str">
        <f>IFERROR(INDEX('Docketed Comments'!I:I,MATCH(A740,'Docketed Comments'!H:H,0)),"")</f>
        <v>RCPw/R3-47</v>
      </c>
      <c r="K740" s="60" t="str">
        <f t="shared" si="23"/>
        <v>✅ On Best Plan</v>
      </c>
      <c r="L740" s="60" t="str">
        <f>IFERROR(INDEX('Docketed Comments'!F:F,MATCH(A740,'Docketed Comments'!H:H,0)),"")</f>
        <v>Opposed-highway robbery</v>
      </c>
      <c r="M740" s="120" t="str">
        <f>IFERROR(INDEX('Docketed Comments'!G:G,MATCH(A740,'Docketed Comments'!H:H,0)),"")</f>
        <v>https://docket.images.azcc.gov/E000046710.pdf</v>
      </c>
      <c r="N740" s="118" t="str">
        <f>IFERROR(INDEX('Docketed Comments'!N:N,MATCH(A740,'Docketed Comments'!H:H,0)),"")</f>
        <v>No</v>
      </c>
      <c r="O740" s="118" t="str">
        <f>IFERROR(INDEX('Docketed Comments'!L:L,MATCH(A740,'Docketed Comments'!H:H,0)),"")</f>
        <v>Yes</v>
      </c>
      <c r="P740" s="119">
        <f t="shared" si="22"/>
        <v>0</v>
      </c>
      <c r="Q740" s="60"/>
      <c r="R740" s="64" t="s">
        <v>75</v>
      </c>
      <c r="S740" s="64" t="s">
        <v>1603</v>
      </c>
    </row>
    <row r="741" spans="1:19" ht="21.95" customHeight="1">
      <c r="A741" s="66" t="s">
        <v>1604</v>
      </c>
      <c r="B741" s="64"/>
      <c r="C741" s="65"/>
      <c r="D741" s="64"/>
      <c r="E741" s="64"/>
      <c r="F741" s="60"/>
      <c r="G741" s="60" t="s">
        <v>88</v>
      </c>
      <c r="H741" s="60" t="str">
        <f>IFERROR(INDEX('Docketed Comments'!C:C,MATCH(A741,'Docketed Comments'!H:H,0))&amp;", "&amp;INDEX('Docketed Comments'!B:B,MATCH(A741,'Docketed Comments'!H:H,0)),"")</f>
        <v>Alaxandra, Kozerski</v>
      </c>
      <c r="I741" s="60" t="str">
        <f>IFERROR(INDEX('Docketed Comments'!D:D,MATCH(A741,'Docketed Comments'!H:H,0)),"")</f>
        <v>Gilbert</v>
      </c>
      <c r="J741" s="60" t="str">
        <f>IFERROR(INDEX('Docketed Comments'!I:I,MATCH(A741,'Docketed Comments'!H:H,0)),"")</f>
        <v>EPR-6w/E-12</v>
      </c>
      <c r="K741" s="60" t="str">
        <f t="shared" si="23"/>
        <v>⚠ Frozen Rate</v>
      </c>
      <c r="L741" s="60" t="str">
        <f>IFERROR(INDEX('Docketed Comments'!F:F,MATCH(A741,'Docketed Comments'!H:H,0)),"")</f>
        <v>Form letter</v>
      </c>
      <c r="M741" s="120" t="str">
        <f>IFERROR(INDEX('Docketed Comments'!G:G,MATCH(A741,'Docketed Comments'!H:H,0)),"")</f>
        <v>https://edocket.azcc.gov/search/document-search/item-detail/448293</v>
      </c>
      <c r="N741" s="118" t="str">
        <f>IFERROR(INDEX('Docketed Comments'!N:N,MATCH(A741,'Docketed Comments'!H:H,0)),"")</f>
        <v>No</v>
      </c>
      <c r="O741" s="118" t="str">
        <f>IFERROR(INDEX('Docketed Comments'!L:L,MATCH(A741,'Docketed Comments'!H:H,0)),"")</f>
        <v>Frozen Rate</v>
      </c>
      <c r="P741" s="119">
        <f t="shared" si="22"/>
        <v>0</v>
      </c>
      <c r="Q741" s="60"/>
      <c r="R741" s="64" t="s">
        <v>75</v>
      </c>
      <c r="S741" s="64" t="s">
        <v>1605</v>
      </c>
    </row>
    <row r="742" spans="1:19" ht="21.95" hidden="1" customHeight="1">
      <c r="A742" s="66" t="s">
        <v>1606</v>
      </c>
      <c r="B742" s="64" t="s">
        <v>20</v>
      </c>
      <c r="C742" s="65">
        <v>46074</v>
      </c>
      <c r="D742" s="64" t="s">
        <v>21</v>
      </c>
      <c r="E742" s="64" t="s">
        <v>22</v>
      </c>
      <c r="F742" s="60"/>
      <c r="G742" s="60"/>
      <c r="H742" s="60" t="str">
        <f>IFERROR(INDEX('Docketed Comments'!C:C,MATCH(A742,'Docketed Comments'!H:H,0))&amp;", "&amp;INDEX('Docketed Comments'!B:B,MATCH(A742,'Docketed Comments'!H:H,0)),"")</f>
        <v>Terri, Amoroso</v>
      </c>
      <c r="I742" s="60" t="str">
        <f>IFERROR(INDEX('Docketed Comments'!D:D,MATCH(A742,'Docketed Comments'!H:H,0)),"")</f>
        <v>Phoenix</v>
      </c>
      <c r="J742" s="60" t="str">
        <f>IFERROR(INDEX('Docketed Comments'!I:I,MATCH(A742,'Docketed Comments'!H:H,0)),"")</f>
        <v>R-XS</v>
      </c>
      <c r="K742" s="60" t="str">
        <f t="shared" si="23"/>
        <v>✅ On Best Plan</v>
      </c>
      <c r="L742" s="60" t="str">
        <f>IFERROR(INDEX('Docketed Comments'!F:F,MATCH(A742,'Docketed Comments'!H:H,0)),"")</f>
        <v>Form letter</v>
      </c>
      <c r="M742" s="120" t="str">
        <f>IFERROR(INDEX('Docketed Comments'!G:G,MATCH(A742,'Docketed Comments'!H:H,0)),"")</f>
        <v>https://images.edocket.azcc.gov/docketpdf/E000046190.pdf</v>
      </c>
      <c r="N742" s="118" t="str">
        <f>IFERROR(INDEX('Docketed Comments'!N:N,MATCH(A742,'Docketed Comments'!H:H,0)),"")</f>
        <v>No</v>
      </c>
      <c r="O742" s="118" t="str">
        <f>IFERROR(INDEX('Docketed Comments'!L:L,MATCH(A742,'Docketed Comments'!H:H,0)),"")</f>
        <v>Yes</v>
      </c>
      <c r="P742" s="119">
        <f t="shared" si="22"/>
        <v>0</v>
      </c>
      <c r="Q742" s="60" t="s">
        <v>23</v>
      </c>
      <c r="R742" s="64" t="s">
        <v>24</v>
      </c>
      <c r="S742" s="64" t="s">
        <v>1607</v>
      </c>
    </row>
    <row r="743" spans="1:19" ht="21.95" hidden="1" customHeight="1">
      <c r="A743" s="66" t="s">
        <v>1608</v>
      </c>
      <c r="B743" s="64" t="s">
        <v>31</v>
      </c>
      <c r="C743" s="65">
        <v>46074</v>
      </c>
      <c r="D743" s="64" t="s">
        <v>27</v>
      </c>
      <c r="E743" s="64" t="s">
        <v>22</v>
      </c>
      <c r="F743" s="60" t="s">
        <v>54</v>
      </c>
      <c r="G743" s="60"/>
      <c r="H743" s="60" t="str">
        <f>IFERROR(INDEX('Docketed Comments'!C:C,MATCH(A743,'Docketed Comments'!H:H,0))&amp;", "&amp;INDEX('Docketed Comments'!B:B,MATCH(A743,'Docketed Comments'!H:H,0)),"")</f>
        <v>Bruce, Hellring</v>
      </c>
      <c r="I743" s="60" t="str">
        <f>IFERROR(INDEX('Docketed Comments'!D:D,MATCH(A743,'Docketed Comments'!H:H,0)),"")</f>
        <v>Cave Creek</v>
      </c>
      <c r="J743" s="60" t="str">
        <f>IFERROR(INDEX('Docketed Comments'!I:I,MATCH(A743,'Docketed Comments'!H:H,0)),"")</f>
        <v>R3-47</v>
      </c>
      <c r="K743" s="60" t="str">
        <f t="shared" si="23"/>
        <v>✅ On Best Plan</v>
      </c>
      <c r="L743" s="60" t="str">
        <f>IFERROR(INDEX('Docketed Comments'!F:F,MATCH(A743,'Docketed Comments'!H:H,0)),"")</f>
        <v>Opposed-no salary has seen an equivalent increase</v>
      </c>
      <c r="M743" s="120" t="str">
        <f>IFERROR(INDEX('Docketed Comments'!G:G,MATCH(A743,'Docketed Comments'!H:H,0)),"")</f>
        <v>https://docket.images.azcc.gov/E000046843.pdf</v>
      </c>
      <c r="N743" s="118" t="str">
        <f>IFERROR(INDEX('Docketed Comments'!N:N,MATCH(A743,'Docketed Comments'!H:H,0)),"")</f>
        <v>No</v>
      </c>
      <c r="O743" s="118" t="str">
        <f>IFERROR(INDEX('Docketed Comments'!L:L,MATCH(A743,'Docketed Comments'!H:H,0)),"")</f>
        <v>Yes</v>
      </c>
      <c r="P743" s="119">
        <f t="shared" si="22"/>
        <v>0</v>
      </c>
      <c r="Q743" s="60" t="s">
        <v>23</v>
      </c>
      <c r="R743" s="64" t="s">
        <v>24</v>
      </c>
      <c r="S743" s="64" t="s">
        <v>1609</v>
      </c>
    </row>
    <row r="744" spans="1:19" ht="21.95" customHeight="1">
      <c r="A744" s="66" t="s">
        <v>1610</v>
      </c>
      <c r="B744" s="64"/>
      <c r="C744" s="65"/>
      <c r="D744" s="64"/>
      <c r="E744" s="64"/>
      <c r="F744" s="60"/>
      <c r="G744" s="60" t="s">
        <v>88</v>
      </c>
      <c r="H744" s="60" t="str">
        <f>IFERROR(INDEX('Docketed Comments'!C:C,MATCH(A744,'Docketed Comments'!H:H,0))&amp;", "&amp;INDEX('Docketed Comments'!B:B,MATCH(A744,'Docketed Comments'!H:H,0)),"")</f>
        <v>Jennifer, Moffat</v>
      </c>
      <c r="I744" s="60" t="str">
        <f>IFERROR(INDEX('Docketed Comments'!D:D,MATCH(A744,'Docketed Comments'!H:H,0)),"")</f>
        <v>Phoenix</v>
      </c>
      <c r="J744" s="60" t="str">
        <f>IFERROR(INDEX('Docketed Comments'!I:I,MATCH(A744,'Docketed Comments'!H:H,0)),"")</f>
        <v>R3-47</v>
      </c>
      <c r="K744" s="60" t="str">
        <f t="shared" si="23"/>
        <v>✅ On Best Plan</v>
      </c>
      <c r="L744" s="60" t="str">
        <f>IFERROR(INDEX('Docketed Comments'!F:F,MATCH(A744,'Docketed Comments'!H:H,0)),"")</f>
        <v xml:space="preserve">Opposed-I find it appalling </v>
      </c>
      <c r="M744" s="120" t="str">
        <f>IFERROR(INDEX('Docketed Comments'!G:G,MATCH(A744,'Docketed Comments'!H:H,0)),"")</f>
        <v>https://docket.images.azcc.gov/E000046876.pdf</v>
      </c>
      <c r="N744" s="118" t="str">
        <f>IFERROR(INDEX('Docketed Comments'!N:N,MATCH(A744,'Docketed Comments'!H:H,0)),"")</f>
        <v>No</v>
      </c>
      <c r="O744" s="118" t="str">
        <f>IFERROR(INDEX('Docketed Comments'!L:L,MATCH(A744,'Docketed Comments'!H:H,0)),"")</f>
        <v>Yes</v>
      </c>
      <c r="P744" s="119">
        <f t="shared" si="22"/>
        <v>0</v>
      </c>
      <c r="Q744" s="60"/>
      <c r="R744" s="64" t="s">
        <v>75</v>
      </c>
      <c r="S744" s="64" t="s">
        <v>1611</v>
      </c>
    </row>
    <row r="745" spans="1:19" ht="21.95" customHeight="1">
      <c r="A745" s="66" t="s">
        <v>1612</v>
      </c>
      <c r="B745" s="64"/>
      <c r="C745" s="65"/>
      <c r="D745" s="64"/>
      <c r="E745" s="64"/>
      <c r="F745" s="60"/>
      <c r="G745" s="60" t="s">
        <v>88</v>
      </c>
      <c r="H745" s="60" t="str">
        <f>IFERROR(INDEX('Docketed Comments'!C:C,MATCH(A745,'Docketed Comments'!H:H,0))&amp;", "&amp;INDEX('Docketed Comments'!B:B,MATCH(A745,'Docketed Comments'!H:H,0)),"")</f>
        <v>Stephen, Faulkner</v>
      </c>
      <c r="I745" s="60" t="str">
        <f>IFERROR(INDEX('Docketed Comments'!D:D,MATCH(A745,'Docketed Comments'!H:H,0)),"")</f>
        <v>Cottonwood</v>
      </c>
      <c r="J745" s="60" t="str">
        <f>IFERROR(INDEX('Docketed Comments'!I:I,MATCH(A745,'Docketed Comments'!H:H,0)),"")</f>
        <v>EPR-6w/E-12</v>
      </c>
      <c r="K745" s="60" t="str">
        <f t="shared" si="23"/>
        <v>⚠ Frozen Rate</v>
      </c>
      <c r="L745" s="60" t="str">
        <f>IFERROR(INDEX('Docketed Comments'!F:F,MATCH(A745,'Docketed Comments'!H:H,0)),"")</f>
        <v>Totally inappropriate</v>
      </c>
      <c r="M745" s="120" t="str">
        <f>IFERROR(INDEX('Docketed Comments'!G:G,MATCH(A745,'Docketed Comments'!H:H,0)),"")</f>
        <v>https://docket.images.azcc.gov/E000046876.pdf</v>
      </c>
      <c r="N745" s="118" t="str">
        <f>IFERROR(INDEX('Docketed Comments'!N:N,MATCH(A745,'Docketed Comments'!H:H,0)),"")</f>
        <v>No</v>
      </c>
      <c r="O745" s="118" t="str">
        <f>IFERROR(INDEX('Docketed Comments'!L:L,MATCH(A745,'Docketed Comments'!H:H,0)),"")</f>
        <v>Frozen Rate</v>
      </c>
      <c r="P745" s="119">
        <f t="shared" si="22"/>
        <v>0</v>
      </c>
      <c r="Q745" s="60"/>
      <c r="R745" s="64" t="s">
        <v>75</v>
      </c>
      <c r="S745" s="64" t="s">
        <v>1613</v>
      </c>
    </row>
    <row r="746" spans="1:19" ht="21.95" hidden="1" customHeight="1">
      <c r="A746" s="66" t="s">
        <v>1614</v>
      </c>
      <c r="B746" s="64" t="s">
        <v>31</v>
      </c>
      <c r="C746" s="65">
        <v>46074</v>
      </c>
      <c r="D746" s="64" t="s">
        <v>21</v>
      </c>
      <c r="E746" s="64" t="s">
        <v>22</v>
      </c>
      <c r="F746" s="60" t="s">
        <v>41</v>
      </c>
      <c r="G746" s="60"/>
      <c r="H746" s="60" t="str">
        <f>IFERROR(INDEX('Docketed Comments'!C:C,MATCH(A746,'Docketed Comments'!H:H,0))&amp;", "&amp;INDEX('Docketed Comments'!B:B,MATCH(A746,'Docketed Comments'!H:H,0)),"")</f>
        <v>Donna, Whitmore</v>
      </c>
      <c r="I746" s="60" t="str">
        <f>IFERROR(INDEX('Docketed Comments'!D:D,MATCH(A746,'Docketed Comments'!H:H,0)),"")</f>
        <v>Clarkdale</v>
      </c>
      <c r="J746" s="60" t="str">
        <f>IFERROR(INDEX('Docketed Comments'!I:I,MATCH(A746,'Docketed Comments'!H:H,0)),"")</f>
        <v>R-XS</v>
      </c>
      <c r="K746" s="60" t="str">
        <f t="shared" si="23"/>
        <v>✅ On Best Plan</v>
      </c>
      <c r="L746" s="60" t="str">
        <f>IFERROR(INDEX('Docketed Comments'!F:F,MATCH(A746,'Docketed Comments'!H:H,0)),"")</f>
        <v>Opposed</v>
      </c>
      <c r="M746" s="120" t="str">
        <f>IFERROR(INDEX('Docketed Comments'!G:G,MATCH(A746,'Docketed Comments'!H:H,0)),"")</f>
        <v>https://docket.images.azcc.gov/E000046876.pdf</v>
      </c>
      <c r="N746" s="118" t="str">
        <f>IFERROR(INDEX('Docketed Comments'!N:N,MATCH(A746,'Docketed Comments'!H:H,0)),"")</f>
        <v>No</v>
      </c>
      <c r="O746" s="118" t="str">
        <f>IFERROR(INDEX('Docketed Comments'!L:L,MATCH(A746,'Docketed Comments'!H:H,0)),"")</f>
        <v>Yes</v>
      </c>
      <c r="P746" s="119">
        <f t="shared" si="22"/>
        <v>0</v>
      </c>
      <c r="Q746" s="60" t="s">
        <v>23</v>
      </c>
      <c r="R746" s="64" t="s">
        <v>24</v>
      </c>
      <c r="S746" s="64" t="s">
        <v>1615</v>
      </c>
    </row>
    <row r="747" spans="1:19" ht="21.95" customHeight="1">
      <c r="A747" s="66" t="s">
        <v>1616</v>
      </c>
      <c r="B747" s="64"/>
      <c r="C747" s="65"/>
      <c r="D747" s="64"/>
      <c r="E747" s="64"/>
      <c r="F747" s="60"/>
      <c r="G747" s="60" t="s">
        <v>88</v>
      </c>
      <c r="H747" s="60" t="str">
        <f>IFERROR(INDEX('Docketed Comments'!C:C,MATCH(A747,'Docketed Comments'!H:H,0))&amp;", "&amp;INDEX('Docketed Comments'!B:B,MATCH(A747,'Docketed Comments'!H:H,0)),"")</f>
        <v>David&amp;Tiffany, Pavlov</v>
      </c>
      <c r="I747" s="60" t="str">
        <f>IFERROR(INDEX('Docketed Comments'!D:D,MATCH(A747,'Docketed Comments'!H:H,0)),"")</f>
        <v>Goodyear</v>
      </c>
      <c r="J747" s="60" t="str">
        <f>IFERROR(INDEX('Docketed Comments'!I:I,MATCH(A747,'Docketed Comments'!H:H,0)),"")</f>
        <v>R-2</v>
      </c>
      <c r="K747" s="60" t="str">
        <f t="shared" si="23"/>
        <v>⚠ Frozen Rate</v>
      </c>
      <c r="L747" s="60" t="str">
        <f>IFERROR(INDEX('Docketed Comments'!F:F,MATCH(A747,'Docketed Comments'!H:H,0)),"")</f>
        <v>Opposed- unaffordable</v>
      </c>
      <c r="M747" s="120" t="str">
        <f>IFERROR(INDEX('Docketed Comments'!G:G,MATCH(A747,'Docketed Comments'!H:H,0)),"")</f>
        <v>https://docket.images.azcc.gov/E000046876.pdf</v>
      </c>
      <c r="N747" s="118" t="str">
        <f>IFERROR(INDEX('Docketed Comments'!N:N,MATCH(A747,'Docketed Comments'!H:H,0)),"")</f>
        <v>No</v>
      </c>
      <c r="O747" s="118" t="str">
        <f>IFERROR(INDEX('Docketed Comments'!L:L,MATCH(A747,'Docketed Comments'!H:H,0)),"")</f>
        <v>Frozen Rate</v>
      </c>
      <c r="P747" s="119">
        <f t="shared" si="22"/>
        <v>0</v>
      </c>
      <c r="Q747" s="60"/>
      <c r="R747" s="64" t="s">
        <v>75</v>
      </c>
      <c r="S747" s="64" t="s">
        <v>1617</v>
      </c>
    </row>
    <row r="748" spans="1:19" ht="21.95" hidden="1" customHeight="1">
      <c r="A748" s="66" t="s">
        <v>1618</v>
      </c>
      <c r="B748" s="64" t="s">
        <v>31</v>
      </c>
      <c r="C748" s="65">
        <v>46074</v>
      </c>
      <c r="D748" s="64" t="s">
        <v>21</v>
      </c>
      <c r="E748" s="64" t="s">
        <v>22</v>
      </c>
      <c r="F748" s="60" t="s">
        <v>41</v>
      </c>
      <c r="G748" s="60"/>
      <c r="H748" s="60" t="str">
        <f>IFERROR(INDEX('Docketed Comments'!C:C,MATCH(A748,'Docketed Comments'!H:H,0))&amp;", "&amp;INDEX('Docketed Comments'!B:B,MATCH(A748,'Docketed Comments'!H:H,0)),"")</f>
        <v>Eunice, Yoon</v>
      </c>
      <c r="I748" s="60" t="str">
        <f>IFERROR(INDEX('Docketed Comments'!D:D,MATCH(A748,'Docketed Comments'!H:H,0)),"")</f>
        <v>Scottsdale</v>
      </c>
      <c r="J748" s="60" t="str">
        <f>IFERROR(INDEX('Docketed Comments'!I:I,MATCH(A748,'Docketed Comments'!H:H,0)),"")</f>
        <v>R3-47</v>
      </c>
      <c r="K748" s="60" t="str">
        <f t="shared" si="23"/>
        <v>✅ On Best Plan</v>
      </c>
      <c r="L748" s="60" t="str">
        <f>IFERROR(INDEX('Docketed Comments'!F:F,MATCH(A748,'Docketed Comments'!H:H,0)),"")</f>
        <v>Opposed-Prioritize cost control</v>
      </c>
      <c r="M748" s="120" t="str">
        <f>IFERROR(INDEX('Docketed Comments'!G:G,MATCH(A748,'Docketed Comments'!H:H,0)),"")</f>
        <v>https://docket.images.azcc.gov/E000046900.pdf</v>
      </c>
      <c r="N748" s="118" t="str">
        <f>IFERROR(INDEX('Docketed Comments'!N:N,MATCH(A748,'Docketed Comments'!H:H,0)),"")</f>
        <v>No</v>
      </c>
      <c r="O748" s="118" t="str">
        <f>IFERROR(INDEX('Docketed Comments'!L:L,MATCH(A748,'Docketed Comments'!H:H,0)),"")</f>
        <v>Yes</v>
      </c>
      <c r="P748" s="119">
        <f t="shared" si="22"/>
        <v>0</v>
      </c>
      <c r="Q748" s="60" t="s">
        <v>23</v>
      </c>
      <c r="R748" s="64" t="s">
        <v>24</v>
      </c>
      <c r="S748" s="64" t="s">
        <v>1619</v>
      </c>
    </row>
    <row r="749" spans="1:19" ht="21.95" hidden="1" customHeight="1">
      <c r="A749" s="66" t="s">
        <v>1620</v>
      </c>
      <c r="B749" s="64" t="s">
        <v>31</v>
      </c>
      <c r="C749" s="65">
        <v>46074</v>
      </c>
      <c r="D749" s="64" t="s">
        <v>21</v>
      </c>
      <c r="E749" s="64" t="s">
        <v>22</v>
      </c>
      <c r="F749" s="60" t="s">
        <v>41</v>
      </c>
      <c r="G749" s="60"/>
      <c r="H749" s="60" t="str">
        <f>IFERROR(INDEX('Docketed Comments'!C:C,MATCH(A749,'Docketed Comments'!H:H,0))&amp;", "&amp;INDEX('Docketed Comments'!B:B,MATCH(A749,'Docketed Comments'!H:H,0)),"")</f>
        <v>Kamala, Vallabhaneni</v>
      </c>
      <c r="I749" s="60" t="str">
        <f>IFERROR(INDEX('Docketed Comments'!D:D,MATCH(A749,'Docketed Comments'!H:H,0)),"")</f>
        <v>Scottsdale</v>
      </c>
      <c r="J749" s="60" t="str">
        <f>IFERROR(INDEX('Docketed Comments'!I:I,MATCH(A749,'Docketed Comments'!H:H,0)),"")</f>
        <v>R3-47</v>
      </c>
      <c r="K749" s="60" t="str">
        <f t="shared" si="23"/>
        <v>✅ On Best Plan</v>
      </c>
      <c r="L749" s="60" t="str">
        <f>IFERROR(INDEX('Docketed Comments'!F:F,MATCH(A749,'Docketed Comments'!H:H,0)),"")</f>
        <v>Opposed-Simply too much</v>
      </c>
      <c r="M749" s="120" t="str">
        <f>IFERROR(INDEX('Docketed Comments'!G:G,MATCH(A749,'Docketed Comments'!H:H,0)),"")</f>
        <v>https://docket.images.azcc.gov/E000046911.pdf</v>
      </c>
      <c r="N749" s="118" t="str">
        <f>IFERROR(INDEX('Docketed Comments'!N:N,MATCH(A749,'Docketed Comments'!H:H,0)),"")</f>
        <v>No</v>
      </c>
      <c r="O749" s="118" t="str">
        <f>IFERROR(INDEX('Docketed Comments'!L:L,MATCH(A749,'Docketed Comments'!H:H,0)),"")</f>
        <v>Yes</v>
      </c>
      <c r="P749" s="119">
        <f t="shared" si="22"/>
        <v>0</v>
      </c>
      <c r="Q749" s="60" t="s">
        <v>23</v>
      </c>
      <c r="R749" s="64" t="s">
        <v>24</v>
      </c>
      <c r="S749" s="64" t="s">
        <v>1621</v>
      </c>
    </row>
    <row r="750" spans="1:19" ht="21.95" customHeight="1">
      <c r="A750" s="66" t="s">
        <v>1622</v>
      </c>
      <c r="B750" s="64"/>
      <c r="C750" s="65"/>
      <c r="D750" s="64"/>
      <c r="E750" s="64"/>
      <c r="F750" s="60"/>
      <c r="G750" s="60" t="s">
        <v>88</v>
      </c>
      <c r="H750" s="60" t="str">
        <f>IFERROR(INDEX('Docketed Comments'!C:C,MATCH(A750,'Docketed Comments'!H:H,0))&amp;", "&amp;INDEX('Docketed Comments'!B:B,MATCH(A750,'Docketed Comments'!H:H,0)),"")</f>
        <v>Arthur, Rogers</v>
      </c>
      <c r="I750" s="60" t="str">
        <f>IFERROR(INDEX('Docketed Comments'!D:D,MATCH(A750,'Docketed Comments'!H:H,0)),"")</f>
        <v>Star Valley</v>
      </c>
      <c r="J750" s="60" t="str">
        <f>IFERROR(INDEX('Docketed Comments'!I:I,MATCH(A750,'Docketed Comments'!H:H,0)),"")</f>
        <v>R-XS</v>
      </c>
      <c r="K750" s="60" t="str">
        <f t="shared" si="23"/>
        <v>✅ On Best Plan</v>
      </c>
      <c r="L750" s="60" t="str">
        <f>IFERROR(INDEX('Docketed Comments'!F:F,MATCH(A750,'Docketed Comments'!H:H,0)),"")</f>
        <v>Opposed-APS is attempting to influence legislature</v>
      </c>
      <c r="M750" s="120" t="str">
        <f>IFERROR(INDEX('Docketed Comments'!G:G,MATCH(A750,'Docketed Comments'!H:H,0)),"")</f>
        <v>https://docket.images.azcc.gov/E000046911.pdf</v>
      </c>
      <c r="N750" s="118" t="str">
        <f>IFERROR(INDEX('Docketed Comments'!N:N,MATCH(A750,'Docketed Comments'!H:H,0)),"")</f>
        <v>No</v>
      </c>
      <c r="O750" s="118" t="str">
        <f>IFERROR(INDEX('Docketed Comments'!L:L,MATCH(A750,'Docketed Comments'!H:H,0)),"")</f>
        <v>Yes</v>
      </c>
      <c r="P750" s="119">
        <f t="shared" si="22"/>
        <v>0</v>
      </c>
      <c r="Q750" s="60"/>
      <c r="R750" s="64" t="s">
        <v>75</v>
      </c>
      <c r="S750" s="64" t="s">
        <v>1623</v>
      </c>
    </row>
    <row r="751" spans="1:19" ht="21.95" hidden="1" customHeight="1">
      <c r="A751" s="66" t="s">
        <v>1624</v>
      </c>
      <c r="B751" s="64" t="s">
        <v>31</v>
      </c>
      <c r="C751" s="65">
        <v>46074</v>
      </c>
      <c r="D751" s="64" t="s">
        <v>21</v>
      </c>
      <c r="E751" s="64" t="s">
        <v>22</v>
      </c>
      <c r="F751" s="60" t="s">
        <v>41</v>
      </c>
      <c r="G751" s="60"/>
      <c r="H751" s="60" t="str">
        <f>IFERROR(INDEX('Docketed Comments'!C:C,MATCH(A751,'Docketed Comments'!H:H,0))&amp;", "&amp;INDEX('Docketed Comments'!B:B,MATCH(A751,'Docketed Comments'!H:H,0)),"")</f>
        <v>Judy, Rademacher</v>
      </c>
      <c r="I751" s="60" t="str">
        <f>IFERROR(INDEX('Docketed Comments'!D:D,MATCH(A751,'Docketed Comments'!H:H,0)),"")</f>
        <v>Peoria</v>
      </c>
      <c r="J751" s="60" t="str">
        <f>IFERROR(INDEX('Docketed Comments'!I:I,MATCH(A751,'Docketed Comments'!H:H,0)),"")</f>
        <v>R3-47</v>
      </c>
      <c r="K751" s="60" t="str">
        <f t="shared" si="23"/>
        <v>✅ On Best Plan</v>
      </c>
      <c r="L751" s="60" t="str">
        <f>IFERROR(INDEX('Docketed Comments'!F:F,MATCH(A751,'Docketed Comments'!H:H,0)),"")</f>
        <v>Opposed-Fixed Income</v>
      </c>
      <c r="M751" s="120" t="str">
        <f>IFERROR(INDEX('Docketed Comments'!G:G,MATCH(A751,'Docketed Comments'!H:H,0)),"")</f>
        <v>https://docket.images.azcc.gov/E000046911.pdf</v>
      </c>
      <c r="N751" s="118" t="str">
        <f>IFERROR(INDEX('Docketed Comments'!N:N,MATCH(A751,'Docketed Comments'!H:H,0)),"")</f>
        <v>No</v>
      </c>
      <c r="O751" s="118" t="str">
        <f>IFERROR(INDEX('Docketed Comments'!L:L,MATCH(A751,'Docketed Comments'!H:H,0)),"")</f>
        <v>Yes</v>
      </c>
      <c r="P751" s="119">
        <f t="shared" si="22"/>
        <v>0</v>
      </c>
      <c r="Q751" s="60" t="s">
        <v>23</v>
      </c>
      <c r="R751" s="64" t="s">
        <v>24</v>
      </c>
      <c r="S751" s="64" t="s">
        <v>1625</v>
      </c>
    </row>
    <row r="752" spans="1:19" ht="21.95" hidden="1" customHeight="1">
      <c r="A752" s="66" t="s">
        <v>1626</v>
      </c>
      <c r="B752" s="64" t="s">
        <v>31</v>
      </c>
      <c r="C752" s="65">
        <v>46074</v>
      </c>
      <c r="D752" s="64" t="s">
        <v>27</v>
      </c>
      <c r="E752" s="64" t="s">
        <v>35</v>
      </c>
      <c r="F752" s="60" t="s">
        <v>1627</v>
      </c>
      <c r="G752" s="60"/>
      <c r="H752" s="60" t="str">
        <f>IFERROR(INDEX('Docketed Comments'!C:C,MATCH(A752,'Docketed Comments'!H:H,0))&amp;", "&amp;INDEX('Docketed Comments'!B:B,MATCH(A752,'Docketed Comments'!H:H,0)),"")</f>
        <v>Delaney, Spencer</v>
      </c>
      <c r="I752" s="60" t="str">
        <f>IFERROR(INDEX('Docketed Comments'!D:D,MATCH(A752,'Docketed Comments'!H:H,0)),"")</f>
        <v>Florence</v>
      </c>
      <c r="J752" s="60" t="str">
        <f>IFERROR(INDEX('Docketed Comments'!I:I,MATCH(A752,'Docketed Comments'!H:H,0)),"")</f>
        <v>RCPw/R3-47</v>
      </c>
      <c r="K752" s="60" t="str">
        <f t="shared" si="23"/>
        <v>✅ On Best Plan</v>
      </c>
      <c r="L752" s="60" t="str">
        <f>IFERROR(INDEX('Docketed Comments'!F:F,MATCH(A752,'Docketed Comments'!H:H,0)),"")</f>
        <v>Unreasonable ever-increasing rates</v>
      </c>
      <c r="M752" s="120" t="str">
        <f>IFERROR(INDEX('Docketed Comments'!G:G,MATCH(A752,'Docketed Comments'!H:H,0)),"")</f>
        <v>https://docket.images.azcc.gov/E000046970.pdf</v>
      </c>
      <c r="N752" s="118" t="str">
        <f>IFERROR(INDEX('Docketed Comments'!N:N,MATCH(A752,'Docketed Comments'!H:H,0)),"")</f>
        <v>No</v>
      </c>
      <c r="O752" s="118" t="str">
        <f>IFERROR(INDEX('Docketed Comments'!L:L,MATCH(A752,'Docketed Comments'!H:H,0)),"")</f>
        <v>Yes</v>
      </c>
      <c r="P752" s="119">
        <f t="shared" si="22"/>
        <v>0</v>
      </c>
      <c r="Q752" s="60" t="s">
        <v>23</v>
      </c>
      <c r="R752" s="64" t="s">
        <v>24</v>
      </c>
      <c r="S752" s="64" t="s">
        <v>1628</v>
      </c>
    </row>
    <row r="753" spans="1:19" ht="21.95" hidden="1" customHeight="1">
      <c r="A753" s="66" t="s">
        <v>1629</v>
      </c>
      <c r="B753" s="64" t="s">
        <v>31</v>
      </c>
      <c r="C753" s="65">
        <v>46074</v>
      </c>
      <c r="D753" s="64" t="s">
        <v>27</v>
      </c>
      <c r="E753" s="64" t="s">
        <v>35</v>
      </c>
      <c r="F753" s="60" t="s">
        <v>1627</v>
      </c>
      <c r="G753" s="60"/>
      <c r="H753" s="60" t="str">
        <f>IFERROR(INDEX('Docketed Comments'!C:C,MATCH(A753,'Docketed Comments'!H:H,0))&amp;", "&amp;INDEX('Docketed Comments'!B:B,MATCH(A753,'Docketed Comments'!H:H,0)),"")</f>
        <v>Ashley, Eason</v>
      </c>
      <c r="I753" s="60" t="str">
        <f>IFERROR(INDEX('Docketed Comments'!D:D,MATCH(A753,'Docketed Comments'!H:H,0)),"")</f>
        <v>Casa Grande</v>
      </c>
      <c r="J753" s="60" t="str">
        <f>IFERROR(INDEX('Docketed Comments'!I:I,MATCH(A753,'Docketed Comments'!H:H,0)),"")</f>
        <v>R3-47</v>
      </c>
      <c r="K753" s="60" t="str">
        <f t="shared" si="23"/>
        <v>✅ On Best Plan</v>
      </c>
      <c r="L753" s="60" t="str">
        <f>IFERROR(INDEX('Docketed Comments'!F:F,MATCH(A753,'Docketed Comments'!H:H,0)),"")</f>
        <v>This rate hike would be deeply burdensome to families, seniors and working individuals</v>
      </c>
      <c r="M753" s="120" t="str">
        <f>IFERROR(INDEX('Docketed Comments'!G:G,MATCH(A753,'Docketed Comments'!H:H,0)),"")</f>
        <v>https://docket.images.azcc.gov/E000046970.pdf</v>
      </c>
      <c r="N753" s="118" t="str">
        <f>IFERROR(INDEX('Docketed Comments'!N:N,MATCH(A753,'Docketed Comments'!H:H,0)),"")</f>
        <v>No</v>
      </c>
      <c r="O753" s="118" t="str">
        <f>IFERROR(INDEX('Docketed Comments'!L:L,MATCH(A753,'Docketed Comments'!H:H,0)),"")</f>
        <v>Yes</v>
      </c>
      <c r="P753" s="119">
        <f t="shared" si="22"/>
        <v>0</v>
      </c>
      <c r="Q753" s="60" t="s">
        <v>23</v>
      </c>
      <c r="R753" s="64" t="s">
        <v>24</v>
      </c>
      <c r="S753" s="64" t="s">
        <v>1630</v>
      </c>
    </row>
    <row r="754" spans="1:19" ht="21.95" customHeight="1">
      <c r="A754" s="66" t="s">
        <v>1631</v>
      </c>
      <c r="B754" s="64"/>
      <c r="C754" s="65"/>
      <c r="D754" s="64"/>
      <c r="E754" s="64"/>
      <c r="F754" s="60"/>
      <c r="G754" s="60" t="s">
        <v>88</v>
      </c>
      <c r="H754" s="60" t="str">
        <f>IFERROR(INDEX('Docketed Comments'!C:C,MATCH(A754,'Docketed Comments'!H:H,0))&amp;", "&amp;INDEX('Docketed Comments'!B:B,MATCH(A754,'Docketed Comments'!H:H,0)),"")</f>
        <v>Steven, Hall</v>
      </c>
      <c r="I754" s="60" t="str">
        <f>IFERROR(INDEX('Docketed Comments'!D:D,MATCH(A754,'Docketed Comments'!H:H,0)),"")</f>
        <v>Casa Grande</v>
      </c>
      <c r="J754" s="60" t="str">
        <f>IFERROR(INDEX('Docketed Comments'!I:I,MATCH(A754,'Docketed Comments'!H:H,0)),"")</f>
        <v>R3-47</v>
      </c>
      <c r="K754" s="60" t="str">
        <f t="shared" si="23"/>
        <v>✅ On Best Plan</v>
      </c>
      <c r="L754" s="60" t="str">
        <f>IFERROR(INDEX('Docketed Comments'!F:F,MATCH(A754,'Docketed Comments'!H:H,0)),"")</f>
        <v>Rate hike would place an even heavier financial burden on families, seniors, and small businesses across our state.</v>
      </c>
      <c r="M754" s="120" t="str">
        <f>IFERROR(INDEX('Docketed Comments'!G:G,MATCH(A754,'Docketed Comments'!H:H,0)),"")</f>
        <v>https://docket.images.azcc.gov/E000046970.pdf</v>
      </c>
      <c r="N754" s="118" t="str">
        <f>IFERROR(INDEX('Docketed Comments'!N:N,MATCH(A754,'Docketed Comments'!H:H,0)),"")</f>
        <v>No</v>
      </c>
      <c r="O754" s="118" t="str">
        <f>IFERROR(INDEX('Docketed Comments'!L:L,MATCH(A754,'Docketed Comments'!H:H,0)),"")</f>
        <v>Yes</v>
      </c>
      <c r="P754" s="119">
        <f t="shared" si="22"/>
        <v>0</v>
      </c>
      <c r="Q754" s="60"/>
      <c r="R754" s="64" t="s">
        <v>75</v>
      </c>
      <c r="S754" s="64" t="s">
        <v>1632</v>
      </c>
    </row>
    <row r="755" spans="1:19" ht="21.95" hidden="1" customHeight="1">
      <c r="A755" s="66" t="s">
        <v>1633</v>
      </c>
      <c r="B755" s="64" t="s">
        <v>31</v>
      </c>
      <c r="C755" s="65">
        <v>46074</v>
      </c>
      <c r="D755" s="64" t="s">
        <v>27</v>
      </c>
      <c r="E755" s="64" t="s">
        <v>35</v>
      </c>
      <c r="F755" s="60" t="s">
        <v>1627</v>
      </c>
      <c r="G755" s="60"/>
      <c r="H755" s="60" t="str">
        <f>IFERROR(INDEX('Docketed Comments'!C:C,MATCH(A755,'Docketed Comments'!H:H,0))&amp;", "&amp;INDEX('Docketed Comments'!B:B,MATCH(A755,'Docketed Comments'!H:H,0)),"")</f>
        <v>Roger, Quinte</v>
      </c>
      <c r="I755" s="60" t="str">
        <f>IFERROR(INDEX('Docketed Comments'!D:D,MATCH(A755,'Docketed Comments'!H:H,0)),"")</f>
        <v>Phoenix</v>
      </c>
      <c r="J755" s="60" t="str">
        <f>IFERROR(INDEX('Docketed Comments'!I:I,MATCH(A755,'Docketed Comments'!H:H,0)),"")</f>
        <v>EPR-6w/ECT-2</v>
      </c>
      <c r="K755" s="60" t="str">
        <f t="shared" si="23"/>
        <v>⚠ Frozen Rate</v>
      </c>
      <c r="L755" s="60" t="str">
        <f>IFERROR(INDEX('Docketed Comments'!F:F,MATCH(A755,'Docketed Comments'!H:H,0)),"")</f>
        <v>Form Letter: Enough is enough! You must reject the latest 14% rate hikes by APS and TEP</v>
      </c>
      <c r="M755" s="120" t="str">
        <f>IFERROR(INDEX('Docketed Comments'!G:G,MATCH(A755,'Docketed Comments'!H:H,0)),"")</f>
        <v>https://docket.images.azcc.gov/E000046970.pdf</v>
      </c>
      <c r="N755" s="118" t="str">
        <f>IFERROR(INDEX('Docketed Comments'!N:N,MATCH(A755,'Docketed Comments'!H:H,0)),"")</f>
        <v>No</v>
      </c>
      <c r="O755" s="118" t="str">
        <f>IFERROR(INDEX('Docketed Comments'!L:L,MATCH(A755,'Docketed Comments'!H:H,0)),"")</f>
        <v>Frozen Rate</v>
      </c>
      <c r="P755" s="119">
        <f t="shared" si="22"/>
        <v>0</v>
      </c>
      <c r="Q755" s="60" t="s">
        <v>23</v>
      </c>
      <c r="R755" s="64" t="s">
        <v>24</v>
      </c>
      <c r="S755" s="64" t="s">
        <v>1634</v>
      </c>
    </row>
    <row r="756" spans="1:19" ht="21.95" hidden="1" customHeight="1">
      <c r="A756" s="66" t="s">
        <v>1635</v>
      </c>
      <c r="B756" s="64" t="s">
        <v>31</v>
      </c>
      <c r="C756" s="65">
        <v>46067</v>
      </c>
      <c r="D756" s="64" t="s">
        <v>27</v>
      </c>
      <c r="E756" s="64" t="s">
        <v>35</v>
      </c>
      <c r="F756" s="60"/>
      <c r="G756" s="60"/>
      <c r="H756" s="60" t="str">
        <f>IFERROR(INDEX('Docketed Comments'!C:C,MATCH(A756,'Docketed Comments'!H:H,0))&amp;", "&amp;INDEX('Docketed Comments'!B:B,MATCH(A756,'Docketed Comments'!H:H,0)),"")</f>
        <v>Sherry, Ratner</v>
      </c>
      <c r="I756" s="60" t="str">
        <f>IFERROR(INDEX('Docketed Comments'!D:D,MATCH(A756,'Docketed Comments'!H:H,0)),"")</f>
        <v>Cornville</v>
      </c>
      <c r="J756" s="60" t="str">
        <f>IFERROR(INDEX('Docketed Comments'!I:I,MATCH(A756,'Docketed Comments'!H:H,0)),"")</f>
        <v>R-XS</v>
      </c>
      <c r="K756" s="60" t="str">
        <f t="shared" si="23"/>
        <v>⚠ NA</v>
      </c>
      <c r="L756" s="60" t="str">
        <f>IFERROR(INDEX('Docketed Comments'!F:F,MATCH(A756,'Docketed Comments'!H:H,0)),"")</f>
        <v>Low fixed income cannot afford such huge rate increases</v>
      </c>
      <c r="M756" s="120" t="str">
        <f>IFERROR(INDEX('Docketed Comments'!G:G,MATCH(A756,'Docketed Comments'!H:H,0)),"")</f>
        <v>https://docket.images.azcc.gov/E000046970.pdf</v>
      </c>
      <c r="N756" s="118" t="str">
        <f>IFERROR(INDEX('Docketed Comments'!N:N,MATCH(A756,'Docketed Comments'!H:H,0)),"")</f>
        <v>No</v>
      </c>
      <c r="O756" s="118" t="str">
        <f>IFERROR(INDEX('Docketed Comments'!L:L,MATCH(A756,'Docketed Comments'!H:H,0)),"")</f>
        <v>NA</v>
      </c>
      <c r="P756" s="119">
        <f t="shared" si="22"/>
        <v>0</v>
      </c>
      <c r="Q756" s="60" t="s">
        <v>23</v>
      </c>
      <c r="R756" s="64" t="s">
        <v>24</v>
      </c>
      <c r="S756" s="64" t="s">
        <v>1636</v>
      </c>
    </row>
    <row r="757" spans="1:19" ht="21.95" customHeight="1">
      <c r="A757" s="66" t="s">
        <v>1637</v>
      </c>
      <c r="B757" s="64"/>
      <c r="C757" s="65"/>
      <c r="D757" s="64"/>
      <c r="E757" s="64"/>
      <c r="F757" s="60"/>
      <c r="G757" s="60" t="s">
        <v>88</v>
      </c>
      <c r="H757" s="60" t="str">
        <f>IFERROR(INDEX('Docketed Comments'!C:C,MATCH(A757,'Docketed Comments'!H:H,0))&amp;", "&amp;INDEX('Docketed Comments'!B:B,MATCH(A757,'Docketed Comments'!H:H,0)),"")</f>
        <v>Debra, Ogledzinski</v>
      </c>
      <c r="I757" s="60" t="str">
        <f>IFERROR(INDEX('Docketed Comments'!D:D,MATCH(A757,'Docketed Comments'!H:H,0)),"")</f>
        <v>Phoenix</v>
      </c>
      <c r="J757" s="60" t="str">
        <f>IFERROR(INDEX('Docketed Comments'!I:I,MATCH(A757,'Docketed Comments'!H:H,0)),"")</f>
        <v>R-2</v>
      </c>
      <c r="K757" s="60" t="str">
        <f t="shared" si="23"/>
        <v>⚠ Frozen Rate</v>
      </c>
      <c r="L757" s="60" t="str">
        <f>IFERROR(INDEX('Docketed Comments'!F:F,MATCH(A757,'Docketed Comments'!H:H,0)),"")</f>
        <v>Form Letter: Enough is enough! You must reject the latest 14% rate hikes by APS and TEP</v>
      </c>
      <c r="M757" s="120" t="str">
        <f>IFERROR(INDEX('Docketed Comments'!G:G,MATCH(A757,'Docketed Comments'!H:H,0)),"")</f>
        <v>https://docket.images.azcc.gov/E000046970.pdf</v>
      </c>
      <c r="N757" s="118" t="str">
        <f>IFERROR(INDEX('Docketed Comments'!N:N,MATCH(A757,'Docketed Comments'!H:H,0)),"")</f>
        <v>No</v>
      </c>
      <c r="O757" s="118" t="str">
        <f>IFERROR(INDEX('Docketed Comments'!L:L,MATCH(A757,'Docketed Comments'!H:H,0)),"")</f>
        <v>Frozen Rate</v>
      </c>
      <c r="P757" s="119">
        <f t="shared" si="22"/>
        <v>0</v>
      </c>
      <c r="Q757" s="60"/>
      <c r="R757" s="64" t="s">
        <v>75</v>
      </c>
      <c r="S757" s="64" t="s">
        <v>1638</v>
      </c>
    </row>
    <row r="758" spans="1:19" ht="21.95" customHeight="1">
      <c r="A758" s="66" t="s">
        <v>1639</v>
      </c>
      <c r="B758" s="64"/>
      <c r="C758" s="65"/>
      <c r="D758" s="64"/>
      <c r="E758" s="64"/>
      <c r="F758" s="60"/>
      <c r="G758" s="60" t="s">
        <v>88</v>
      </c>
      <c r="H758" s="60" t="str">
        <f>IFERROR(INDEX('Docketed Comments'!C:C,MATCH(A758,'Docketed Comments'!H:H,0))&amp;", "&amp;INDEX('Docketed Comments'!B:B,MATCH(A758,'Docketed Comments'!H:H,0)),"")</f>
        <v>Collene, Hartley</v>
      </c>
      <c r="I758" s="60" t="str">
        <f>IFERROR(INDEX('Docketed Comments'!D:D,MATCH(A758,'Docketed Comments'!H:H,0)),"")</f>
        <v>Phoenix</v>
      </c>
      <c r="J758" s="60" t="str">
        <f>IFERROR(INDEX('Docketed Comments'!I:I,MATCH(A758,'Docketed Comments'!H:H,0)),"")</f>
        <v>R3-47</v>
      </c>
      <c r="K758" s="60" t="str">
        <f t="shared" si="23"/>
        <v>✅ On Best Plan</v>
      </c>
      <c r="L758" s="60" t="str">
        <f>IFERROR(INDEX('Docketed Comments'!F:F,MATCH(A758,'Docketed Comments'!H:H,0)),"")</f>
        <v>Form Letter: Enough is enough! You must reject the latest 14% rate hikes by APS and TEP</v>
      </c>
      <c r="M758" s="120" t="str">
        <f>IFERROR(INDEX('Docketed Comments'!G:G,MATCH(A758,'Docketed Comments'!H:H,0)),"")</f>
        <v>https://docket.images.azcc.gov/E000046988.pdf</v>
      </c>
      <c r="N758" s="118" t="str">
        <f>IFERROR(INDEX('Docketed Comments'!N:N,MATCH(A758,'Docketed Comments'!H:H,0)),"")</f>
        <v>No</v>
      </c>
      <c r="O758" s="118" t="str">
        <f>IFERROR(INDEX('Docketed Comments'!L:L,MATCH(A758,'Docketed Comments'!H:H,0)),"")</f>
        <v>Y</v>
      </c>
      <c r="P758" s="119">
        <f t="shared" si="22"/>
        <v>0</v>
      </c>
      <c r="Q758" s="60"/>
      <c r="R758" s="64" t="s">
        <v>75</v>
      </c>
      <c r="S758" s="64" t="s">
        <v>1640</v>
      </c>
    </row>
    <row r="759" spans="1:19" ht="21.95" hidden="1" customHeight="1">
      <c r="A759" s="66" t="s">
        <v>1641</v>
      </c>
      <c r="B759" s="64" t="s">
        <v>31</v>
      </c>
      <c r="C759" s="65">
        <v>46067</v>
      </c>
      <c r="D759" s="64" t="s">
        <v>27</v>
      </c>
      <c r="E759" s="64" t="s">
        <v>35</v>
      </c>
      <c r="F759" s="60" t="s">
        <v>1642</v>
      </c>
      <c r="G759" s="60"/>
      <c r="H759" s="60" t="str">
        <f>IFERROR(INDEX('Docketed Comments'!C:C,MATCH(A759,'Docketed Comments'!H:H,0))&amp;", "&amp;INDEX('Docketed Comments'!B:B,MATCH(A759,'Docketed Comments'!H:H,0)),"")</f>
        <v>Kristi, Warnecke</v>
      </c>
      <c r="I759" s="60" t="str">
        <f>IFERROR(INDEX('Docketed Comments'!D:D,MATCH(A759,'Docketed Comments'!H:H,0)),"")</f>
        <v>Sun City</v>
      </c>
      <c r="J759" s="60" t="str">
        <f>IFERROR(INDEX('Docketed Comments'!I:I,MATCH(A759,'Docketed Comments'!H:H,0)),"")</f>
        <v>R3-47</v>
      </c>
      <c r="K759" s="60" t="str">
        <f t="shared" si="23"/>
        <v>✅ On Best Plan</v>
      </c>
      <c r="L759" s="60" t="str">
        <f>IFERROR(INDEX('Docketed Comments'!F:F,MATCH(A759,'Docketed Comments'!H:H,0)),"")</f>
        <v>Senior on fixed income, could be choosing between air conditioning and medicine</v>
      </c>
      <c r="M759" s="120" t="str">
        <f>IFERROR(INDEX('Docketed Comments'!G:G,MATCH(A759,'Docketed Comments'!H:H,0)),"")</f>
        <v>https://docket.images.azcc.gov/E000046988.pdf</v>
      </c>
      <c r="N759" s="118" t="str">
        <f>IFERROR(INDEX('Docketed Comments'!N:N,MATCH(A759,'Docketed Comments'!H:H,0)),"")</f>
        <v>No</v>
      </c>
      <c r="O759" s="118" t="str">
        <f>IFERROR(INDEX('Docketed Comments'!L:L,MATCH(A759,'Docketed Comments'!H:H,0)),"")</f>
        <v>Y</v>
      </c>
      <c r="P759" s="119">
        <f t="shared" si="22"/>
        <v>0</v>
      </c>
      <c r="Q759" s="60" t="s">
        <v>23</v>
      </c>
      <c r="R759" s="64" t="s">
        <v>24</v>
      </c>
      <c r="S759" s="64" t="s">
        <v>1643</v>
      </c>
    </row>
    <row r="760" spans="1:19" ht="21.95" hidden="1" customHeight="1">
      <c r="A760" s="66" t="s">
        <v>1644</v>
      </c>
      <c r="B760" s="64" t="s">
        <v>31</v>
      </c>
      <c r="C760" s="65">
        <v>46067</v>
      </c>
      <c r="D760" s="64" t="s">
        <v>21</v>
      </c>
      <c r="E760" s="64" t="s">
        <v>22</v>
      </c>
      <c r="F760" s="60" t="s">
        <v>60</v>
      </c>
      <c r="G760" s="60"/>
      <c r="H760" s="60" t="str">
        <f>IFERROR(INDEX('Docketed Comments'!C:C,MATCH(A760,'Docketed Comments'!H:H,0))&amp;", "&amp;INDEX('Docketed Comments'!B:B,MATCH(A760,'Docketed Comments'!H:H,0)),"")</f>
        <v>James, Pollock</v>
      </c>
      <c r="I760" s="60" t="str">
        <f>IFERROR(INDEX('Docketed Comments'!D:D,MATCH(A760,'Docketed Comments'!H:H,0)),"")</f>
        <v>Phoenix</v>
      </c>
      <c r="J760" s="60" t="str">
        <f>IFERROR(INDEX('Docketed Comments'!I:I,MATCH(A760,'Docketed Comments'!H:H,0)),"")</f>
        <v>RCPw/RTOUE47</v>
      </c>
      <c r="K760" s="60" t="str">
        <f t="shared" si="23"/>
        <v>✅ On Best Plan</v>
      </c>
      <c r="L760" s="60" t="str">
        <f>IFERROR(INDEX('Docketed Comments'!F:F,MATCH(A760,'Docketed Comments'!H:H,0)),"")</f>
        <v>Form Letter: Enough is enough! You must reject the latest 14% rate hikes by APS and TEP</v>
      </c>
      <c r="M760" s="120" t="str">
        <f>IFERROR(INDEX('Docketed Comments'!G:G,MATCH(A760,'Docketed Comments'!H:H,0)),"")</f>
        <v>https://docket.images.azcc.gov/E000046996.pdf</v>
      </c>
      <c r="N760" s="118" t="str">
        <f>IFERROR(INDEX('Docketed Comments'!N:N,MATCH(A760,'Docketed Comments'!H:H,0)),"")</f>
        <v>No</v>
      </c>
      <c r="O760" s="118" t="str">
        <f>IFERROR(INDEX('Docketed Comments'!L:L,MATCH(A760,'Docketed Comments'!H:H,0)),"")</f>
        <v>Y</v>
      </c>
      <c r="P760" s="119">
        <f t="shared" si="22"/>
        <v>0</v>
      </c>
      <c r="Q760" s="60" t="s">
        <v>23</v>
      </c>
      <c r="R760" s="64" t="s">
        <v>24</v>
      </c>
      <c r="S760" s="64" t="s">
        <v>1645</v>
      </c>
    </row>
    <row r="761" spans="1:19" ht="21.95" customHeight="1">
      <c r="A761" s="66" t="s">
        <v>1646</v>
      </c>
      <c r="B761" s="64"/>
      <c r="C761" s="65"/>
      <c r="D761" s="64"/>
      <c r="E761" s="64"/>
      <c r="F761" s="60"/>
      <c r="G761" s="60" t="s">
        <v>88</v>
      </c>
      <c r="H761" s="60" t="str">
        <f>IFERROR(INDEX('Docketed Comments'!C:C,MATCH(A761,'Docketed Comments'!H:H,0))&amp;", "&amp;INDEX('Docketed Comments'!B:B,MATCH(A761,'Docketed Comments'!H:H,0)),"")</f>
        <v>Shem, Miller</v>
      </c>
      <c r="I761" s="60" t="str">
        <f>IFERROR(INDEX('Docketed Comments'!D:D,MATCH(A761,'Docketed Comments'!H:H,0)),"")</f>
        <v>Phoenix</v>
      </c>
      <c r="J761" s="60" t="str">
        <f>IFERROR(INDEX('Docketed Comments'!I:I,MATCH(A761,'Docketed Comments'!H:H,0)),"")</f>
        <v>R3-47</v>
      </c>
      <c r="K761" s="60" t="str">
        <f t="shared" si="23"/>
        <v>✅ On Best Plan</v>
      </c>
      <c r="L761" s="60" t="str">
        <f>IFERROR(INDEX('Docketed Comments'!F:F,MATCH(A761,'Docketed Comments'!H:H,0)),"")</f>
        <v>Form Letter: Enough is enough! You must reject the latest 14% rate hikes by APS and TEP</v>
      </c>
      <c r="M761" s="120" t="str">
        <f>IFERROR(INDEX('Docketed Comments'!G:G,MATCH(A761,'Docketed Comments'!H:H,0)),"")</f>
        <v>https://docket.images.azcc.gov/E000046996.pdf</v>
      </c>
      <c r="N761" s="118" t="str">
        <f>IFERROR(INDEX('Docketed Comments'!N:N,MATCH(A761,'Docketed Comments'!H:H,0)),"")</f>
        <v>No</v>
      </c>
      <c r="O761" s="118" t="str">
        <f>IFERROR(INDEX('Docketed Comments'!L:L,MATCH(A761,'Docketed Comments'!H:H,0)),"")</f>
        <v>Y</v>
      </c>
      <c r="P761" s="119">
        <f t="shared" si="22"/>
        <v>0</v>
      </c>
      <c r="Q761" s="60"/>
      <c r="R761" s="64" t="s">
        <v>75</v>
      </c>
      <c r="S761" s="64" t="s">
        <v>1647</v>
      </c>
    </row>
    <row r="762" spans="1:19" ht="21.95" hidden="1" customHeight="1">
      <c r="A762" s="66" t="s">
        <v>1648</v>
      </c>
      <c r="B762" s="64" t="s">
        <v>31</v>
      </c>
      <c r="C762" s="65">
        <v>46067</v>
      </c>
      <c r="D762" s="64" t="s">
        <v>27</v>
      </c>
      <c r="E762" s="64" t="s">
        <v>214</v>
      </c>
      <c r="F762" s="60" t="s">
        <v>250</v>
      </c>
      <c r="G762" s="60"/>
      <c r="H762" s="60" t="str">
        <f>IFERROR(INDEX('Docketed Comments'!C:C,MATCH(A762,'Docketed Comments'!H:H,0))&amp;", "&amp;INDEX('Docketed Comments'!B:B,MATCH(A762,'Docketed Comments'!H:H,0)),"")</f>
        <v>Catherine, Yarber</v>
      </c>
      <c r="I762" s="60" t="str">
        <f>IFERROR(INDEX('Docketed Comments'!D:D,MATCH(A762,'Docketed Comments'!H:H,0)),"")</f>
        <v>Seligman</v>
      </c>
      <c r="J762" s="60" t="str">
        <f>IFERROR(INDEX('Docketed Comments'!I:I,MATCH(A762,'Docketed Comments'!H:H,0)),"")</f>
        <v>EPR-6w/ET-2</v>
      </c>
      <c r="K762" s="60" t="str">
        <f t="shared" si="23"/>
        <v>⚠ Frozen Rate</v>
      </c>
      <c r="L762" s="60" t="str">
        <f>IFERROR(INDEX('Docketed Comments'!F:F,MATCH(A762,'Docketed Comments'!H:H,0)),"")</f>
        <v>Do not allow APS to constantly raise their rates</v>
      </c>
      <c r="M762" s="120" t="str">
        <f>IFERROR(INDEX('Docketed Comments'!G:G,MATCH(A762,'Docketed Comments'!H:H,0)),"")</f>
        <v>https://docket.images.azcc.gov/E000047007.pdf</v>
      </c>
      <c r="N762" s="118" t="str">
        <f>IFERROR(INDEX('Docketed Comments'!N:N,MATCH(A762,'Docketed Comments'!H:H,0)),"")</f>
        <v>No</v>
      </c>
      <c r="O762" s="118" t="str">
        <f>IFERROR(INDEX('Docketed Comments'!L:L,MATCH(A762,'Docketed Comments'!H:H,0)),"")</f>
        <v>Frozen Rate</v>
      </c>
      <c r="P762" s="119">
        <f t="shared" si="22"/>
        <v>0</v>
      </c>
      <c r="Q762" s="60" t="s">
        <v>23</v>
      </c>
      <c r="R762" s="64" t="s">
        <v>24</v>
      </c>
      <c r="S762" s="64" t="s">
        <v>1649</v>
      </c>
    </row>
    <row r="763" spans="1:19" ht="21.95" customHeight="1">
      <c r="A763" s="66" t="s">
        <v>1650</v>
      </c>
      <c r="B763" s="64"/>
      <c r="C763" s="65"/>
      <c r="D763" s="64"/>
      <c r="E763" s="64"/>
      <c r="F763" s="60"/>
      <c r="G763" s="60" t="s">
        <v>88</v>
      </c>
      <c r="H763" s="60" t="str">
        <f>IFERROR(INDEX('Docketed Comments'!C:C,MATCH(A763,'Docketed Comments'!H:H,0))&amp;", "&amp;INDEX('Docketed Comments'!B:B,MATCH(A763,'Docketed Comments'!H:H,0)),"")</f>
        <v>Dawn, Robnett</v>
      </c>
      <c r="I763" s="60" t="str">
        <f>IFERROR(INDEX('Docketed Comments'!D:D,MATCH(A763,'Docketed Comments'!H:H,0)),"")</f>
        <v>Sierra Vista</v>
      </c>
      <c r="J763" s="60" t="str">
        <f>IFERROR(INDEX('Docketed Comments'!I:I,MATCH(A763,'Docketed Comments'!H:H,0)),"")</f>
        <v>R3-47</v>
      </c>
      <c r="K763" s="60" t="str">
        <f t="shared" si="23"/>
        <v>✅ On Best Plan</v>
      </c>
      <c r="L763" s="60" t="str">
        <f>IFERROR(INDEX('Docketed Comments'!F:F,MATCH(A763,'Docketed Comments'!H:H,0)),"")</f>
        <v>What are you doing to stop this from happening?</v>
      </c>
      <c r="M763" s="120" t="str">
        <f>IFERROR(INDEX('Docketed Comments'!G:G,MATCH(A763,'Docketed Comments'!H:H,0)),"")</f>
        <v>https://docket.images.azcc.gov/E000047007.pdf</v>
      </c>
      <c r="N763" s="118" t="str">
        <f>IFERROR(INDEX('Docketed Comments'!N:N,MATCH(A763,'Docketed Comments'!H:H,0)),"")</f>
        <v>No</v>
      </c>
      <c r="O763" s="118" t="str">
        <f>IFERROR(INDEX('Docketed Comments'!L:L,MATCH(A763,'Docketed Comments'!H:H,0)),"")</f>
        <v>Y</v>
      </c>
      <c r="P763" s="119">
        <f t="shared" si="22"/>
        <v>0</v>
      </c>
      <c r="Q763" s="60"/>
      <c r="R763" s="64" t="s">
        <v>75</v>
      </c>
      <c r="S763" s="64" t="s">
        <v>1651</v>
      </c>
    </row>
    <row r="764" spans="1:19" ht="21.95" hidden="1" customHeight="1">
      <c r="A764" s="66" t="s">
        <v>1652</v>
      </c>
      <c r="B764" s="64" t="s">
        <v>31</v>
      </c>
      <c r="C764" s="65">
        <v>46067</v>
      </c>
      <c r="D764" s="64" t="s">
        <v>21</v>
      </c>
      <c r="E764" s="64" t="s">
        <v>22</v>
      </c>
      <c r="F764" s="60" t="s">
        <v>60</v>
      </c>
      <c r="G764" s="60"/>
      <c r="H764" s="60" t="str">
        <f>IFERROR(INDEX('Docketed Comments'!C:C,MATCH(A764,'Docketed Comments'!H:H,0))&amp;", "&amp;INDEX('Docketed Comments'!B:B,MATCH(A764,'Docketed Comments'!H:H,0)),"")</f>
        <v>Scott, Settje</v>
      </c>
      <c r="I764" s="60" t="str">
        <f>IFERROR(INDEX('Docketed Comments'!D:D,MATCH(A764,'Docketed Comments'!H:H,0)),"")</f>
        <v>Tonto Basin</v>
      </c>
      <c r="J764" s="60" t="str">
        <f>IFERROR(INDEX('Docketed Comments'!I:I,MATCH(A764,'Docketed Comments'!H:H,0)),"")</f>
        <v>R-2</v>
      </c>
      <c r="K764" s="60" t="str">
        <f t="shared" si="23"/>
        <v>⚠ Frozen Rate</v>
      </c>
      <c r="L764" s="60" t="str">
        <f>IFERROR(INDEX('Docketed Comments'!F:F,MATCH(A764,'Docketed Comments'!H:H,0)),"")</f>
        <v>Off-peak/demand income and demand charges after outages</v>
      </c>
      <c r="M764" s="120" t="str">
        <f>IFERROR(INDEX('Docketed Comments'!G:G,MATCH(A764,'Docketed Comments'!H:H,0)),"")</f>
        <v>https://docket.images.azcc.gov/E000047034.pdf</v>
      </c>
      <c r="N764" s="118" t="str">
        <f>IFERROR(INDEX('Docketed Comments'!N:N,MATCH(A764,'Docketed Comments'!H:H,0)),"")</f>
        <v>No</v>
      </c>
      <c r="O764" s="118" t="str">
        <f>IFERROR(INDEX('Docketed Comments'!L:L,MATCH(A764,'Docketed Comments'!H:H,0)),"")</f>
        <v>Frozen Rate</v>
      </c>
      <c r="P764" s="119">
        <f t="shared" si="22"/>
        <v>0</v>
      </c>
      <c r="Q764" s="60" t="s">
        <v>23</v>
      </c>
      <c r="R764" s="64" t="s">
        <v>24</v>
      </c>
      <c r="S764" s="64" t="s">
        <v>1653</v>
      </c>
    </row>
    <row r="765" spans="1:19" ht="21.95" customHeight="1">
      <c r="A765" s="66" t="s">
        <v>1654</v>
      </c>
      <c r="B765" s="64"/>
      <c r="C765" s="65"/>
      <c r="D765" s="64"/>
      <c r="E765" s="64"/>
      <c r="F765" s="60"/>
      <c r="G765" s="60" t="s">
        <v>88</v>
      </c>
      <c r="H765" s="60" t="str">
        <f>IFERROR(INDEX('Docketed Comments'!C:C,MATCH(A765,'Docketed Comments'!H:H,0))&amp;", "&amp;INDEX('Docketed Comments'!B:B,MATCH(A765,'Docketed Comments'!H:H,0)),"")</f>
        <v>Terrie, Cunningham</v>
      </c>
      <c r="I765" s="60" t="str">
        <f>IFERROR(INDEX('Docketed Comments'!D:D,MATCH(A765,'Docketed Comments'!H:H,0)),"")</f>
        <v>Phoenix</v>
      </c>
      <c r="J765" s="60" t="str">
        <f>IFERROR(INDEX('Docketed Comments'!I:I,MATCH(A765,'Docketed Comments'!H:H,0)),"")</f>
        <v>R3-47</v>
      </c>
      <c r="K765" s="60" t="str">
        <f t="shared" si="23"/>
        <v>✅ On Best Plan</v>
      </c>
      <c r="L765" s="60" t="str">
        <f>IFERROR(INDEX('Docketed Comments'!F:F,MATCH(A765,'Docketed Comments'!H:H,0)),"")</f>
        <v>Opposed, significant burden, especially when cost of living continued to rise</v>
      </c>
      <c r="M765" s="120" t="str">
        <f>IFERROR(INDEX('Docketed Comments'!G:G,MATCH(A765,'Docketed Comments'!H:H,0)),"")</f>
        <v>https://docket.images.azcc.gov/E000047053.pdf</v>
      </c>
      <c r="N765" s="118" t="str">
        <f>IFERROR(INDEX('Docketed Comments'!N:N,MATCH(A765,'Docketed Comments'!H:H,0)),"")</f>
        <v>No</v>
      </c>
      <c r="O765" s="118" t="str">
        <f>IFERROR(INDEX('Docketed Comments'!L:L,MATCH(A765,'Docketed Comments'!H:H,0)),"")</f>
        <v>Y</v>
      </c>
      <c r="P765" s="119">
        <f t="shared" si="22"/>
        <v>0</v>
      </c>
      <c r="Q765" s="60"/>
      <c r="R765" s="64" t="s">
        <v>75</v>
      </c>
      <c r="S765" s="64" t="s">
        <v>1655</v>
      </c>
    </row>
    <row r="766" spans="1:19" ht="21.95" hidden="1" customHeight="1">
      <c r="A766" s="66" t="s">
        <v>1656</v>
      </c>
      <c r="B766" s="64" t="s">
        <v>31</v>
      </c>
      <c r="C766" s="65">
        <v>46067</v>
      </c>
      <c r="D766" s="64" t="s">
        <v>21</v>
      </c>
      <c r="E766" s="64" t="s">
        <v>22</v>
      </c>
      <c r="F766" s="60" t="s">
        <v>60</v>
      </c>
      <c r="G766" s="60"/>
      <c r="H766" s="60" t="str">
        <f>IFERROR(INDEX('Docketed Comments'!C:C,MATCH(A766,'Docketed Comments'!H:H,0))&amp;", "&amp;INDEX('Docketed Comments'!B:B,MATCH(A766,'Docketed Comments'!H:H,0)),"")</f>
        <v>Brent, Hughes</v>
      </c>
      <c r="I766" s="60" t="str">
        <f>IFERROR(INDEX('Docketed Comments'!D:D,MATCH(A766,'Docketed Comments'!H:H,0)),"")</f>
        <v>Prescott</v>
      </c>
      <c r="J766" s="60" t="str">
        <f>IFERROR(INDEX('Docketed Comments'!I:I,MATCH(A766,'Docketed Comments'!H:H,0)),"")</f>
        <v>R3-47</v>
      </c>
      <c r="K766" s="60" t="str">
        <f t="shared" si="23"/>
        <v>✅ On Best Plan</v>
      </c>
      <c r="L766" s="60" t="str">
        <f>IFERROR(INDEX('Docketed Comments'!F:F,MATCH(A766,'Docketed Comments'!H:H,0)),"")</f>
        <v>Opposed, vote for something more reasonable</v>
      </c>
      <c r="M766" s="120" t="str">
        <f>IFERROR(INDEX('Docketed Comments'!G:G,MATCH(A766,'Docketed Comments'!H:H,0)),"")</f>
        <v>https://docket.images.azcc.gov/E000047091.pdf</v>
      </c>
      <c r="N766" s="118" t="str">
        <f>IFERROR(INDEX('Docketed Comments'!N:N,MATCH(A766,'Docketed Comments'!H:H,0)),"")</f>
        <v>No</v>
      </c>
      <c r="O766" s="118" t="str">
        <f>IFERROR(INDEX('Docketed Comments'!L:L,MATCH(A766,'Docketed Comments'!H:H,0)),"")</f>
        <v>Y</v>
      </c>
      <c r="P766" s="119">
        <f t="shared" si="22"/>
        <v>0</v>
      </c>
      <c r="Q766" s="60" t="s">
        <v>23</v>
      </c>
      <c r="R766" s="64" t="s">
        <v>24</v>
      </c>
      <c r="S766" s="64" t="s">
        <v>1657</v>
      </c>
    </row>
    <row r="767" spans="1:19" ht="21.95" hidden="1" customHeight="1">
      <c r="A767" s="66" t="s">
        <v>1658</v>
      </c>
      <c r="B767" s="64" t="s">
        <v>31</v>
      </c>
      <c r="C767" s="65">
        <v>46067</v>
      </c>
      <c r="D767" s="64" t="s">
        <v>21</v>
      </c>
      <c r="E767" s="64" t="s">
        <v>22</v>
      </c>
      <c r="F767" s="60" t="s">
        <v>60</v>
      </c>
      <c r="G767" s="60"/>
      <c r="H767" s="60" t="str">
        <f>IFERROR(INDEX('Docketed Comments'!C:C,MATCH(A767,'Docketed Comments'!H:H,0))&amp;", "&amp;INDEX('Docketed Comments'!B:B,MATCH(A767,'Docketed Comments'!H:H,0)),"")</f>
        <v>Barbara, Smith</v>
      </c>
      <c r="I767" s="60" t="str">
        <f>IFERROR(INDEX('Docketed Comments'!D:D,MATCH(A767,'Docketed Comments'!H:H,0)),"")</f>
        <v>Phoenix</v>
      </c>
      <c r="J767" s="60" t="str">
        <f>IFERROR(INDEX('Docketed Comments'!I:I,MATCH(A767,'Docketed Comments'!H:H,0)),"")</f>
        <v>R-2</v>
      </c>
      <c r="K767" s="60" t="str">
        <f t="shared" si="23"/>
        <v>⚠ Frozen Rate</v>
      </c>
      <c r="L767" s="60" t="str">
        <f>IFERROR(INDEX('Docketed Comments'!F:F,MATCH(A767,'Docketed Comments'!H:H,0)),"")</f>
        <v xml:space="preserve">Form letter </v>
      </c>
      <c r="M767" s="120" t="str">
        <f>IFERROR(INDEX('Docketed Comments'!G:G,MATCH(A767,'Docketed Comments'!H:H,0)),"")</f>
        <v>https://docket.images.azcc.gov/E000047091.pdf</v>
      </c>
      <c r="N767" s="118" t="str">
        <f>IFERROR(INDEX('Docketed Comments'!N:N,MATCH(A767,'Docketed Comments'!H:H,0)),"")</f>
        <v>No</v>
      </c>
      <c r="O767" s="118" t="str">
        <f>IFERROR(INDEX('Docketed Comments'!L:L,MATCH(A767,'Docketed Comments'!H:H,0)),"")</f>
        <v>Frozen Rate</v>
      </c>
      <c r="P767" s="119">
        <f t="shared" si="22"/>
        <v>0</v>
      </c>
      <c r="Q767" s="60" t="s">
        <v>23</v>
      </c>
      <c r="R767" s="64" t="s">
        <v>24</v>
      </c>
      <c r="S767" s="64" t="s">
        <v>1659</v>
      </c>
    </row>
    <row r="768" spans="1:19" ht="21.95" hidden="1" customHeight="1">
      <c r="A768" s="66" t="s">
        <v>1660</v>
      </c>
      <c r="B768" s="64" t="s">
        <v>31</v>
      </c>
      <c r="C768" s="65">
        <v>46067</v>
      </c>
      <c r="D768" s="64" t="s">
        <v>27</v>
      </c>
      <c r="E768" s="64" t="s">
        <v>35</v>
      </c>
      <c r="F768" s="60"/>
      <c r="G768" s="60"/>
      <c r="H768" s="60" t="str">
        <f>IFERROR(INDEX('Docketed Comments'!C:C,MATCH(A768,'Docketed Comments'!H:H,0))&amp;", "&amp;INDEX('Docketed Comments'!B:B,MATCH(A768,'Docketed Comments'!H:H,0)),"")</f>
        <v>Ariana, Flores</v>
      </c>
      <c r="I768" s="60" t="str">
        <f>IFERROR(INDEX('Docketed Comments'!D:D,MATCH(A768,'Docketed Comments'!H:H,0)),"")</f>
        <v>Phoenix</v>
      </c>
      <c r="J768" s="60" t="str">
        <f>IFERROR(INDEX('Docketed Comments'!I:I,MATCH(A768,'Docketed Comments'!H:H,0)),"")</f>
        <v>R-BASIC</v>
      </c>
      <c r="K768" s="60" t="str">
        <f t="shared" si="23"/>
        <v>✅ On Best Plan</v>
      </c>
      <c r="L768" s="60" t="str">
        <f>IFERROR(INDEX('Docketed Comments'!F:F,MATCH(A768,'Docketed Comments'!H:H,0)),"")</f>
        <v>Against the proposed rate increase</v>
      </c>
      <c r="M768" s="120" t="str">
        <f>IFERROR(INDEX('Docketed Comments'!G:G,MATCH(A768,'Docketed Comments'!H:H,0)),"")</f>
        <v>https://docket.images.azcc.gov/E000047091.pdf</v>
      </c>
      <c r="N768" s="118" t="str">
        <f>IFERROR(INDEX('Docketed Comments'!N:N,MATCH(A768,'Docketed Comments'!H:H,0)),"")</f>
        <v>No</v>
      </c>
      <c r="O768" s="118" t="str">
        <f>IFERROR(INDEX('Docketed Comments'!L:L,MATCH(A768,'Docketed Comments'!H:H,0)),"")</f>
        <v>Y</v>
      </c>
      <c r="P768" s="119">
        <f t="shared" si="22"/>
        <v>0</v>
      </c>
      <c r="Q768" s="60" t="s">
        <v>23</v>
      </c>
      <c r="R768" s="64" t="s">
        <v>24</v>
      </c>
      <c r="S768" s="64" t="s">
        <v>1661</v>
      </c>
    </row>
    <row r="769" spans="1:19" ht="21.95" hidden="1" customHeight="1">
      <c r="A769" s="66" t="s">
        <v>1662</v>
      </c>
      <c r="B769" s="64" t="s">
        <v>31</v>
      </c>
      <c r="C769" s="65">
        <v>46067</v>
      </c>
      <c r="D769" s="64" t="s">
        <v>21</v>
      </c>
      <c r="E769" s="64" t="s">
        <v>22</v>
      </c>
      <c r="F769" s="60" t="s">
        <v>60</v>
      </c>
      <c r="G769" s="60"/>
      <c r="H769" s="60" t="str">
        <f>IFERROR(INDEX('Docketed Comments'!C:C,MATCH(A769,'Docketed Comments'!H:H,0))&amp;", "&amp;INDEX('Docketed Comments'!B:B,MATCH(A769,'Docketed Comments'!H:H,0)),"")</f>
        <v>Steve, Wittie</v>
      </c>
      <c r="I769" s="60" t="str">
        <f>IFERROR(INDEX('Docketed Comments'!D:D,MATCH(A769,'Docketed Comments'!H:H,0)),"")</f>
        <v>Scottsdale</v>
      </c>
      <c r="J769" s="60" t="str">
        <f>IFERROR(INDEX('Docketed Comments'!I:I,MATCH(A769,'Docketed Comments'!H:H,0)),"")</f>
        <v>R-XS</v>
      </c>
      <c r="K769" s="60" t="str">
        <f t="shared" si="23"/>
        <v>✅ On Best Plan</v>
      </c>
      <c r="L769" s="60" t="str">
        <f>IFERROR(INDEX('Docketed Comments'!F:F,MATCH(A769,'Docketed Comments'!H:H,0)),"")</f>
        <v>Please do not vote for the APS rate increase</v>
      </c>
      <c r="M769" s="120" t="str">
        <f>IFERROR(INDEX('Docketed Comments'!G:G,MATCH(A769,'Docketed Comments'!H:H,0)),"")</f>
        <v>https://docket.images.azcc.gov/E000047066.pdf</v>
      </c>
      <c r="N769" s="118" t="str">
        <f>IFERROR(INDEX('Docketed Comments'!N:N,MATCH(A769,'Docketed Comments'!H:H,0)),"")</f>
        <v>No</v>
      </c>
      <c r="O769" s="118" t="str">
        <f>IFERROR(INDEX('Docketed Comments'!L:L,MATCH(A769,'Docketed Comments'!H:H,0)),"")</f>
        <v>Y</v>
      </c>
      <c r="P769" s="119">
        <f t="shared" si="22"/>
        <v>0</v>
      </c>
      <c r="Q769" s="60" t="s">
        <v>23</v>
      </c>
      <c r="R769" s="64" t="s">
        <v>24</v>
      </c>
      <c r="S769" s="64" t="s">
        <v>1663</v>
      </c>
    </row>
    <row r="770" spans="1:19" ht="21.95" hidden="1" customHeight="1">
      <c r="A770" s="66" t="s">
        <v>1664</v>
      </c>
      <c r="B770" s="64" t="s">
        <v>31</v>
      </c>
      <c r="C770" s="65">
        <v>46067</v>
      </c>
      <c r="D770" s="64" t="s">
        <v>27</v>
      </c>
      <c r="E770" s="64" t="s">
        <v>22</v>
      </c>
      <c r="F770" s="60" t="s">
        <v>1665</v>
      </c>
      <c r="G770" s="60"/>
      <c r="H770" s="60" t="str">
        <f>IFERROR(INDEX('Docketed Comments'!C:C,MATCH(A770,'Docketed Comments'!H:H,0))&amp;", "&amp;INDEX('Docketed Comments'!B:B,MATCH(A770,'Docketed Comments'!H:H,0)),"")</f>
        <v>Adam, Lagerquist</v>
      </c>
      <c r="I770" s="60" t="str">
        <f>IFERROR(INDEX('Docketed Comments'!D:D,MATCH(A770,'Docketed Comments'!H:H,0)),"")</f>
        <v>Peoria</v>
      </c>
      <c r="J770" s="60" t="str">
        <f>IFERROR(INDEX('Docketed Comments'!I:I,MATCH(A770,'Docketed Comments'!H:H,0)),"")</f>
        <v>R3-47</v>
      </c>
      <c r="K770" s="60" t="str">
        <f t="shared" si="23"/>
        <v>✅ On Best Plan</v>
      </c>
      <c r="L770" s="60" t="str">
        <f>IFERROR(INDEX('Docketed Comments'!F:F,MATCH(A770,'Docketed Comments'!H:H,0)),"")</f>
        <v>That's not a reasonable increase!</v>
      </c>
      <c r="M770" s="120" t="str">
        <f>IFERROR(INDEX('Docketed Comments'!G:G,MATCH(A770,'Docketed Comments'!H:H,0)),"")</f>
        <v>https://docket.images.azcc.gov/E000047105.pdf</v>
      </c>
      <c r="N770" s="118" t="str">
        <f>IFERROR(INDEX('Docketed Comments'!N:N,MATCH(A770,'Docketed Comments'!H:H,0)),"")</f>
        <v>No</v>
      </c>
      <c r="O770" s="118" t="str">
        <f>IFERROR(INDEX('Docketed Comments'!L:L,MATCH(A770,'Docketed Comments'!H:H,0)),"")</f>
        <v>Y</v>
      </c>
      <c r="P770" s="119">
        <f t="shared" ref="P770:P833" si="24">IFERROR(IF(ISNUMBER(SEARCH("$",O770)),VALUE(SUBSTITUTE(SUBSTITUTE(MID(O770,FIND("$",O770)+1,FIND(")",O770)-FIND("$",O770)-1),",","")," ","")),VALUE(SUBSTITUTE(SUBSTITUTE(MID(O770,FIND("(",O770)+1,FIND(")",O770)-FIND("(",O770)-1),",","")," ",""))),0)</f>
        <v>0</v>
      </c>
      <c r="Q770" s="60" t="s">
        <v>23</v>
      </c>
      <c r="R770" s="64" t="s">
        <v>24</v>
      </c>
      <c r="S770" s="64" t="s">
        <v>1666</v>
      </c>
    </row>
    <row r="771" spans="1:19" ht="21.95" customHeight="1">
      <c r="A771" s="66" t="s">
        <v>1667</v>
      </c>
      <c r="B771" s="64"/>
      <c r="C771" s="65"/>
      <c r="D771" s="64"/>
      <c r="E771" s="64"/>
      <c r="F771" s="60"/>
      <c r="G771" s="60" t="s">
        <v>88</v>
      </c>
      <c r="H771" s="60" t="str">
        <f>IFERROR(INDEX('Docketed Comments'!C:C,MATCH(A771,'Docketed Comments'!H:H,0))&amp;", "&amp;INDEX('Docketed Comments'!B:B,MATCH(A771,'Docketed Comments'!H:H,0)),"")</f>
        <v>Robert, Rudy</v>
      </c>
      <c r="I771" s="60" t="str">
        <f>IFERROR(INDEX('Docketed Comments'!D:D,MATCH(A771,'Docketed Comments'!H:H,0)),"")</f>
        <v>Goodyear</v>
      </c>
      <c r="J771" s="60" t="str">
        <f>IFERROR(INDEX('Docketed Comments'!I:I,MATCH(A771,'Docketed Comments'!H:H,0)),"")</f>
        <v>EPR-6w/ET-2</v>
      </c>
      <c r="K771" s="60" t="str">
        <f t="shared" ref="K771:K834" si="25">IFERROR(IF(OR(LEFT(O771,2)="No",LEFT(O771,3)="Not"),"❌ Not on Best Plan",IF(OR(O771="Yes",O771="Y",O771="Yes "),"✅ On Best Plan","⚠ "&amp;O771)),"")</f>
        <v>⚠ Frozen Rate</v>
      </c>
      <c r="L771" s="60" t="str">
        <f>IFERROR(INDEX('Docketed Comments'!F:F,MATCH(A771,'Docketed Comments'!H:H,0)),"")</f>
        <v>Major hardship for my family. My solar benefits APS</v>
      </c>
      <c r="M771" s="120" t="str">
        <f>IFERROR(INDEX('Docketed Comments'!G:G,MATCH(A771,'Docketed Comments'!H:H,0)),"")</f>
        <v>https://docket.images.azcc.gov/E000047105.pdf</v>
      </c>
      <c r="N771" s="118" t="str">
        <f>IFERROR(INDEX('Docketed Comments'!N:N,MATCH(A771,'Docketed Comments'!H:H,0)),"")</f>
        <v>No</v>
      </c>
      <c r="O771" s="118" t="str">
        <f>IFERROR(INDEX('Docketed Comments'!L:L,MATCH(A771,'Docketed Comments'!H:H,0)),"")</f>
        <v>Frozen Rate</v>
      </c>
      <c r="P771" s="119">
        <f t="shared" si="24"/>
        <v>0</v>
      </c>
      <c r="Q771" s="60"/>
      <c r="R771" s="64" t="s">
        <v>75</v>
      </c>
      <c r="S771" s="64" t="s">
        <v>1668</v>
      </c>
    </row>
    <row r="772" spans="1:19" ht="21.95" customHeight="1">
      <c r="A772" s="66" t="s">
        <v>1669</v>
      </c>
      <c r="B772" s="64"/>
      <c r="C772" s="65"/>
      <c r="D772" s="64"/>
      <c r="E772" s="64"/>
      <c r="F772" s="60"/>
      <c r="G772" s="60" t="s">
        <v>88</v>
      </c>
      <c r="H772" s="60" t="str">
        <f>IFERROR(INDEX('Docketed Comments'!C:C,MATCH(A772,'Docketed Comments'!H:H,0))&amp;", "&amp;INDEX('Docketed Comments'!B:B,MATCH(A772,'Docketed Comments'!H:H,0)),"")</f>
        <v>Jane, Koval</v>
      </c>
      <c r="I772" s="60" t="str">
        <f>IFERROR(INDEX('Docketed Comments'!D:D,MATCH(A772,'Docketed Comments'!H:H,0)),"")</f>
        <v>Phoenix</v>
      </c>
      <c r="J772" s="60" t="str">
        <f>IFERROR(INDEX('Docketed Comments'!I:I,MATCH(A772,'Docketed Comments'!H:H,0)),"")</f>
        <v>R3-47</v>
      </c>
      <c r="K772" s="60" t="str">
        <f t="shared" si="25"/>
        <v>✅ On Best Plan</v>
      </c>
      <c r="L772" s="60" t="str">
        <f>IFERROR(INDEX('Docketed Comments'!F:F,MATCH(A772,'Docketed Comments'!H:H,0)),"")</f>
        <v>Supports the expansion and updates for energy infrastructure</v>
      </c>
      <c r="M772" s="120" t="str">
        <f>IFERROR(INDEX('Docketed Comments'!G:G,MATCH(A772,'Docketed Comments'!H:H,0)),"")</f>
        <v>https://docket.images.azcc.gov/E000047140.pdf</v>
      </c>
      <c r="N772" s="118" t="str">
        <f>IFERROR(INDEX('Docketed Comments'!N:N,MATCH(A772,'Docketed Comments'!H:H,0)),"")</f>
        <v>No</v>
      </c>
      <c r="O772" s="118" t="str">
        <f>IFERROR(INDEX('Docketed Comments'!L:L,MATCH(A772,'Docketed Comments'!H:H,0)),"")</f>
        <v>Y</v>
      </c>
      <c r="P772" s="119">
        <f t="shared" si="24"/>
        <v>0</v>
      </c>
      <c r="Q772" s="60"/>
      <c r="R772" s="64" t="s">
        <v>75</v>
      </c>
      <c r="S772" s="64" t="s">
        <v>1670</v>
      </c>
    </row>
    <row r="773" spans="1:19" ht="21.95" hidden="1" customHeight="1">
      <c r="A773" s="66" t="s">
        <v>1671</v>
      </c>
      <c r="B773" s="64" t="s">
        <v>31</v>
      </c>
      <c r="C773" s="65">
        <v>46067</v>
      </c>
      <c r="D773" s="64" t="s">
        <v>27</v>
      </c>
      <c r="E773" s="64" t="s">
        <v>22</v>
      </c>
      <c r="F773" s="60" t="s">
        <v>1672</v>
      </c>
      <c r="G773" s="60"/>
      <c r="H773" s="60" t="str">
        <f>IFERROR(INDEX('Docketed Comments'!C:C,MATCH(A773,'Docketed Comments'!H:H,0))&amp;", "&amp;INDEX('Docketed Comments'!B:B,MATCH(A773,'Docketed Comments'!H:H,0)),"")</f>
        <v>Nicholas, Hagen</v>
      </c>
      <c r="I773" s="60" t="str">
        <f>IFERROR(INDEX('Docketed Comments'!D:D,MATCH(A773,'Docketed Comments'!H:H,0)),"")</f>
        <v>Peoria</v>
      </c>
      <c r="J773" s="60" t="str">
        <f>IFERROR(INDEX('Docketed Comments'!I:I,MATCH(A773,'Docketed Comments'!H:H,0)),"")</f>
        <v>R3-47</v>
      </c>
      <c r="K773" s="60" t="str">
        <f t="shared" si="25"/>
        <v>✅ On Best Plan</v>
      </c>
      <c r="L773" s="60" t="str">
        <f>IFERROR(INDEX('Docketed Comments'!F:F,MATCH(A773,'Docketed Comments'!H:H,0)),"")</f>
        <v>Rates are already too high and lack of competition</v>
      </c>
      <c r="M773" s="120" t="str">
        <f>IFERROR(INDEX('Docketed Comments'!G:G,MATCH(A773,'Docketed Comments'!H:H,0)),"")</f>
        <v>https://docket.images.azcc.gov/E000047175.pdf</v>
      </c>
      <c r="N773" s="118" t="str">
        <f>IFERROR(INDEX('Docketed Comments'!N:N,MATCH(A773,'Docketed Comments'!H:H,0)),"")</f>
        <v>No</v>
      </c>
      <c r="O773" s="118" t="str">
        <f>IFERROR(INDEX('Docketed Comments'!L:L,MATCH(A773,'Docketed Comments'!H:H,0)),"")</f>
        <v>Y</v>
      </c>
      <c r="P773" s="119">
        <f t="shared" si="24"/>
        <v>0</v>
      </c>
      <c r="Q773" s="60" t="s">
        <v>23</v>
      </c>
      <c r="R773" s="64" t="s">
        <v>24</v>
      </c>
      <c r="S773" s="124" t="s">
        <v>1673</v>
      </c>
    </row>
    <row r="774" spans="1:19" ht="21.95" customHeight="1">
      <c r="A774" s="66" t="s">
        <v>1674</v>
      </c>
      <c r="B774" s="64"/>
      <c r="C774" s="65"/>
      <c r="D774" s="64"/>
      <c r="E774" s="64"/>
      <c r="F774" s="60"/>
      <c r="G774" s="60" t="s">
        <v>88</v>
      </c>
      <c r="H774" s="60" t="str">
        <f>IFERROR(INDEX('Docketed Comments'!C:C,MATCH(A774,'Docketed Comments'!H:H,0))&amp;", "&amp;INDEX('Docketed Comments'!B:B,MATCH(A774,'Docketed Comments'!H:H,0)),"")</f>
        <v>Michael, Dayton</v>
      </c>
      <c r="I774" s="60" t="str">
        <f>IFERROR(INDEX('Docketed Comments'!D:D,MATCH(A774,'Docketed Comments'!H:H,0)),"")</f>
        <v>Goodyear</v>
      </c>
      <c r="J774" s="60" t="str">
        <f>IFERROR(INDEX('Docketed Comments'!I:I,MATCH(A774,'Docketed Comments'!H:H,0)),"")</f>
        <v>EPR-6w/ET-2</v>
      </c>
      <c r="K774" s="60" t="str">
        <f t="shared" si="25"/>
        <v>⚠ Frozen Rate</v>
      </c>
      <c r="L774" s="60" t="str">
        <f>IFERROR(INDEX('Docketed Comments'!F:F,MATCH(A774,'Docketed Comments'!H:H,0)),"")</f>
        <v>For families like mine, the continued rise in utility costs presents a significant burden.</v>
      </c>
      <c r="M774" s="120" t="str">
        <f>IFERROR(INDEX('Docketed Comments'!G:G,MATCH(A774,'Docketed Comments'!H:H,0)),"")</f>
        <v>https://docket.images.azcc.gov/E000047175.pdf</v>
      </c>
      <c r="N774" s="118" t="str">
        <f>IFERROR(INDEX('Docketed Comments'!N:N,MATCH(A774,'Docketed Comments'!H:H,0)),"")</f>
        <v>No</v>
      </c>
      <c r="O774" s="118" t="str">
        <f>IFERROR(INDEX('Docketed Comments'!L:L,MATCH(A774,'Docketed Comments'!H:H,0)),"")</f>
        <v>Frozen Rate</v>
      </c>
      <c r="P774" s="119">
        <f t="shared" si="24"/>
        <v>0</v>
      </c>
      <c r="Q774" s="60"/>
      <c r="R774" s="64" t="s">
        <v>75</v>
      </c>
      <c r="S774" s="64" t="s">
        <v>1675</v>
      </c>
    </row>
    <row r="775" spans="1:19" ht="21.95" hidden="1" customHeight="1">
      <c r="A775" s="66" t="s">
        <v>1676</v>
      </c>
      <c r="B775" s="64" t="s">
        <v>31</v>
      </c>
      <c r="C775" s="65">
        <v>46067</v>
      </c>
      <c r="D775" s="64" t="s">
        <v>21</v>
      </c>
      <c r="E775" s="64" t="s">
        <v>22</v>
      </c>
      <c r="F775" s="60" t="s">
        <v>60</v>
      </c>
      <c r="G775" s="60"/>
      <c r="H775" s="60" t="str">
        <f>IFERROR(INDEX('Docketed Comments'!C:C,MATCH(A775,'Docketed Comments'!H:H,0))&amp;", "&amp;INDEX('Docketed Comments'!B:B,MATCH(A775,'Docketed Comments'!H:H,0)),"")</f>
        <v>Kourtney, Lawson</v>
      </c>
      <c r="I775" s="60" t="str">
        <f>IFERROR(INDEX('Docketed Comments'!D:D,MATCH(A775,'Docketed Comments'!H:H,0)),"")</f>
        <v>Buckeye</v>
      </c>
      <c r="J775" s="60" t="str">
        <f>IFERROR(INDEX('Docketed Comments'!I:I,MATCH(A775,'Docketed Comments'!H:H,0)),"")</f>
        <v>R3-47</v>
      </c>
      <c r="K775" s="60" t="str">
        <f t="shared" si="25"/>
        <v>✅ On Best Plan</v>
      </c>
      <c r="L775" s="60" t="str">
        <f>IFERROR(INDEX('Docketed Comments'!F:F,MATCH(A775,'Docketed Comments'!H:H,0)),"")</f>
        <v>Form Letter: Enough is enough! You must reject the latest 14% rate hikes by APS and TEP</v>
      </c>
      <c r="M775" s="120" t="str">
        <f>IFERROR(INDEX('Docketed Comments'!G:G,MATCH(A775,'Docketed Comments'!H:H,0)),"")</f>
        <v>https://docket.images.azcc.gov/E000047270.pdf</v>
      </c>
      <c r="N775" s="118" t="str">
        <f>IFERROR(INDEX('Docketed Comments'!N:N,MATCH(A775,'Docketed Comments'!H:H,0)),"")</f>
        <v>No</v>
      </c>
      <c r="O775" s="118" t="str">
        <f>IFERROR(INDEX('Docketed Comments'!L:L,MATCH(A775,'Docketed Comments'!H:H,0)),"")</f>
        <v>Y</v>
      </c>
      <c r="P775" s="119">
        <f t="shared" si="24"/>
        <v>0</v>
      </c>
      <c r="Q775" s="60" t="s">
        <v>23</v>
      </c>
      <c r="R775" s="64" t="s">
        <v>24</v>
      </c>
      <c r="S775" s="124" t="s">
        <v>1677</v>
      </c>
    </row>
    <row r="776" spans="1:19" ht="21.95" customHeight="1">
      <c r="A776" s="66" t="s">
        <v>1678</v>
      </c>
      <c r="B776" s="64"/>
      <c r="C776" s="65"/>
      <c r="D776" s="64"/>
      <c r="E776" s="64"/>
      <c r="F776" s="60"/>
      <c r="G776" s="60" t="s">
        <v>88</v>
      </c>
      <c r="H776" s="60" t="str">
        <f>IFERROR(INDEX('Docketed Comments'!C:C,MATCH(A776,'Docketed Comments'!H:H,0))&amp;", "&amp;INDEX('Docketed Comments'!B:B,MATCH(A776,'Docketed Comments'!H:H,0)),"")</f>
        <v>Vince, Gaietto</v>
      </c>
      <c r="I776" s="60" t="str">
        <f>IFERROR(INDEX('Docketed Comments'!D:D,MATCH(A776,'Docketed Comments'!H:H,0)),"")</f>
        <v>Surprise</v>
      </c>
      <c r="J776" s="60" t="str">
        <f>IFERROR(INDEX('Docketed Comments'!I:I,MATCH(A776,'Docketed Comments'!H:H,0)),"")</f>
        <v>R3-47</v>
      </c>
      <c r="K776" s="60" t="str">
        <f t="shared" si="25"/>
        <v>✅ On Best Plan</v>
      </c>
      <c r="L776" s="60" t="str">
        <f>IFERROR(INDEX('Docketed Comments'!F:F,MATCH(A776,'Docketed Comments'!H:H,0)),"")</f>
        <v>Form Letter: Enough is enough! You must reject the latest 14% rate hikes by APS and TEP</v>
      </c>
      <c r="M776" s="120" t="str">
        <f>IFERROR(INDEX('Docketed Comments'!G:G,MATCH(A776,'Docketed Comments'!H:H,0)),"")</f>
        <v>https://docket.images.azcc.gov/E000047270.pdf</v>
      </c>
      <c r="N776" s="118" t="str">
        <f>IFERROR(INDEX('Docketed Comments'!N:N,MATCH(A776,'Docketed Comments'!H:H,0)),"")</f>
        <v>No</v>
      </c>
      <c r="O776" s="118" t="str">
        <f>IFERROR(INDEX('Docketed Comments'!L:L,MATCH(A776,'Docketed Comments'!H:H,0)),"")</f>
        <v>Y</v>
      </c>
      <c r="P776" s="119">
        <f t="shared" si="24"/>
        <v>0</v>
      </c>
      <c r="Q776" s="60"/>
      <c r="R776" s="64" t="s">
        <v>75</v>
      </c>
      <c r="S776" s="64" t="s">
        <v>1679</v>
      </c>
    </row>
    <row r="777" spans="1:19" ht="21.95" customHeight="1">
      <c r="A777" s="66" t="s">
        <v>1680</v>
      </c>
      <c r="B777" s="64"/>
      <c r="C777" s="65"/>
      <c r="D777" s="64"/>
      <c r="E777" s="64"/>
      <c r="F777" s="60"/>
      <c r="G777" s="60" t="s">
        <v>88</v>
      </c>
      <c r="H777" s="60" t="str">
        <f>IFERROR(INDEX('Docketed Comments'!C:C,MATCH(A777,'Docketed Comments'!H:H,0))&amp;", "&amp;INDEX('Docketed Comments'!B:B,MATCH(A777,'Docketed Comments'!H:H,0)),"")</f>
        <v>Susie, Marino</v>
      </c>
      <c r="I777" s="60" t="str">
        <f>IFERROR(INDEX('Docketed Comments'!D:D,MATCH(A777,'Docketed Comments'!H:H,0)),"")</f>
        <v>Surprise</v>
      </c>
      <c r="J777" s="60" t="str">
        <f>IFERROR(INDEX('Docketed Comments'!I:I,MATCH(A777,'Docketed Comments'!H:H,0)),"")</f>
        <v>R-2</v>
      </c>
      <c r="K777" s="60" t="str">
        <f t="shared" si="25"/>
        <v>⚠ Frozen Rate</v>
      </c>
      <c r="L777" s="60" t="str">
        <f>IFERROR(INDEX('Docketed Comments'!F:F,MATCH(A777,'Docketed Comments'!H:H,0)),"")</f>
        <v>Form Letter: Enough is enough! You must reject the latest 14% rate hikes by APS and TEP</v>
      </c>
      <c r="M777" s="120" t="str">
        <f>IFERROR(INDEX('Docketed Comments'!G:G,MATCH(A777,'Docketed Comments'!H:H,0)),"")</f>
        <v>https://docket.images.azcc.gov/E000047270.pdf</v>
      </c>
      <c r="N777" s="118" t="str">
        <f>IFERROR(INDEX('Docketed Comments'!N:N,MATCH(A777,'Docketed Comments'!H:H,0)),"")</f>
        <v>No</v>
      </c>
      <c r="O777" s="118" t="str">
        <f>IFERROR(INDEX('Docketed Comments'!L:L,MATCH(A777,'Docketed Comments'!H:H,0)),"")</f>
        <v>Frozen Rate</v>
      </c>
      <c r="P777" s="119">
        <f t="shared" si="24"/>
        <v>0</v>
      </c>
      <c r="Q777" s="60"/>
      <c r="R777" s="64" t="s">
        <v>75</v>
      </c>
      <c r="S777" s="64" t="s">
        <v>1681</v>
      </c>
    </row>
    <row r="778" spans="1:19" ht="21.95" hidden="1" customHeight="1">
      <c r="A778" s="66" t="s">
        <v>1682</v>
      </c>
      <c r="B778" s="64" t="s">
        <v>31</v>
      </c>
      <c r="C778" s="65">
        <v>46067</v>
      </c>
      <c r="D778" s="64" t="s">
        <v>27</v>
      </c>
      <c r="E778" s="64" t="s">
        <v>22</v>
      </c>
      <c r="F778" s="60" t="s">
        <v>253</v>
      </c>
      <c r="G778" s="60"/>
      <c r="H778" s="60" t="str">
        <f>IFERROR(INDEX('Docketed Comments'!C:C,MATCH(A778,'Docketed Comments'!H:H,0))&amp;", "&amp;INDEX('Docketed Comments'!B:B,MATCH(A778,'Docketed Comments'!H:H,0)),"")</f>
        <v>Kristen, Hughes</v>
      </c>
      <c r="I778" s="60" t="str">
        <f>IFERROR(INDEX('Docketed Comments'!D:D,MATCH(A778,'Docketed Comments'!H:H,0)),"")</f>
        <v>Phoenix</v>
      </c>
      <c r="J778" s="60" t="str">
        <f>IFERROR(INDEX('Docketed Comments'!I:I,MATCH(A778,'Docketed Comments'!H:H,0)),"")</f>
        <v>R-XS</v>
      </c>
      <c r="K778" s="60" t="str">
        <f t="shared" si="25"/>
        <v>✅ On Best Plan</v>
      </c>
      <c r="L778" s="60" t="str">
        <f>IFERROR(INDEX('Docketed Comments'!F:F,MATCH(A778,'Docketed Comments'!H:H,0)),"")</f>
        <v>Form Letter: Enough is enough! You must reject the latest 14% rate hikes by APS and TEP</v>
      </c>
      <c r="M778" s="120" t="str">
        <f>IFERROR(INDEX('Docketed Comments'!G:G,MATCH(A778,'Docketed Comments'!H:H,0)),"")</f>
        <v>https://docket.images.azcc.gov/E000047255.pdf</v>
      </c>
      <c r="N778" s="118" t="str">
        <f>IFERROR(INDEX('Docketed Comments'!N:N,MATCH(A778,'Docketed Comments'!H:H,0)),"")</f>
        <v>No</v>
      </c>
      <c r="O778" s="118" t="str">
        <f>IFERROR(INDEX('Docketed Comments'!L:L,MATCH(A778,'Docketed Comments'!H:H,0)),"")</f>
        <v>Y</v>
      </c>
      <c r="P778" s="119">
        <f t="shared" si="24"/>
        <v>0</v>
      </c>
      <c r="Q778" s="60" t="s">
        <v>23</v>
      </c>
      <c r="R778" s="64" t="s">
        <v>24</v>
      </c>
      <c r="S778" s="64" t="s">
        <v>1683</v>
      </c>
    </row>
    <row r="779" spans="1:19" ht="21.95" customHeight="1">
      <c r="A779" s="66" t="s">
        <v>1684</v>
      </c>
      <c r="B779" s="64"/>
      <c r="C779" s="65"/>
      <c r="D779" s="64"/>
      <c r="E779" s="64"/>
      <c r="F779" s="60"/>
      <c r="G779" s="60" t="s">
        <v>88</v>
      </c>
      <c r="H779" s="60" t="str">
        <f>IFERROR(INDEX('Docketed Comments'!C:C,MATCH(A779,'Docketed Comments'!H:H,0))&amp;", "&amp;INDEX('Docketed Comments'!B:B,MATCH(A779,'Docketed Comments'!H:H,0)),"")</f>
        <v>Russell, Jaffe</v>
      </c>
      <c r="I779" s="60" t="str">
        <f>IFERROR(INDEX('Docketed Comments'!D:D,MATCH(A779,'Docketed Comments'!H:H,0)),"")</f>
        <v>Buckeye</v>
      </c>
      <c r="J779" s="60" t="str">
        <f>IFERROR(INDEX('Docketed Comments'!I:I,MATCH(A779,'Docketed Comments'!H:H,0)),"")</f>
        <v>R3-47</v>
      </c>
      <c r="K779" s="60" t="str">
        <f t="shared" si="25"/>
        <v>✅ On Best Plan</v>
      </c>
      <c r="L779" s="60" t="str">
        <f>IFERROR(INDEX('Docketed Comments'!F:F,MATCH(A779,'Docketed Comments'!H:H,0)),"")</f>
        <v>This is an insane request in these challenging times</v>
      </c>
      <c r="M779" s="120" t="str">
        <f>IFERROR(INDEX('Docketed Comments'!G:G,MATCH(A779,'Docketed Comments'!H:H,0)),"")</f>
        <v>https://docket.images.azcc.gov/E000047250.pdf</v>
      </c>
      <c r="N779" s="118" t="str">
        <f>IFERROR(INDEX('Docketed Comments'!N:N,MATCH(A779,'Docketed Comments'!H:H,0)),"")</f>
        <v>No</v>
      </c>
      <c r="O779" s="118" t="str">
        <f>IFERROR(INDEX('Docketed Comments'!L:L,MATCH(A779,'Docketed Comments'!H:H,0)),"")</f>
        <v>Y</v>
      </c>
      <c r="P779" s="119">
        <f t="shared" si="24"/>
        <v>0</v>
      </c>
      <c r="Q779" s="60"/>
      <c r="R779" s="64" t="s">
        <v>75</v>
      </c>
      <c r="S779" s="64" t="s">
        <v>1685</v>
      </c>
    </row>
    <row r="780" spans="1:19" ht="21.95" hidden="1" customHeight="1">
      <c r="A780" s="66" t="s">
        <v>1686</v>
      </c>
      <c r="B780" s="64" t="s">
        <v>31</v>
      </c>
      <c r="C780" s="65">
        <v>46067</v>
      </c>
      <c r="D780" s="64" t="s">
        <v>21</v>
      </c>
      <c r="E780" s="64" t="s">
        <v>22</v>
      </c>
      <c r="F780" s="60" t="s">
        <v>60</v>
      </c>
      <c r="G780" s="60"/>
      <c r="H780" s="60" t="str">
        <f>IFERROR(INDEX('Docketed Comments'!C:C,MATCH(A780,'Docketed Comments'!H:H,0))&amp;", "&amp;INDEX('Docketed Comments'!B:B,MATCH(A780,'Docketed Comments'!H:H,0)),"")</f>
        <v>Katie, Allen</v>
      </c>
      <c r="I780" s="60" t="str">
        <f>IFERROR(INDEX('Docketed Comments'!D:D,MATCH(A780,'Docketed Comments'!H:H,0)),"")</f>
        <v>Phoenix</v>
      </c>
      <c r="J780" s="60" t="str">
        <f>IFERROR(INDEX('Docketed Comments'!I:I,MATCH(A780,'Docketed Comments'!H:H,0)),"")</f>
        <v>EPR-6w/E-12</v>
      </c>
      <c r="K780" s="60" t="str">
        <f t="shared" si="25"/>
        <v>⚠ Frozen Rate</v>
      </c>
      <c r="L780" s="60" t="str">
        <f>IFERROR(INDEX('Docketed Comments'!F:F,MATCH(A780,'Docketed Comments'!H:H,0)),"")</f>
        <v>Form Letter: Enough is enough! You must reject the latest 14% rate hikes by APS and TEP</v>
      </c>
      <c r="M780" s="120" t="str">
        <f>IFERROR(INDEX('Docketed Comments'!G:G,MATCH(A780,'Docketed Comments'!H:H,0)),"")</f>
        <v>https://docket.images.azcc.gov/E000047297.pdf</v>
      </c>
      <c r="N780" s="118" t="str">
        <f>IFERROR(INDEX('Docketed Comments'!N:N,MATCH(A780,'Docketed Comments'!H:H,0)),"")</f>
        <v>No</v>
      </c>
      <c r="O780" s="118" t="str">
        <f>IFERROR(INDEX('Docketed Comments'!L:L,MATCH(A780,'Docketed Comments'!H:H,0)),"")</f>
        <v>Frozen Rate</v>
      </c>
      <c r="P780" s="119">
        <f t="shared" si="24"/>
        <v>0</v>
      </c>
      <c r="Q780" s="60" t="s">
        <v>23</v>
      </c>
      <c r="R780" s="64" t="s">
        <v>24</v>
      </c>
      <c r="S780" s="64" t="s">
        <v>1687</v>
      </c>
    </row>
    <row r="781" spans="1:19" ht="21.95" customHeight="1">
      <c r="A781" s="66" t="s">
        <v>1688</v>
      </c>
      <c r="B781" s="64"/>
      <c r="C781" s="65"/>
      <c r="D781" s="64"/>
      <c r="E781" s="64"/>
      <c r="F781" s="60"/>
      <c r="G781" s="60" t="s">
        <v>88</v>
      </c>
      <c r="H781" s="60" t="str">
        <f>IFERROR(INDEX('Docketed Comments'!C:C,MATCH(A781,'Docketed Comments'!H:H,0))&amp;", "&amp;INDEX('Docketed Comments'!B:B,MATCH(A781,'Docketed Comments'!H:H,0)),"")</f>
        <v>Felicia, Anderson</v>
      </c>
      <c r="I781" s="60" t="str">
        <f>IFERROR(INDEX('Docketed Comments'!D:D,MATCH(A781,'Docketed Comments'!H:H,0)),"")</f>
        <v>Coolidge</v>
      </c>
      <c r="J781" s="60" t="str">
        <f>IFERROR(INDEX('Docketed Comments'!I:I,MATCH(A781,'Docketed Comments'!H:H,0)),"")</f>
        <v>R3-47</v>
      </c>
      <c r="K781" s="60" t="str">
        <f t="shared" si="25"/>
        <v>✅ On Best Plan</v>
      </c>
      <c r="L781" s="60" t="str">
        <f>IFERROR(INDEX('Docketed Comments'!F:F,MATCH(A781,'Docketed Comments'!H:H,0)),"")</f>
        <v>Form Letter: Enough is enough! You must reject the latest 14% rate hikes by APS and TEP</v>
      </c>
      <c r="M781" s="120" t="str">
        <f>IFERROR(INDEX('Docketed Comments'!G:G,MATCH(A781,'Docketed Comments'!H:H,0)),"")</f>
        <v>https://docket.images.azcc.gov/E000047297.pdf</v>
      </c>
      <c r="N781" s="118" t="str">
        <f>IFERROR(INDEX('Docketed Comments'!N:N,MATCH(A781,'Docketed Comments'!H:H,0)),"")</f>
        <v>No</v>
      </c>
      <c r="O781" s="118" t="str">
        <f>IFERROR(INDEX('Docketed Comments'!L:L,MATCH(A781,'Docketed Comments'!H:H,0)),"")</f>
        <v>Y</v>
      </c>
      <c r="P781" s="119">
        <f t="shared" si="24"/>
        <v>0</v>
      </c>
      <c r="Q781" s="60"/>
      <c r="R781" s="64" t="s">
        <v>75</v>
      </c>
      <c r="S781" s="64" t="s">
        <v>1689</v>
      </c>
    </row>
    <row r="782" spans="1:19" ht="21.95" hidden="1" customHeight="1">
      <c r="A782" s="66" t="s">
        <v>1690</v>
      </c>
      <c r="B782" s="64" t="s">
        <v>31</v>
      </c>
      <c r="C782" s="65">
        <v>46067</v>
      </c>
      <c r="D782" s="64" t="s">
        <v>21</v>
      </c>
      <c r="E782" s="64" t="s">
        <v>22</v>
      </c>
      <c r="F782" s="60" t="s">
        <v>60</v>
      </c>
      <c r="G782" s="60"/>
      <c r="H782" s="60" t="str">
        <f>IFERROR(INDEX('Docketed Comments'!C:C,MATCH(A782,'Docketed Comments'!H:H,0))&amp;", "&amp;INDEX('Docketed Comments'!B:B,MATCH(A782,'Docketed Comments'!H:H,0)),"")</f>
        <v>Madison, Johnson</v>
      </c>
      <c r="I782" s="60" t="str">
        <f>IFERROR(INDEX('Docketed Comments'!D:D,MATCH(A782,'Docketed Comments'!H:H,0)),"")</f>
        <v>Peoria</v>
      </c>
      <c r="J782" s="60" t="str">
        <f>IFERROR(INDEX('Docketed Comments'!I:I,MATCH(A782,'Docketed Comments'!H:H,0)),"")</f>
        <v>R3-47</v>
      </c>
      <c r="K782" s="60" t="str">
        <f t="shared" si="25"/>
        <v>✅ On Best Plan</v>
      </c>
      <c r="L782" s="60" t="str">
        <f>IFERROR(INDEX('Docketed Comments'!F:F,MATCH(A782,'Docketed Comments'!H:H,0)),"")</f>
        <v>Form Letter: Enough is enough! You must reject the latest 14% rate hikes by APS and TEP</v>
      </c>
      <c r="M782" s="120" t="str">
        <f>IFERROR(INDEX('Docketed Comments'!G:G,MATCH(A782,'Docketed Comments'!H:H,0)),"")</f>
        <v>https://docket.images.azcc.gov/E000047297.pdf</v>
      </c>
      <c r="N782" s="118" t="str">
        <f>IFERROR(INDEX('Docketed Comments'!N:N,MATCH(A782,'Docketed Comments'!H:H,0)),"")</f>
        <v>No</v>
      </c>
      <c r="O782" s="118" t="str">
        <f>IFERROR(INDEX('Docketed Comments'!L:L,MATCH(A782,'Docketed Comments'!H:H,0)),"")</f>
        <v>Y</v>
      </c>
      <c r="P782" s="119">
        <f t="shared" si="24"/>
        <v>0</v>
      </c>
      <c r="Q782" s="60" t="s">
        <v>23</v>
      </c>
      <c r="R782" s="64" t="s">
        <v>24</v>
      </c>
      <c r="S782" s="64" t="s">
        <v>1691</v>
      </c>
    </row>
    <row r="783" spans="1:19" ht="21.95" customHeight="1">
      <c r="A783" s="66" t="s">
        <v>1692</v>
      </c>
      <c r="B783" s="64"/>
      <c r="C783" s="65"/>
      <c r="D783" s="64"/>
      <c r="E783" s="64"/>
      <c r="F783" s="60"/>
      <c r="G783" s="60" t="s">
        <v>88</v>
      </c>
      <c r="H783" s="60" t="str">
        <f>IFERROR(INDEX('Docketed Comments'!C:C,MATCH(A783,'Docketed Comments'!H:H,0))&amp;", "&amp;INDEX('Docketed Comments'!B:B,MATCH(A783,'Docketed Comments'!H:H,0)),"")</f>
        <v>Alexandria, Medina</v>
      </c>
      <c r="I783" s="60" t="str">
        <f>IFERROR(INDEX('Docketed Comments'!D:D,MATCH(A783,'Docketed Comments'!H:H,0)),"")</f>
        <v>Buckeye</v>
      </c>
      <c r="J783" s="60" t="str">
        <f>IFERROR(INDEX('Docketed Comments'!I:I,MATCH(A783,'Docketed Comments'!H:H,0)),"")</f>
        <v>ER-6w/ET-2</v>
      </c>
      <c r="K783" s="60" t="str">
        <f t="shared" si="25"/>
        <v>⚠ Frozen Rate</v>
      </c>
      <c r="L783" s="60" t="str">
        <f>IFERROR(INDEX('Docketed Comments'!F:F,MATCH(A783,'Docketed Comments'!H:H,0)),"")</f>
        <v>Form Letter: Enough is enough! You must reject the latest 14% rate hikes by APS and TEP</v>
      </c>
      <c r="M783" s="120" t="str">
        <f>IFERROR(INDEX('Docketed Comments'!G:G,MATCH(A783,'Docketed Comments'!H:H,0)),"")</f>
        <v>https://docket.images.azcc.gov/E000047297.pdf</v>
      </c>
      <c r="N783" s="118" t="str">
        <f>IFERROR(INDEX('Docketed Comments'!N:N,MATCH(A783,'Docketed Comments'!H:H,0)),"")</f>
        <v>No</v>
      </c>
      <c r="O783" s="118" t="str">
        <f>IFERROR(INDEX('Docketed Comments'!L:L,MATCH(A783,'Docketed Comments'!H:H,0)),"")</f>
        <v>Frozen Rate</v>
      </c>
      <c r="P783" s="119">
        <f t="shared" si="24"/>
        <v>0</v>
      </c>
      <c r="Q783" s="60"/>
      <c r="R783" s="64" t="s">
        <v>75</v>
      </c>
      <c r="S783" s="64" t="s">
        <v>1693</v>
      </c>
    </row>
    <row r="784" spans="1:19" ht="21.95" hidden="1" customHeight="1">
      <c r="A784" s="66" t="s">
        <v>1694</v>
      </c>
      <c r="B784" s="64" t="s">
        <v>31</v>
      </c>
      <c r="C784" s="65">
        <v>46067</v>
      </c>
      <c r="D784" s="64" t="s">
        <v>21</v>
      </c>
      <c r="E784" s="64" t="s">
        <v>22</v>
      </c>
      <c r="F784" s="60" t="s">
        <v>60</v>
      </c>
      <c r="G784" s="60"/>
      <c r="H784" s="60" t="str">
        <f>IFERROR(INDEX('Docketed Comments'!C:C,MATCH(A784,'Docketed Comments'!H:H,0))&amp;", "&amp;INDEX('Docketed Comments'!B:B,MATCH(A784,'Docketed Comments'!H:H,0)),"")</f>
        <v>Nathan, Fisher</v>
      </c>
      <c r="I784" s="60" t="str">
        <f>IFERROR(INDEX('Docketed Comments'!D:D,MATCH(A784,'Docketed Comments'!H:H,0)),"")</f>
        <v>Phoenix</v>
      </c>
      <c r="J784" s="60" t="str">
        <f>IFERROR(INDEX('Docketed Comments'!I:I,MATCH(A784,'Docketed Comments'!H:H,0)),"")</f>
        <v>R3-47</v>
      </c>
      <c r="K784" s="60" t="str">
        <f t="shared" si="25"/>
        <v>✅ On Best Plan</v>
      </c>
      <c r="L784" s="60" t="str">
        <f>IFERROR(INDEX('Docketed Comments'!F:F,MATCH(A784,'Docketed Comments'!H:H,0)),"")</f>
        <v>16% increase is egregious</v>
      </c>
      <c r="M784" s="120" t="str">
        <f>IFERROR(INDEX('Docketed Comments'!G:G,MATCH(A784,'Docketed Comments'!H:H,0)),"")</f>
        <v>https://docket.images.azcc.gov/E000047324.pdf</v>
      </c>
      <c r="N784" s="118" t="str">
        <f>IFERROR(INDEX('Docketed Comments'!N:N,MATCH(A784,'Docketed Comments'!H:H,0)),"")</f>
        <v>No</v>
      </c>
      <c r="O784" s="118" t="str">
        <f>IFERROR(INDEX('Docketed Comments'!L:L,MATCH(A784,'Docketed Comments'!H:H,0)),"")</f>
        <v>Yes</v>
      </c>
      <c r="P784" s="119">
        <f t="shared" si="24"/>
        <v>0</v>
      </c>
      <c r="Q784" s="60" t="s">
        <v>23</v>
      </c>
      <c r="R784" s="64" t="s">
        <v>24</v>
      </c>
      <c r="S784" s="64" t="s">
        <v>1695</v>
      </c>
    </row>
    <row r="785" spans="1:19" ht="21.95" customHeight="1">
      <c r="A785" s="66" t="s">
        <v>1696</v>
      </c>
      <c r="B785" s="64"/>
      <c r="C785" s="65"/>
      <c r="D785" s="64"/>
      <c r="E785" s="64"/>
      <c r="F785" s="60"/>
      <c r="G785" s="60" t="s">
        <v>88</v>
      </c>
      <c r="H785" s="60" t="str">
        <f>IFERROR(INDEX('Docketed Comments'!C:C,MATCH(A785,'Docketed Comments'!H:H,0))&amp;", "&amp;INDEX('Docketed Comments'!B:B,MATCH(A785,'Docketed Comments'!H:H,0)),"")</f>
        <v>Michael, Sundell</v>
      </c>
      <c r="I785" s="60" t="str">
        <f>IFERROR(INDEX('Docketed Comments'!D:D,MATCH(A785,'Docketed Comments'!H:H,0)),"")</f>
        <v>Sun City West</v>
      </c>
      <c r="J785" s="60" t="str">
        <f>IFERROR(INDEX('Docketed Comments'!I:I,MATCH(A785,'Docketed Comments'!H:H,0)),"")</f>
        <v>R-2</v>
      </c>
      <c r="K785" s="60" t="str">
        <f t="shared" si="25"/>
        <v>⚠ Frozen Rate</v>
      </c>
      <c r="L785" s="60" t="str">
        <f>IFERROR(INDEX('Docketed Comments'!F:F,MATCH(A785,'Docketed Comments'!H:H,0)),"")</f>
        <v>As a senior citizen, this rate increase request will directly affect my financial situation.</v>
      </c>
      <c r="M785" s="120" t="str">
        <f>IFERROR(INDEX('Docketed Comments'!G:G,MATCH(A785,'Docketed Comments'!H:H,0)),"")</f>
        <v>https://docket.images.azcc.gov/0000215502.pdf</v>
      </c>
      <c r="N785" s="118" t="str">
        <f>IFERROR(INDEX('Docketed Comments'!N:N,MATCH(A785,'Docketed Comments'!H:H,0)),"")</f>
        <v>No</v>
      </c>
      <c r="O785" s="118" t="str">
        <f>IFERROR(INDEX('Docketed Comments'!L:L,MATCH(A785,'Docketed Comments'!H:H,0)),"")</f>
        <v>Frozen Rate</v>
      </c>
      <c r="P785" s="119">
        <f t="shared" si="24"/>
        <v>0</v>
      </c>
      <c r="Q785" s="60"/>
      <c r="R785" s="64" t="s">
        <v>75</v>
      </c>
      <c r="S785" s="64" t="s">
        <v>1697</v>
      </c>
    </row>
    <row r="786" spans="1:19" ht="21.95" hidden="1" customHeight="1">
      <c r="A786" s="66" t="s">
        <v>1698</v>
      </c>
      <c r="B786" s="64" t="s">
        <v>31</v>
      </c>
      <c r="C786" s="65">
        <v>46067</v>
      </c>
      <c r="D786" s="64" t="s">
        <v>27</v>
      </c>
      <c r="E786" s="64" t="s">
        <v>35</v>
      </c>
      <c r="F786" s="60"/>
      <c r="G786" s="60"/>
      <c r="H786" s="60" t="str">
        <f>IFERROR(INDEX('Docketed Comments'!C:C,MATCH(A786,'Docketed Comments'!H:H,0))&amp;", "&amp;INDEX('Docketed Comments'!B:B,MATCH(A786,'Docketed Comments'!H:H,0)),"")</f>
        <v>Carol, Stines</v>
      </c>
      <c r="I786" s="60" t="str">
        <f>IFERROR(INDEX('Docketed Comments'!D:D,MATCH(A786,'Docketed Comments'!H:H,0)),"")</f>
        <v>Unknown</v>
      </c>
      <c r="J786" s="60" t="str">
        <f>IFERROR(INDEX('Docketed Comments'!I:I,MATCH(A786,'Docketed Comments'!H:H,0)),"")</f>
        <v>R-BASIC</v>
      </c>
      <c r="K786" s="60" t="str">
        <f t="shared" si="25"/>
        <v>✅ On Best Plan</v>
      </c>
      <c r="L786" s="60" t="str">
        <f>IFERROR(INDEX('Docketed Comments'!F:F,MATCH(A786,'Docketed Comments'!H:H,0)),"")</f>
        <v>Stop net zero plans</v>
      </c>
      <c r="M786" s="120" t="str">
        <f>IFERROR(INDEX('Docketed Comments'!G:G,MATCH(A786,'Docketed Comments'!H:H,0)),"")</f>
        <v>https://docket.images.azcc.gov/E000047338.pdf</v>
      </c>
      <c r="N786" s="118" t="str">
        <f>IFERROR(INDEX('Docketed Comments'!N:N,MATCH(A786,'Docketed Comments'!H:H,0)),"")</f>
        <v>No</v>
      </c>
      <c r="O786" s="118" t="str">
        <f>IFERROR(INDEX('Docketed Comments'!L:L,MATCH(A786,'Docketed Comments'!H:H,0)),"")</f>
        <v>Yes</v>
      </c>
      <c r="P786" s="119">
        <f t="shared" si="24"/>
        <v>0</v>
      </c>
      <c r="Q786" s="60" t="s">
        <v>23</v>
      </c>
      <c r="R786" s="64" t="s">
        <v>24</v>
      </c>
      <c r="S786" s="64" t="s">
        <v>1699</v>
      </c>
    </row>
    <row r="787" spans="1:19" ht="21.95" customHeight="1">
      <c r="A787" s="66" t="s">
        <v>1700</v>
      </c>
      <c r="B787" s="64"/>
      <c r="C787" s="65"/>
      <c r="D787" s="64"/>
      <c r="E787" s="64"/>
      <c r="F787" s="60"/>
      <c r="G787" s="60" t="s">
        <v>88</v>
      </c>
      <c r="H787" s="60" t="str">
        <f>IFERROR(INDEX('Docketed Comments'!C:C,MATCH(A787,'Docketed Comments'!H:H,0))&amp;", "&amp;INDEX('Docketed Comments'!B:B,MATCH(A787,'Docketed Comments'!H:H,0)),"")</f>
        <v>Greg, Thompson</v>
      </c>
      <c r="I787" s="60" t="str">
        <f>IFERROR(INDEX('Docketed Comments'!D:D,MATCH(A787,'Docketed Comments'!H:H,0)),"")</f>
        <v>Glendale</v>
      </c>
      <c r="J787" s="60" t="str">
        <f>IFERROR(INDEX('Docketed Comments'!I:I,MATCH(A787,'Docketed Comments'!H:H,0)),"")</f>
        <v>RCPw/RTOUE47</v>
      </c>
      <c r="K787" s="60" t="str">
        <f t="shared" si="25"/>
        <v>✅ On Best Plan</v>
      </c>
      <c r="L787" s="60" t="str">
        <f>IFERROR(INDEX('Docketed Comments'!F:F,MATCH(A787,'Docketed Comments'!H:H,0)),"")</f>
        <v>Form Letter: Enough is enough! You must reject the latest 14% rate hikes by APS and TEP</v>
      </c>
      <c r="M787" s="120" t="str">
        <f>IFERROR(INDEX('Docketed Comments'!G:G,MATCH(A787,'Docketed Comments'!H:H,0)),"")</f>
        <v>https://docket.images.azcc.gov/E000047365.pdf</v>
      </c>
      <c r="N787" s="118" t="str">
        <f>IFERROR(INDEX('Docketed Comments'!N:N,MATCH(A787,'Docketed Comments'!H:H,0)),"")</f>
        <v>No</v>
      </c>
      <c r="O787" s="118" t="str">
        <f>IFERROR(INDEX('Docketed Comments'!L:L,MATCH(A787,'Docketed Comments'!H:H,0)),"")</f>
        <v>Yes</v>
      </c>
      <c r="P787" s="119">
        <f t="shared" si="24"/>
        <v>0</v>
      </c>
      <c r="Q787" s="60"/>
      <c r="R787" s="64" t="s">
        <v>75</v>
      </c>
      <c r="S787" s="64" t="s">
        <v>1701</v>
      </c>
    </row>
    <row r="788" spans="1:19" ht="21.95" hidden="1" customHeight="1">
      <c r="A788" s="66" t="s">
        <v>1702</v>
      </c>
      <c r="B788" s="64" t="s">
        <v>31</v>
      </c>
      <c r="C788" s="65">
        <v>46067</v>
      </c>
      <c r="D788" s="64" t="s">
        <v>21</v>
      </c>
      <c r="E788" s="64" t="s">
        <v>22</v>
      </c>
      <c r="F788" s="60" t="s">
        <v>60</v>
      </c>
      <c r="G788" s="60"/>
      <c r="H788" s="60" t="str">
        <f>IFERROR(INDEX('Docketed Comments'!C:C,MATCH(A788,'Docketed Comments'!H:H,0))&amp;", "&amp;INDEX('Docketed Comments'!B:B,MATCH(A788,'Docketed Comments'!H:H,0)),"")</f>
        <v>Richard, Nacinovich</v>
      </c>
      <c r="I788" s="60" t="str">
        <f>IFERROR(INDEX('Docketed Comments'!D:D,MATCH(A788,'Docketed Comments'!H:H,0)),"")</f>
        <v>Phoenix</v>
      </c>
      <c r="J788" s="60" t="str">
        <f>IFERROR(INDEX('Docketed Comments'!I:I,MATCH(A788,'Docketed Comments'!H:H,0)),"")</f>
        <v>R3-47</v>
      </c>
      <c r="K788" s="60" t="str">
        <f t="shared" si="25"/>
        <v>✅ On Best Plan</v>
      </c>
      <c r="L788" s="60" t="str">
        <f>IFERROR(INDEX('Docketed Comments'!F:F,MATCH(A788,'Docketed Comments'!H:H,0)),"")</f>
        <v>reject this proposed rate increase and to ensure that the financial responsibility for new grid demand falls on the businesses creating i</v>
      </c>
      <c r="M788" s="120" t="str">
        <f>IFERROR(INDEX('Docketed Comments'!G:G,MATCH(A788,'Docketed Comments'!H:H,0)),"")</f>
        <v>https://docket.images.azcc.gov/E000047365.pdf</v>
      </c>
      <c r="N788" s="118" t="str">
        <f>IFERROR(INDEX('Docketed Comments'!N:N,MATCH(A788,'Docketed Comments'!H:H,0)),"")</f>
        <v>No</v>
      </c>
      <c r="O788" s="118" t="str">
        <f>IFERROR(INDEX('Docketed Comments'!L:L,MATCH(A788,'Docketed Comments'!H:H,0)),"")</f>
        <v>Yes</v>
      </c>
      <c r="P788" s="119">
        <f t="shared" si="24"/>
        <v>0</v>
      </c>
      <c r="Q788" s="60" t="s">
        <v>23</v>
      </c>
      <c r="R788" s="64" t="s">
        <v>24</v>
      </c>
      <c r="S788" s="64" t="s">
        <v>1703</v>
      </c>
    </row>
    <row r="789" spans="1:19" ht="21.95" customHeight="1">
      <c r="A789" s="66" t="s">
        <v>1704</v>
      </c>
      <c r="B789" s="64"/>
      <c r="C789" s="65"/>
      <c r="D789" s="64"/>
      <c r="E789" s="64"/>
      <c r="F789" s="60"/>
      <c r="G789" s="60" t="s">
        <v>88</v>
      </c>
      <c r="H789" s="60" t="str">
        <f>IFERROR(INDEX('Docketed Comments'!C:C,MATCH(A789,'Docketed Comments'!H:H,0))&amp;", "&amp;INDEX('Docketed Comments'!B:B,MATCH(A789,'Docketed Comments'!H:H,0)),"")</f>
        <v>John, Drobnica</v>
      </c>
      <c r="I789" s="60" t="str">
        <f>IFERROR(INDEX('Docketed Comments'!D:D,MATCH(A789,'Docketed Comments'!H:H,0)),"")</f>
        <v>Cottonwood</v>
      </c>
      <c r="J789" s="60" t="str">
        <f>IFERROR(INDEX('Docketed Comments'!I:I,MATCH(A789,'Docketed Comments'!H:H,0)),"")</f>
        <v>R-2</v>
      </c>
      <c r="K789" s="60" t="str">
        <f t="shared" si="25"/>
        <v>⚠ Frozen Rate</v>
      </c>
      <c r="L789" s="60" t="str">
        <f>IFERROR(INDEX('Docketed Comments'!F:F,MATCH(A789,'Docketed Comments'!H:H,0)),"")</f>
        <v>Many customers are on a fixed income that isn't growing with the rates APS, Focus on providing safe, reliable and affordable energy not corporate philanthropy</v>
      </c>
      <c r="M789" s="120" t="str">
        <f>IFERROR(INDEX('Docketed Comments'!G:G,MATCH(A789,'Docketed Comments'!H:H,0)),"")</f>
        <v>https://docket.images.azcc.gov/E000047365.pdf</v>
      </c>
      <c r="N789" s="118" t="str">
        <f>IFERROR(INDEX('Docketed Comments'!N:N,MATCH(A789,'Docketed Comments'!H:H,0)),"")</f>
        <v>No</v>
      </c>
      <c r="O789" s="118" t="str">
        <f>IFERROR(INDEX('Docketed Comments'!L:L,MATCH(A789,'Docketed Comments'!H:H,0)),"")</f>
        <v>Frozen Rate</v>
      </c>
      <c r="P789" s="119">
        <f t="shared" si="24"/>
        <v>0</v>
      </c>
      <c r="Q789" s="60"/>
      <c r="R789" s="64" t="s">
        <v>75</v>
      </c>
      <c r="S789" s="64" t="s">
        <v>1705</v>
      </c>
    </row>
    <row r="790" spans="1:19" ht="21.95" hidden="1" customHeight="1">
      <c r="A790" s="66" t="s">
        <v>1706</v>
      </c>
      <c r="B790" s="64" t="s">
        <v>31</v>
      </c>
      <c r="C790" s="65">
        <v>46067</v>
      </c>
      <c r="D790" s="64" t="s">
        <v>27</v>
      </c>
      <c r="E790" s="64" t="s">
        <v>22</v>
      </c>
      <c r="F790" s="60" t="s">
        <v>1707</v>
      </c>
      <c r="G790" s="60"/>
      <c r="H790" s="60" t="str">
        <f>IFERROR(INDEX('Docketed Comments'!C:C,MATCH(A790,'Docketed Comments'!H:H,0))&amp;", "&amp;INDEX('Docketed Comments'!B:B,MATCH(A790,'Docketed Comments'!H:H,0)),"")</f>
        <v>Norm, Susser</v>
      </c>
      <c r="I790" s="60" t="str">
        <f>IFERROR(INDEX('Docketed Comments'!D:D,MATCH(A790,'Docketed Comments'!H:H,0)),"")</f>
        <v>Cave Creek</v>
      </c>
      <c r="J790" s="60" t="str">
        <f>IFERROR(INDEX('Docketed Comments'!I:I,MATCH(A790,'Docketed Comments'!H:H,0)),"")</f>
        <v>R3-47</v>
      </c>
      <c r="K790" s="60" t="str">
        <f t="shared" si="25"/>
        <v>✅ On Best Plan</v>
      </c>
      <c r="L790" s="60" t="str">
        <f>IFERROR(INDEX('Docketed Comments'!F:F,MATCH(A790,'Docketed Comments'!H:H,0)),"")</f>
        <v>Fees, taxes, surcharges and adjustors seem excessive</v>
      </c>
      <c r="M790" s="120" t="str">
        <f>IFERROR(INDEX('Docketed Comments'!G:G,MATCH(A790,'Docketed Comments'!H:H,0)),"")</f>
        <v>https://docket.images.azcc.gov/E000047398.pdf</v>
      </c>
      <c r="N790" s="118" t="str">
        <f>IFERROR(INDEX('Docketed Comments'!N:N,MATCH(A790,'Docketed Comments'!H:H,0)),"")</f>
        <v>No</v>
      </c>
      <c r="O790" s="118" t="str">
        <f>IFERROR(INDEX('Docketed Comments'!L:L,MATCH(A790,'Docketed Comments'!H:H,0)),"")</f>
        <v>Yes</v>
      </c>
      <c r="P790" s="119">
        <f t="shared" si="24"/>
        <v>0</v>
      </c>
      <c r="Q790" s="60" t="s">
        <v>23</v>
      </c>
      <c r="R790" s="64" t="s">
        <v>24</v>
      </c>
      <c r="S790" s="64" t="s">
        <v>1708</v>
      </c>
    </row>
    <row r="791" spans="1:19" ht="21.95" customHeight="1">
      <c r="A791" s="66" t="s">
        <v>1709</v>
      </c>
      <c r="B791" s="64"/>
      <c r="C791" s="65"/>
      <c r="D791" s="64"/>
      <c r="E791" s="64"/>
      <c r="F791" s="60"/>
      <c r="G791" s="60" t="s">
        <v>88</v>
      </c>
      <c r="H791" s="60" t="str">
        <f>IFERROR(INDEX('Docketed Comments'!C:C,MATCH(A791,'Docketed Comments'!H:H,0))&amp;", "&amp;INDEX('Docketed Comments'!B:B,MATCH(A791,'Docketed Comments'!H:H,0)),"")</f>
        <v>Terrence, Arnold</v>
      </c>
      <c r="I791" s="60" t="str">
        <f>IFERROR(INDEX('Docketed Comments'!D:D,MATCH(A791,'Docketed Comments'!H:H,0)),"")</f>
        <v>Glendale</v>
      </c>
      <c r="J791" s="60" t="str">
        <f>IFERROR(INDEX('Docketed Comments'!I:I,MATCH(A791,'Docketed Comments'!H:H,0)),"")</f>
        <v>R3-47</v>
      </c>
      <c r="K791" s="60" t="str">
        <f t="shared" si="25"/>
        <v>✅ On Best Plan</v>
      </c>
      <c r="L791" s="60" t="str">
        <f>IFERROR(INDEX('Docketed Comments'!F:F,MATCH(A791,'Docketed Comments'!H:H,0)),"")</f>
        <v>The recent APS request to rate increase of 16% is absurd</v>
      </c>
      <c r="M791" s="120" t="str">
        <f>IFERROR(INDEX('Docketed Comments'!G:G,MATCH(A791,'Docketed Comments'!H:H,0)),"")</f>
        <v>https://docket.images.azcc.gov/E000047432.pdf</v>
      </c>
      <c r="N791" s="118" t="str">
        <f>IFERROR(INDEX('Docketed Comments'!N:N,MATCH(A791,'Docketed Comments'!H:H,0)),"")</f>
        <v>No</v>
      </c>
      <c r="O791" s="118" t="str">
        <f>IFERROR(INDEX('Docketed Comments'!L:L,MATCH(A791,'Docketed Comments'!H:H,0)),"")</f>
        <v>Yes</v>
      </c>
      <c r="P791" s="119">
        <f t="shared" si="24"/>
        <v>0</v>
      </c>
      <c r="Q791" s="60"/>
      <c r="R791" s="64" t="s">
        <v>75</v>
      </c>
      <c r="S791" s="64" t="s">
        <v>1710</v>
      </c>
    </row>
    <row r="792" spans="1:19" ht="21.95" customHeight="1">
      <c r="A792" s="66" t="s">
        <v>1711</v>
      </c>
      <c r="B792" s="64"/>
      <c r="C792" s="65"/>
      <c r="D792" s="64"/>
      <c r="E792" s="64"/>
      <c r="F792" s="60"/>
      <c r="G792" s="60" t="s">
        <v>88</v>
      </c>
      <c r="H792" s="60" t="str">
        <f>IFERROR(INDEX('Docketed Comments'!C:C,MATCH(A792,'Docketed Comments'!H:H,0))&amp;", "&amp;INDEX('Docketed Comments'!B:B,MATCH(A792,'Docketed Comments'!H:H,0)),"")</f>
        <v>Jasmine, McKnight</v>
      </c>
      <c r="I792" s="60" t="str">
        <f>IFERROR(INDEX('Docketed Comments'!D:D,MATCH(A792,'Docketed Comments'!H:H,0)),"")</f>
        <v>Phoenix</v>
      </c>
      <c r="J792" s="60" t="str">
        <f>IFERROR(INDEX('Docketed Comments'!I:I,MATCH(A792,'Docketed Comments'!H:H,0)),"")</f>
        <v>R-BASIC</v>
      </c>
      <c r="K792" s="60" t="str">
        <f t="shared" si="25"/>
        <v>✅ On Best Plan</v>
      </c>
      <c r="L792" s="60" t="str">
        <f>IFERROR(INDEX('Docketed Comments'!F:F,MATCH(A792,'Docketed Comments'!H:H,0)),"")</f>
        <v>Form Letter: Enough is enough! You must reject the latest 14% rate hikes by APS e TEP</v>
      </c>
      <c r="M792" s="120" t="str">
        <f>IFERROR(INDEX('Docketed Comments'!G:G,MATCH(A792,'Docketed Comments'!H:H,0)),"")</f>
        <v>https://docket.images.azcc.gov/E000047451.pdf</v>
      </c>
      <c r="N792" s="118" t="str">
        <f>IFERROR(INDEX('Docketed Comments'!N:N,MATCH(A792,'Docketed Comments'!H:H,0)),"")</f>
        <v>No</v>
      </c>
      <c r="O792" s="118" t="str">
        <f>IFERROR(INDEX('Docketed Comments'!L:L,MATCH(A792,'Docketed Comments'!H:H,0)),"")</f>
        <v>Yes</v>
      </c>
      <c r="P792" s="119">
        <f t="shared" si="24"/>
        <v>0</v>
      </c>
      <c r="Q792" s="60"/>
      <c r="R792" s="64" t="s">
        <v>75</v>
      </c>
      <c r="S792" s="64" t="s">
        <v>1712</v>
      </c>
    </row>
    <row r="793" spans="1:19" ht="21.95" customHeight="1">
      <c r="A793" s="66" t="s">
        <v>1713</v>
      </c>
      <c r="B793" s="64"/>
      <c r="C793" s="65"/>
      <c r="D793" s="64"/>
      <c r="E793" s="64"/>
      <c r="F793" s="60"/>
      <c r="G793" s="60" t="s">
        <v>88</v>
      </c>
      <c r="H793" s="60" t="str">
        <f>IFERROR(INDEX('Docketed Comments'!C:C,MATCH(A793,'Docketed Comments'!H:H,0))&amp;", "&amp;INDEX('Docketed Comments'!B:B,MATCH(A793,'Docketed Comments'!H:H,0)),"")</f>
        <v>Sylvia, Ellison</v>
      </c>
      <c r="I793" s="60" t="str">
        <f>IFERROR(INDEX('Docketed Comments'!D:D,MATCH(A793,'Docketed Comments'!H:H,0)),"")</f>
        <v>Surprise</v>
      </c>
      <c r="J793" s="60" t="str">
        <f>IFERROR(INDEX('Docketed Comments'!I:I,MATCH(A793,'Docketed Comments'!H:H,0)),"")</f>
        <v>R-BASIC</v>
      </c>
      <c r="K793" s="60" t="str">
        <f t="shared" si="25"/>
        <v>✅ On Best Plan</v>
      </c>
      <c r="L793" s="60" t="str">
        <f>IFERROR(INDEX('Docketed Comments'!F:F,MATCH(A793,'Docketed Comments'!H:H,0)),"")</f>
        <v xml:space="preserve">Opposed: No options other than APS. Senior Citizens, AC is a life saving need. </v>
      </c>
      <c r="M793" s="120" t="str">
        <f>IFERROR(INDEX('Docketed Comments'!G:G,MATCH(A793,'Docketed Comments'!H:H,0)),"")</f>
        <v>https://docket.images.azcc.gov/E000047554.pdf?i=1763105891311</v>
      </c>
      <c r="N793" s="118" t="str">
        <f>IFERROR(INDEX('Docketed Comments'!N:N,MATCH(A793,'Docketed Comments'!H:H,0)),"")</f>
        <v>No</v>
      </c>
      <c r="O793" s="118" t="str">
        <f>IFERROR(INDEX('Docketed Comments'!L:L,MATCH(A793,'Docketed Comments'!H:H,0)),"")</f>
        <v>Yes</v>
      </c>
      <c r="P793" s="119">
        <f t="shared" si="24"/>
        <v>0</v>
      </c>
      <c r="Q793" s="60"/>
      <c r="R793" s="64" t="s">
        <v>75</v>
      </c>
      <c r="S793" s="64" t="s">
        <v>1714</v>
      </c>
    </row>
    <row r="794" spans="1:19" ht="21.95" customHeight="1">
      <c r="A794" s="66" t="s">
        <v>1715</v>
      </c>
      <c r="B794" s="64"/>
      <c r="C794" s="65"/>
      <c r="D794" s="64"/>
      <c r="E794" s="64"/>
      <c r="F794" s="60"/>
      <c r="G794" s="60" t="s">
        <v>88</v>
      </c>
      <c r="H794" s="60" t="str">
        <f>IFERROR(INDEX('Docketed Comments'!C:C,MATCH(A794,'Docketed Comments'!H:H,0))&amp;", "&amp;INDEX('Docketed Comments'!B:B,MATCH(A794,'Docketed Comments'!H:H,0)),"")</f>
        <v>George, Krakora</v>
      </c>
      <c r="I794" s="60" t="str">
        <f>IFERROR(INDEX('Docketed Comments'!D:D,MATCH(A794,'Docketed Comments'!H:H,0)),"")</f>
        <v>Scottsdale</v>
      </c>
      <c r="J794" s="60" t="str">
        <f>IFERROR(INDEX('Docketed Comments'!I:I,MATCH(A794,'Docketed Comments'!H:H,0)),"")</f>
        <v>R3-47</v>
      </c>
      <c r="K794" s="60" t="str">
        <f t="shared" si="25"/>
        <v>✅ On Best Plan</v>
      </c>
      <c r="L794" s="60" t="str">
        <f>IFERROR(INDEX('Docketed Comments'!F:F,MATCH(A794,'Docketed Comments'!H:H,0)),"")</f>
        <v>Opposed, As a retiree with a limited income, and do not qualify for assistance</v>
      </c>
      <c r="M794" s="120" t="str">
        <f>IFERROR(INDEX('Docketed Comments'!G:G,MATCH(A794,'Docketed Comments'!H:H,0)),"")</f>
        <v>https://docket.images.azcc.gov/E000047658.pdf</v>
      </c>
      <c r="N794" s="118" t="str">
        <f>IFERROR(INDEX('Docketed Comments'!N:N,MATCH(A794,'Docketed Comments'!H:H,0)),"")</f>
        <v>No</v>
      </c>
      <c r="O794" s="118" t="str">
        <f>IFERROR(INDEX('Docketed Comments'!L:L,MATCH(A794,'Docketed Comments'!H:H,0)),"")</f>
        <v>Yes</v>
      </c>
      <c r="P794" s="119">
        <f t="shared" si="24"/>
        <v>0</v>
      </c>
      <c r="Q794" s="60"/>
      <c r="R794" s="64" t="s">
        <v>75</v>
      </c>
      <c r="S794" s="64" t="s">
        <v>1716</v>
      </c>
    </row>
    <row r="795" spans="1:19" ht="21.95" customHeight="1">
      <c r="A795" s="66" t="s">
        <v>1717</v>
      </c>
      <c r="B795" s="64"/>
      <c r="C795" s="65"/>
      <c r="D795" s="64"/>
      <c r="E795" s="64"/>
      <c r="F795" s="60"/>
      <c r="G795" s="60" t="s">
        <v>88</v>
      </c>
      <c r="H795" s="60" t="str">
        <f>IFERROR(INDEX('Docketed Comments'!C:C,MATCH(A795,'Docketed Comments'!H:H,0))&amp;", "&amp;INDEX('Docketed Comments'!B:B,MATCH(A795,'Docketed Comments'!H:H,0)),"")</f>
        <v>Fred, Oswald</v>
      </c>
      <c r="I795" s="60" t="str">
        <f>IFERROR(INDEX('Docketed Comments'!D:D,MATCH(A795,'Docketed Comments'!H:H,0)),"")</f>
        <v>Prescott</v>
      </c>
      <c r="J795" s="60" t="str">
        <f>IFERROR(INDEX('Docketed Comments'!I:I,MATCH(A795,'Docketed Comments'!H:H,0)),"")</f>
        <v>RCPw/RTOUE47</v>
      </c>
      <c r="K795" s="60" t="str">
        <f t="shared" si="25"/>
        <v>✅ On Best Plan</v>
      </c>
      <c r="L795" s="60" t="str">
        <f>IFERROR(INDEX('Docketed Comments'!F:F,MATCH(A795,'Docketed Comments'!H:H,0)),"")</f>
        <v>Rate hike is grossly excessive, oppose formula rates</v>
      </c>
      <c r="M795" s="120" t="str">
        <f>IFERROR(INDEX('Docketed Comments'!G:G,MATCH(A795,'Docketed Comments'!H:H,0)),"")</f>
        <v>https://docket.images.azcc.gov/E000047735.pdf</v>
      </c>
      <c r="N795" s="118" t="str">
        <f>IFERROR(INDEX('Docketed Comments'!N:N,MATCH(A795,'Docketed Comments'!H:H,0)),"")</f>
        <v>No</v>
      </c>
      <c r="O795" s="118" t="str">
        <f>IFERROR(INDEX('Docketed Comments'!L:L,MATCH(A795,'Docketed Comments'!H:H,0)),"")</f>
        <v>Yes</v>
      </c>
      <c r="P795" s="119">
        <f t="shared" si="24"/>
        <v>0</v>
      </c>
      <c r="Q795" s="60"/>
      <c r="R795" s="64" t="s">
        <v>75</v>
      </c>
      <c r="S795" s="64" t="s">
        <v>1718</v>
      </c>
    </row>
    <row r="796" spans="1:19" ht="21.95" hidden="1" customHeight="1">
      <c r="A796" s="66" t="s">
        <v>1719</v>
      </c>
      <c r="B796" s="64" t="s">
        <v>31</v>
      </c>
      <c r="C796" s="65">
        <v>46067</v>
      </c>
      <c r="D796" s="64" t="s">
        <v>21</v>
      </c>
      <c r="E796" s="64" t="s">
        <v>22</v>
      </c>
      <c r="F796" s="60" t="s">
        <v>60</v>
      </c>
      <c r="G796" s="60"/>
      <c r="H796" s="60" t="str">
        <f>IFERROR(INDEX('Docketed Comments'!C:C,MATCH(A796,'Docketed Comments'!H:H,0))&amp;", "&amp;INDEX('Docketed Comments'!B:B,MATCH(A796,'Docketed Comments'!H:H,0)),"")</f>
        <v>Tom and Melissa, Leeper</v>
      </c>
      <c r="I796" s="60" t="str">
        <f>IFERROR(INDEX('Docketed Comments'!D:D,MATCH(A796,'Docketed Comments'!H:H,0)),"")</f>
        <v>Gilbert</v>
      </c>
      <c r="J796" s="60" t="str">
        <f>IFERROR(INDEX('Docketed Comments'!I:I,MATCH(A796,'Docketed Comments'!H:H,0)),"")</f>
        <v>EPR6w/ET-1</v>
      </c>
      <c r="K796" s="60" t="str">
        <f t="shared" si="25"/>
        <v>⚠ Frozen Rate</v>
      </c>
      <c r="L796" s="60" t="str">
        <f>IFERROR(INDEX('Docketed Comments'!F:F,MATCH(A796,'Docketed Comments'!H:H,0)),"")</f>
        <v>Stop the proposed rate hikes</v>
      </c>
      <c r="M796" s="120" t="str">
        <f>IFERROR(INDEX('Docketed Comments'!G:G,MATCH(A796,'Docketed Comments'!H:H,0)),"")</f>
        <v>https://docket.images.azcc.gov/E000047729.pdf</v>
      </c>
      <c r="N796" s="118" t="str">
        <f>IFERROR(INDEX('Docketed Comments'!N:N,MATCH(A796,'Docketed Comments'!H:H,0)),"")</f>
        <v>No</v>
      </c>
      <c r="O796" s="118" t="str">
        <f>IFERROR(INDEX('Docketed Comments'!L:L,MATCH(A796,'Docketed Comments'!H:H,0)),"")</f>
        <v>Frozen Rate</v>
      </c>
      <c r="P796" s="119">
        <f t="shared" si="24"/>
        <v>0</v>
      </c>
      <c r="Q796" s="60" t="s">
        <v>23</v>
      </c>
      <c r="R796" s="64" t="s">
        <v>24</v>
      </c>
      <c r="S796" s="64" t="s">
        <v>1720</v>
      </c>
    </row>
    <row r="797" spans="1:19" ht="21.95" customHeight="1">
      <c r="A797" s="66" t="s">
        <v>1721</v>
      </c>
      <c r="B797" s="64"/>
      <c r="C797" s="65"/>
      <c r="D797" s="64"/>
      <c r="E797" s="64"/>
      <c r="F797" s="60"/>
      <c r="G797" s="60" t="s">
        <v>88</v>
      </c>
      <c r="H797" s="60" t="str">
        <f>IFERROR(INDEX('Docketed Comments'!C:C,MATCH(A797,'Docketed Comments'!H:H,0))&amp;", "&amp;INDEX('Docketed Comments'!B:B,MATCH(A797,'Docketed Comments'!H:H,0)),"")</f>
        <v>Stephen, Nathan</v>
      </c>
      <c r="I797" s="60" t="str">
        <f>IFERROR(INDEX('Docketed Comments'!D:D,MATCH(A797,'Docketed Comments'!H:H,0)),"")</f>
        <v>Goodyear</v>
      </c>
      <c r="J797" s="60" t="str">
        <f>IFERROR(INDEX('Docketed Comments'!I:I,MATCH(A797,'Docketed Comments'!H:H,0)),"")</f>
        <v>R3-47</v>
      </c>
      <c r="K797" s="60" t="str">
        <f t="shared" si="25"/>
        <v>✅ On Best Plan</v>
      </c>
      <c r="L797" s="60" t="str">
        <f>IFERROR(INDEX('Docketed Comments'!F:F,MATCH(A797,'Docketed Comments'!H:H,0)),"")</f>
        <v>The proposed rate of increase on seniors is outrageous!</v>
      </c>
      <c r="M797" s="120" t="str">
        <f>IFERROR(INDEX('Docketed Comments'!G:G,MATCH(A797,'Docketed Comments'!H:H,0)),"")</f>
        <v>https://docket.images.azcc.gov/E000047808.pdf</v>
      </c>
      <c r="N797" s="118" t="str">
        <f>IFERROR(INDEX('Docketed Comments'!N:N,MATCH(A797,'Docketed Comments'!H:H,0)),"")</f>
        <v>No</v>
      </c>
      <c r="O797" s="118" t="str">
        <f>IFERROR(INDEX('Docketed Comments'!L:L,MATCH(A797,'Docketed Comments'!H:H,0)),"")</f>
        <v>Yes</v>
      </c>
      <c r="P797" s="119">
        <f t="shared" si="24"/>
        <v>0</v>
      </c>
      <c r="Q797" s="60"/>
      <c r="R797" s="64" t="s">
        <v>75</v>
      </c>
      <c r="S797" s="64" t="s">
        <v>1722</v>
      </c>
    </row>
    <row r="798" spans="1:19" ht="21.95" hidden="1" customHeight="1">
      <c r="A798" s="66" t="s">
        <v>1723</v>
      </c>
      <c r="B798" s="64" t="s">
        <v>31</v>
      </c>
      <c r="C798" s="65">
        <v>46067</v>
      </c>
      <c r="D798" s="64" t="s">
        <v>21</v>
      </c>
      <c r="E798" s="64" t="s">
        <v>22</v>
      </c>
      <c r="F798" s="60" t="s">
        <v>60</v>
      </c>
      <c r="G798" s="60"/>
      <c r="H798" s="60" t="str">
        <f>IFERROR(INDEX('Docketed Comments'!C:C,MATCH(A798,'Docketed Comments'!H:H,0))&amp;", "&amp;INDEX('Docketed Comments'!B:B,MATCH(A798,'Docketed Comments'!H:H,0)),"")</f>
        <v>Marla, Putnam</v>
      </c>
      <c r="I798" s="60" t="str">
        <f>IFERROR(INDEX('Docketed Comments'!D:D,MATCH(A798,'Docketed Comments'!H:H,0)),"")</f>
        <v>Peoria</v>
      </c>
      <c r="J798" s="60" t="str">
        <f>IFERROR(INDEX('Docketed Comments'!I:I,MATCH(A798,'Docketed Comments'!H:H,0)),"")</f>
        <v>RCPw/TOUE</v>
      </c>
      <c r="K798" s="60" t="str">
        <f t="shared" si="25"/>
        <v>✅ On Best Plan</v>
      </c>
      <c r="L798" s="60" t="str">
        <f>IFERROR(INDEX('Docketed Comments'!F:F,MATCH(A798,'Docketed Comments'!H:H,0)),"")</f>
        <v>The rates have steadily increased</v>
      </c>
      <c r="M798" s="120" t="str">
        <f>IFERROR(INDEX('Docketed Comments'!G:G,MATCH(A798,'Docketed Comments'!H:H,0)),"")</f>
        <v>https://docket.images.azcc.gov/E000047808.pdf</v>
      </c>
      <c r="N798" s="118" t="str">
        <f>IFERROR(INDEX('Docketed Comments'!N:N,MATCH(A798,'Docketed Comments'!H:H,0)),"")</f>
        <v>No</v>
      </c>
      <c r="O798" s="118" t="str">
        <f>IFERROR(INDEX('Docketed Comments'!L:L,MATCH(A798,'Docketed Comments'!H:H,0)),"")</f>
        <v>Yes</v>
      </c>
      <c r="P798" s="119">
        <f t="shared" si="24"/>
        <v>0</v>
      </c>
      <c r="Q798" s="60" t="s">
        <v>23</v>
      </c>
      <c r="R798" s="64" t="s">
        <v>24</v>
      </c>
      <c r="S798" s="64" t="s">
        <v>1724</v>
      </c>
    </row>
    <row r="799" spans="1:19" ht="21.95" customHeight="1">
      <c r="A799" s="66" t="s">
        <v>1725</v>
      </c>
      <c r="B799" s="64"/>
      <c r="C799" s="65"/>
      <c r="D799" s="64"/>
      <c r="E799" s="64"/>
      <c r="F799" s="60"/>
      <c r="G799" s="60" t="s">
        <v>88</v>
      </c>
      <c r="H799" s="60" t="str">
        <f>IFERROR(INDEX('Docketed Comments'!C:C,MATCH(A799,'Docketed Comments'!H:H,0))&amp;", "&amp;INDEX('Docketed Comments'!B:B,MATCH(A799,'Docketed Comments'!H:H,0)),"")</f>
        <v>Melissa, Dowling</v>
      </c>
      <c r="I799" s="60" t="str">
        <f>IFERROR(INDEX('Docketed Comments'!D:D,MATCH(A799,'Docketed Comments'!H:H,0)),"")</f>
        <v>Sun City</v>
      </c>
      <c r="J799" s="60" t="str">
        <f>IFERROR(INDEX('Docketed Comments'!I:I,MATCH(A799,'Docketed Comments'!H:H,0)),"")</f>
        <v>R3-47</v>
      </c>
      <c r="K799" s="60" t="str">
        <f t="shared" si="25"/>
        <v>✅ On Best Plan</v>
      </c>
      <c r="L799" s="60" t="str">
        <f>IFERROR(INDEX('Docketed Comments'!F:F,MATCH(A799,'Docketed Comments'!H:H,0)),"")</f>
        <v>No more rate hikes</v>
      </c>
      <c r="M799" s="120" t="str">
        <f>IFERROR(INDEX('Docketed Comments'!G:G,MATCH(A799,'Docketed Comments'!H:H,0)),"")</f>
        <v>https://docket.images.azcc.gov/E000047827.pdf</v>
      </c>
      <c r="N799" s="118" t="str">
        <f>IFERROR(INDEX('Docketed Comments'!N:N,MATCH(A799,'Docketed Comments'!H:H,0)),"")</f>
        <v>No</v>
      </c>
      <c r="O799" s="118" t="str">
        <f>IFERROR(INDEX('Docketed Comments'!L:L,MATCH(A799,'Docketed Comments'!H:H,0)),"")</f>
        <v>Yes</v>
      </c>
      <c r="P799" s="119">
        <f t="shared" si="24"/>
        <v>0</v>
      </c>
      <c r="Q799" s="60"/>
      <c r="R799" s="64" t="s">
        <v>75</v>
      </c>
      <c r="S799" s="64" t="s">
        <v>1726</v>
      </c>
    </row>
    <row r="800" spans="1:19" ht="21.95" hidden="1" customHeight="1">
      <c r="A800" s="66" t="s">
        <v>1727</v>
      </c>
      <c r="B800" s="64" t="s">
        <v>31</v>
      </c>
      <c r="C800" s="65">
        <v>46060</v>
      </c>
      <c r="D800" s="64" t="s">
        <v>27</v>
      </c>
      <c r="E800" s="64" t="s">
        <v>22</v>
      </c>
      <c r="F800" s="60" t="s">
        <v>54</v>
      </c>
      <c r="G800" s="60"/>
      <c r="H800" s="60" t="str">
        <f>IFERROR(INDEX('Docketed Comments'!C:C,MATCH(A800,'Docketed Comments'!H:H,0))&amp;", "&amp;INDEX('Docketed Comments'!B:B,MATCH(A800,'Docketed Comments'!H:H,0)),"")</f>
        <v>Carol, Means</v>
      </c>
      <c r="I800" s="60" t="str">
        <f>IFERROR(INDEX('Docketed Comments'!D:D,MATCH(A800,'Docketed Comments'!H:H,0)),"")</f>
        <v>Goodyear</v>
      </c>
      <c r="J800" s="60" t="str">
        <f>IFERROR(INDEX('Docketed Comments'!I:I,MATCH(A800,'Docketed Comments'!H:H,0)),"")</f>
        <v>R3-47</v>
      </c>
      <c r="K800" s="60" t="str">
        <f t="shared" si="25"/>
        <v>✅ On Best Plan</v>
      </c>
      <c r="L800" s="60" t="str">
        <f>IFERROR(INDEX('Docketed Comments'!F:F,MATCH(A800,'Docketed Comments'!H:H,0)),"")</f>
        <v>Vote no</v>
      </c>
      <c r="M800" s="120" t="str">
        <f>IFERROR(INDEX('Docketed Comments'!G:G,MATCH(A800,'Docketed Comments'!H:H,0)),"")</f>
        <v>https://docket.images.azcc.gov/E000047828.pdf?i=1764228532333</v>
      </c>
      <c r="N800" s="118" t="str">
        <f>IFERROR(INDEX('Docketed Comments'!N:N,MATCH(A800,'Docketed Comments'!H:H,0)),"")</f>
        <v>No</v>
      </c>
      <c r="O800" s="118" t="str">
        <f>IFERROR(INDEX('Docketed Comments'!L:L,MATCH(A800,'Docketed Comments'!H:H,0)),"")</f>
        <v>Yes</v>
      </c>
      <c r="P800" s="119">
        <f t="shared" si="24"/>
        <v>0</v>
      </c>
      <c r="Q800" s="60" t="s">
        <v>23</v>
      </c>
      <c r="R800" s="64" t="s">
        <v>24</v>
      </c>
      <c r="S800" s="64" t="s">
        <v>1728</v>
      </c>
    </row>
    <row r="801" spans="1:19" ht="21.95" customHeight="1">
      <c r="A801" s="66" t="s">
        <v>1729</v>
      </c>
      <c r="B801" s="64"/>
      <c r="C801" s="65"/>
      <c r="D801" s="64"/>
      <c r="E801" s="64"/>
      <c r="F801" s="60"/>
      <c r="G801" s="60" t="s">
        <v>88</v>
      </c>
      <c r="H801" s="60" t="str">
        <f>IFERROR(INDEX('Docketed Comments'!C:C,MATCH(A801,'Docketed Comments'!H:H,0))&amp;", "&amp;INDEX('Docketed Comments'!B:B,MATCH(A801,'Docketed Comments'!H:H,0)),"")</f>
        <v>Ken and JoAnn, Boontjer</v>
      </c>
      <c r="I801" s="60" t="str">
        <f>IFERROR(INDEX('Docketed Comments'!D:D,MATCH(A801,'Docketed Comments'!H:H,0)),"")</f>
        <v>Peoria</v>
      </c>
      <c r="J801" s="60" t="str">
        <f>IFERROR(INDEX('Docketed Comments'!I:I,MATCH(A801,'Docketed Comments'!H:H,0)),"")</f>
        <v>EPR6w/E-12</v>
      </c>
      <c r="K801" s="60" t="str">
        <f t="shared" si="25"/>
        <v>⚠ Frozen Rate</v>
      </c>
      <c r="L801" s="60" t="str">
        <f>IFERROR(INDEX('Docketed Comments'!F:F,MATCH(A801,'Docketed Comments'!H:H,0)),"")</f>
        <v>Research APS net zero plan, open Cholla</v>
      </c>
      <c r="M801" s="120" t="str">
        <f>IFERROR(INDEX('Docketed Comments'!G:G,MATCH(A801,'Docketed Comments'!H:H,0)),"")</f>
        <v>https://docket.images.azcc.gov/E000047828.pdf?i=1764228532333</v>
      </c>
      <c r="N801" s="118" t="str">
        <f>IFERROR(INDEX('Docketed Comments'!N:N,MATCH(A801,'Docketed Comments'!H:H,0)),"")</f>
        <v>No</v>
      </c>
      <c r="O801" s="118" t="str">
        <f>IFERROR(INDEX('Docketed Comments'!L:L,MATCH(A801,'Docketed Comments'!H:H,0)),"")</f>
        <v>Frozen Rate</v>
      </c>
      <c r="P801" s="119">
        <f t="shared" si="24"/>
        <v>0</v>
      </c>
      <c r="Q801" s="60"/>
      <c r="R801" s="64" t="s">
        <v>75</v>
      </c>
      <c r="S801" s="64" t="s">
        <v>1730</v>
      </c>
    </row>
    <row r="802" spans="1:19" ht="21.95" hidden="1" customHeight="1">
      <c r="A802" s="66" t="s">
        <v>1731</v>
      </c>
      <c r="B802" s="64" t="s">
        <v>31</v>
      </c>
      <c r="C802" s="65">
        <v>46060</v>
      </c>
      <c r="D802" s="64" t="s">
        <v>21</v>
      </c>
      <c r="E802" s="64" t="s">
        <v>22</v>
      </c>
      <c r="F802" s="60" t="s">
        <v>60</v>
      </c>
      <c r="G802" s="60"/>
      <c r="H802" s="60" t="str">
        <f>IFERROR(INDEX('Docketed Comments'!C:C,MATCH(A802,'Docketed Comments'!H:H,0))&amp;", "&amp;INDEX('Docketed Comments'!B:B,MATCH(A802,'Docketed Comments'!H:H,0)),"")</f>
        <v>Shari , Kissling</v>
      </c>
      <c r="I802" s="60" t="str">
        <f>IFERROR(INDEX('Docketed Comments'!D:D,MATCH(A802,'Docketed Comments'!H:H,0)),"")</f>
        <v>Surprise</v>
      </c>
      <c r="J802" s="60" t="str">
        <f>IFERROR(INDEX('Docketed Comments'!I:I,MATCH(A802,'Docketed Comments'!H:H,0)),"")</f>
        <v>R3-47</v>
      </c>
      <c r="K802" s="60" t="str">
        <f t="shared" si="25"/>
        <v>✅ On Best Plan</v>
      </c>
      <c r="L802" s="60" t="str">
        <f>IFERROR(INDEX('Docketed Comments'!F:F,MATCH(A802,'Docketed Comments'!H:H,0)),"")</f>
        <v>stop approving rate increases</v>
      </c>
      <c r="M802" s="120" t="str">
        <f>IFERROR(INDEX('Docketed Comments'!G:G,MATCH(A802,'Docketed Comments'!H:H,0)),"")</f>
        <v>https://docket.images.azcc.gov/E000047852.pdf</v>
      </c>
      <c r="N802" s="118" t="str">
        <f>IFERROR(INDEX('Docketed Comments'!N:N,MATCH(A802,'Docketed Comments'!H:H,0)),"")</f>
        <v>No</v>
      </c>
      <c r="O802" s="118" t="str">
        <f>IFERROR(INDEX('Docketed Comments'!L:L,MATCH(A802,'Docketed Comments'!H:H,0)),"")</f>
        <v>Yes</v>
      </c>
      <c r="P802" s="119">
        <f t="shared" si="24"/>
        <v>0</v>
      </c>
      <c r="Q802" s="60" t="s">
        <v>23</v>
      </c>
      <c r="R802" s="64" t="s">
        <v>24</v>
      </c>
      <c r="S802" s="64" t="s">
        <v>1732</v>
      </c>
    </row>
    <row r="803" spans="1:19" ht="21.95" customHeight="1">
      <c r="A803" s="66" t="s">
        <v>1733</v>
      </c>
      <c r="B803" s="64"/>
      <c r="C803" s="65"/>
      <c r="D803" s="64"/>
      <c r="E803" s="64"/>
      <c r="F803" s="60"/>
      <c r="G803" s="60" t="s">
        <v>88</v>
      </c>
      <c r="H803" s="60" t="str">
        <f>IFERROR(INDEX('Docketed Comments'!C:C,MATCH(A803,'Docketed Comments'!H:H,0))&amp;", "&amp;INDEX('Docketed Comments'!B:B,MATCH(A803,'Docketed Comments'!H:H,0)),"")</f>
        <v>Justin, Logan</v>
      </c>
      <c r="I803" s="60" t="str">
        <f>IFERROR(INDEX('Docketed Comments'!D:D,MATCH(A803,'Docketed Comments'!H:H,0)),"")</f>
        <v>Surprise</v>
      </c>
      <c r="J803" s="60" t="str">
        <f>IFERROR(INDEX('Docketed Comments'!I:I,MATCH(A803,'Docketed Comments'!H:H,0)),"")</f>
        <v>R-2</v>
      </c>
      <c r="K803" s="60" t="str">
        <f t="shared" si="25"/>
        <v>⚠ Frozen Rate</v>
      </c>
      <c r="L803" s="60" t="str">
        <f>IFERROR(INDEX('Docketed Comments'!F:F,MATCH(A803,'Docketed Comments'!H:H,0)),"")</f>
        <v>Form Letter: For families like mine this is simply too much</v>
      </c>
      <c r="M803" s="120" t="str">
        <f>IFERROR(INDEX('Docketed Comments'!G:G,MATCH(A803,'Docketed Comments'!H:H,0)),"")</f>
        <v>https://docket.images.azcc.gov/E000047963.pdf</v>
      </c>
      <c r="N803" s="118" t="str">
        <f>IFERROR(INDEX('Docketed Comments'!N:N,MATCH(A803,'Docketed Comments'!H:H,0)),"")</f>
        <v>No</v>
      </c>
      <c r="O803" s="118" t="str">
        <f>IFERROR(INDEX('Docketed Comments'!L:L,MATCH(A803,'Docketed Comments'!H:H,0)),"")</f>
        <v>Frozen Rate</v>
      </c>
      <c r="P803" s="119">
        <f t="shared" si="24"/>
        <v>0</v>
      </c>
      <c r="Q803" s="60"/>
      <c r="R803" s="64" t="s">
        <v>75</v>
      </c>
      <c r="S803" s="64" t="s">
        <v>1734</v>
      </c>
    </row>
    <row r="804" spans="1:19" ht="21.95" hidden="1" customHeight="1">
      <c r="A804" s="66" t="s">
        <v>1735</v>
      </c>
      <c r="B804" s="64" t="s">
        <v>31</v>
      </c>
      <c r="C804" s="65">
        <v>46060</v>
      </c>
      <c r="D804" s="64" t="s">
        <v>27</v>
      </c>
      <c r="E804" s="64" t="s">
        <v>35</v>
      </c>
      <c r="F804" s="60"/>
      <c r="G804" s="60"/>
      <c r="H804" s="60" t="str">
        <f>IFERROR(INDEX('Docketed Comments'!C:C,MATCH(A804,'Docketed Comments'!H:H,0))&amp;", "&amp;INDEX('Docketed Comments'!B:B,MATCH(A804,'Docketed Comments'!H:H,0)),"")</f>
        <v>Sheri, Spence</v>
      </c>
      <c r="I804" s="60" t="str">
        <f>IFERROR(INDEX('Docketed Comments'!D:D,MATCH(A804,'Docketed Comments'!H:H,0)),"")</f>
        <v>Surprise</v>
      </c>
      <c r="J804" s="60" t="str">
        <f>IFERROR(INDEX('Docketed Comments'!I:I,MATCH(A804,'Docketed Comments'!H:H,0)),"")</f>
        <v>R3-47</v>
      </c>
      <c r="K804" s="60" t="str">
        <f t="shared" si="25"/>
        <v>✅ On Best Plan</v>
      </c>
      <c r="L804" s="60" t="str">
        <f>IFERROR(INDEX('Docketed Comments'!F:F,MATCH(A804,'Docketed Comments'!H:H,0)),"")</f>
        <v>Stop the price hike that APS is planning to impose.</v>
      </c>
      <c r="M804" s="120" t="str">
        <f>IFERROR(INDEX('Docketed Comments'!G:G,MATCH(A804,'Docketed Comments'!H:H,0)),"")</f>
        <v>https://docket.images.azcc.gov/E000047971.pdf</v>
      </c>
      <c r="N804" s="118" t="str">
        <f>IFERROR(INDEX('Docketed Comments'!N:N,MATCH(A804,'Docketed Comments'!H:H,0)),"")</f>
        <v>No</v>
      </c>
      <c r="O804" s="118" t="str">
        <f>IFERROR(INDEX('Docketed Comments'!L:L,MATCH(A804,'Docketed Comments'!H:H,0)),"")</f>
        <v>Yes</v>
      </c>
      <c r="P804" s="119">
        <f t="shared" si="24"/>
        <v>0</v>
      </c>
      <c r="Q804" s="60" t="s">
        <v>23</v>
      </c>
      <c r="R804" s="64" t="s">
        <v>24</v>
      </c>
      <c r="S804" s="64" t="s">
        <v>1736</v>
      </c>
    </row>
    <row r="805" spans="1:19" ht="21.95" hidden="1" customHeight="1">
      <c r="A805" s="66" t="s">
        <v>1737</v>
      </c>
      <c r="B805" s="64" t="s">
        <v>31</v>
      </c>
      <c r="C805" s="65">
        <v>46067</v>
      </c>
      <c r="D805" s="64" t="s">
        <v>27</v>
      </c>
      <c r="E805" s="64" t="s">
        <v>35</v>
      </c>
      <c r="F805" s="60"/>
      <c r="G805" s="60"/>
      <c r="H805" s="60" t="str">
        <f>IFERROR(INDEX('Docketed Comments'!C:C,MATCH(A805,'Docketed Comments'!H:H,0))&amp;", "&amp;INDEX('Docketed Comments'!B:B,MATCH(A805,'Docketed Comments'!H:H,0)),"")</f>
        <v>Kurt, Wallach</v>
      </c>
      <c r="I805" s="60" t="str">
        <f>IFERROR(INDEX('Docketed Comments'!D:D,MATCH(A805,'Docketed Comments'!H:H,0)),"")</f>
        <v>Glendale</v>
      </c>
      <c r="J805" s="60" t="str">
        <f>IFERROR(INDEX('Docketed Comments'!I:I,MATCH(A805,'Docketed Comments'!H:H,0)),"")</f>
        <v>RCPw/R3-47</v>
      </c>
      <c r="K805" s="60" t="str">
        <f t="shared" si="25"/>
        <v>✅ On Best Plan</v>
      </c>
      <c r="L805" s="60" t="str">
        <f>IFERROR(INDEX('Docketed Comments'!F:F,MATCH(A805,'Docketed Comments'!H:H,0)),"")</f>
        <v xml:space="preserve">I am voicing concern over repeated rate requests from APS. </v>
      </c>
      <c r="M805" s="120" t="str">
        <f>IFERROR(INDEX('Docketed Comments'!G:G,MATCH(A805,'Docketed Comments'!H:H,0)),"")</f>
        <v>https://docket.images.azcc.gov/E000047935.pdf</v>
      </c>
      <c r="N805" s="118" t="str">
        <f>IFERROR(INDEX('Docketed Comments'!N:N,MATCH(A805,'Docketed Comments'!H:H,0)),"")</f>
        <v>No</v>
      </c>
      <c r="O805" s="118" t="str">
        <f>IFERROR(INDEX('Docketed Comments'!L:L,MATCH(A805,'Docketed Comments'!H:H,0)),"")</f>
        <v>Yes</v>
      </c>
      <c r="P805" s="119">
        <f t="shared" si="24"/>
        <v>0</v>
      </c>
      <c r="Q805" s="60" t="s">
        <v>23</v>
      </c>
      <c r="R805" s="64" t="s">
        <v>24</v>
      </c>
      <c r="S805" s="64" t="s">
        <v>1738</v>
      </c>
    </row>
    <row r="806" spans="1:19" ht="21.95" customHeight="1">
      <c r="A806" s="66" t="s">
        <v>1739</v>
      </c>
      <c r="B806" s="64"/>
      <c r="C806" s="65"/>
      <c r="D806" s="64"/>
      <c r="E806" s="64"/>
      <c r="F806" s="60"/>
      <c r="G806" s="60" t="s">
        <v>88</v>
      </c>
      <c r="H806" s="60" t="str">
        <f>IFERROR(INDEX('Docketed Comments'!C:C,MATCH(A806,'Docketed Comments'!H:H,0))&amp;", "&amp;INDEX('Docketed Comments'!B:B,MATCH(A806,'Docketed Comments'!H:H,0)),"")</f>
        <v>Dawn, Hayes</v>
      </c>
      <c r="I806" s="60" t="str">
        <f>IFERROR(INDEX('Docketed Comments'!D:D,MATCH(A806,'Docketed Comments'!H:H,0)),"")</f>
        <v>Surprise</v>
      </c>
      <c r="J806" s="60" t="str">
        <f>IFERROR(INDEX('Docketed Comments'!I:I,MATCH(A806,'Docketed Comments'!H:H,0)),"")</f>
        <v>R3-47</v>
      </c>
      <c r="K806" s="60" t="str">
        <f t="shared" si="25"/>
        <v>✅ On Best Plan</v>
      </c>
      <c r="L806" s="60" t="str">
        <f>IFERROR(INDEX('Docketed Comments'!F:F,MATCH(A806,'Docketed Comments'!H:H,0)),"")</f>
        <v>There is no need to increase residential rates. we are already paying an all-time high</v>
      </c>
      <c r="M806" s="120" t="str">
        <f>IFERROR(INDEX('Docketed Comments'!G:G,MATCH(A806,'Docketed Comments'!H:H,0)),"")</f>
        <v>https://docket.images.azcc.gov/E000047935.pdf</v>
      </c>
      <c r="N806" s="118" t="str">
        <f>IFERROR(INDEX('Docketed Comments'!N:N,MATCH(A806,'Docketed Comments'!H:H,0)),"")</f>
        <v>No</v>
      </c>
      <c r="O806" s="118" t="str">
        <f>IFERROR(INDEX('Docketed Comments'!L:L,MATCH(A806,'Docketed Comments'!H:H,0)),"")</f>
        <v>Yes</v>
      </c>
      <c r="P806" s="119">
        <f t="shared" si="24"/>
        <v>0</v>
      </c>
      <c r="Q806" s="60"/>
      <c r="R806" s="64" t="s">
        <v>75</v>
      </c>
      <c r="S806" s="64" t="s">
        <v>1740</v>
      </c>
    </row>
    <row r="807" spans="1:19" ht="21.95" customHeight="1">
      <c r="A807" s="66" t="s">
        <v>1741</v>
      </c>
      <c r="B807" s="64"/>
      <c r="C807" s="65"/>
      <c r="D807" s="64"/>
      <c r="E807" s="64"/>
      <c r="F807" s="60"/>
      <c r="G807" s="60" t="s">
        <v>88</v>
      </c>
      <c r="H807" s="60" t="str">
        <f>IFERROR(INDEX('Docketed Comments'!C:C,MATCH(A807,'Docketed Comments'!H:H,0))&amp;", "&amp;INDEX('Docketed Comments'!B:B,MATCH(A807,'Docketed Comments'!H:H,0)),"")</f>
        <v>Cassandra, Jenkins</v>
      </c>
      <c r="I807" s="60" t="str">
        <f>IFERROR(INDEX('Docketed Comments'!D:D,MATCH(A807,'Docketed Comments'!H:H,0)),"")</f>
        <v>Buckeye</v>
      </c>
      <c r="J807" s="60" t="str">
        <f>IFERROR(INDEX('Docketed Comments'!I:I,MATCH(A807,'Docketed Comments'!H:H,0)),"")</f>
        <v>RCPw/RTOUE47</v>
      </c>
      <c r="K807" s="60" t="str">
        <f t="shared" si="25"/>
        <v>✅ On Best Plan</v>
      </c>
      <c r="L807" s="60" t="str">
        <f>IFERROR(INDEX('Docketed Comments'!F:F,MATCH(A807,'Docketed Comments'!H:H,0)),"")</f>
        <v>Opposed rate hike, increase solar buy back.</v>
      </c>
      <c r="M807" s="120" t="str">
        <f>IFERROR(INDEX('Docketed Comments'!G:G,MATCH(A807,'Docketed Comments'!H:H,0)),"")</f>
        <v>https://docket.images.azcc.gov/E000047935.pdf</v>
      </c>
      <c r="N807" s="118" t="str">
        <f>IFERROR(INDEX('Docketed Comments'!N:N,MATCH(A807,'Docketed Comments'!H:H,0)),"")</f>
        <v>No</v>
      </c>
      <c r="O807" s="118" t="str">
        <f>IFERROR(INDEX('Docketed Comments'!L:L,MATCH(A807,'Docketed Comments'!H:H,0)),"")</f>
        <v>Yes</v>
      </c>
      <c r="P807" s="119">
        <f t="shared" si="24"/>
        <v>0</v>
      </c>
      <c r="Q807" s="60"/>
      <c r="R807" s="64" t="s">
        <v>75</v>
      </c>
      <c r="S807" s="64" t="s">
        <v>1742</v>
      </c>
    </row>
    <row r="808" spans="1:19" ht="21.95" hidden="1" customHeight="1">
      <c r="A808" s="66" t="s">
        <v>1743</v>
      </c>
      <c r="B808" s="64" t="s">
        <v>31</v>
      </c>
      <c r="C808" s="65">
        <v>46067</v>
      </c>
      <c r="D808" s="64" t="s">
        <v>27</v>
      </c>
      <c r="E808" s="64" t="s">
        <v>35</v>
      </c>
      <c r="F808" s="60"/>
      <c r="G808" s="60"/>
      <c r="H808" s="60" t="str">
        <f>IFERROR(INDEX('Docketed Comments'!C:C,MATCH(A808,'Docketed Comments'!H:H,0))&amp;", "&amp;INDEX('Docketed Comments'!B:B,MATCH(A808,'Docketed Comments'!H:H,0)),"")</f>
        <v>Roger, Ghiardi</v>
      </c>
      <c r="I808" s="60" t="str">
        <f>IFERROR(INDEX('Docketed Comments'!D:D,MATCH(A808,'Docketed Comments'!H:H,0)),"")</f>
        <v>El Mirage</v>
      </c>
      <c r="J808" s="60" t="str">
        <f>IFERROR(INDEX('Docketed Comments'!I:I,MATCH(A808,'Docketed Comments'!H:H,0)),"")</f>
        <v>RCPw/RTOUE47</v>
      </c>
      <c r="K808" s="60" t="str">
        <f t="shared" si="25"/>
        <v>✅ On Best Plan</v>
      </c>
      <c r="L808" s="60" t="str">
        <f>IFERROR(INDEX('Docketed Comments'!F:F,MATCH(A808,'Docketed Comments'!H:H,0)),"")</f>
        <v>Opposed to rate hike and solar fee. Main lines going to data centers</v>
      </c>
      <c r="M808" s="120" t="str">
        <f>IFERROR(INDEX('Docketed Comments'!G:G,MATCH(A808,'Docketed Comments'!H:H,0)),"")</f>
        <v>https://docket.images.azcc.gov/E000047935.pdf</v>
      </c>
      <c r="N808" s="118" t="str">
        <f>IFERROR(INDEX('Docketed Comments'!N:N,MATCH(A808,'Docketed Comments'!H:H,0)),"")</f>
        <v>No</v>
      </c>
      <c r="O808" s="118" t="str">
        <f>IFERROR(INDEX('Docketed Comments'!L:L,MATCH(A808,'Docketed Comments'!H:H,0)),"")</f>
        <v>Yes</v>
      </c>
      <c r="P808" s="119">
        <f t="shared" si="24"/>
        <v>0</v>
      </c>
      <c r="Q808" s="60" t="s">
        <v>23</v>
      </c>
      <c r="R808" s="64" t="s">
        <v>24</v>
      </c>
      <c r="S808" s="64" t="s">
        <v>1744</v>
      </c>
    </row>
    <row r="809" spans="1:19" ht="21.95" customHeight="1">
      <c r="A809" s="66" t="s">
        <v>1745</v>
      </c>
      <c r="B809" s="64"/>
      <c r="C809" s="65"/>
      <c r="D809" s="64"/>
      <c r="E809" s="64"/>
      <c r="F809" s="60"/>
      <c r="G809" s="60" t="s">
        <v>88</v>
      </c>
      <c r="H809" s="60" t="str">
        <f>IFERROR(INDEX('Docketed Comments'!C:C,MATCH(A809,'Docketed Comments'!H:H,0))&amp;", "&amp;INDEX('Docketed Comments'!B:B,MATCH(A809,'Docketed Comments'!H:H,0)),"")</f>
        <v>Philip and Vicky, Elleray</v>
      </c>
      <c r="I809" s="60" t="str">
        <f>IFERROR(INDEX('Docketed Comments'!D:D,MATCH(A809,'Docketed Comments'!H:H,0)),"")</f>
        <v>Peoria</v>
      </c>
      <c r="J809" s="60" t="str">
        <f>IFERROR(INDEX('Docketed Comments'!I:I,MATCH(A809,'Docketed Comments'!H:H,0)),"")</f>
        <v>R-BASIC</v>
      </c>
      <c r="K809" s="60" t="str">
        <f t="shared" si="25"/>
        <v>✅ On Best Plan</v>
      </c>
      <c r="L809" s="60" t="str">
        <f>IFERROR(INDEX('Docketed Comments'!F:F,MATCH(A809,'Docketed Comments'!H:H,0)),"")</f>
        <v xml:space="preserve"> For a retired person and disabled veteran, that is an excessive rate increase</v>
      </c>
      <c r="M809" s="120" t="str">
        <f>IFERROR(INDEX('Docketed Comments'!G:G,MATCH(A809,'Docketed Comments'!H:H,0)),"")</f>
        <v>https://docket.images.azcc.gov/E000047995.pdf</v>
      </c>
      <c r="N809" s="118" t="str">
        <f>IFERROR(INDEX('Docketed Comments'!N:N,MATCH(A809,'Docketed Comments'!H:H,0)),"")</f>
        <v>No</v>
      </c>
      <c r="O809" s="118" t="str">
        <f>IFERROR(INDEX('Docketed Comments'!L:L,MATCH(A809,'Docketed Comments'!H:H,0)),"")</f>
        <v>Yes</v>
      </c>
      <c r="P809" s="119">
        <f t="shared" si="24"/>
        <v>0</v>
      </c>
      <c r="Q809" s="60"/>
      <c r="R809" s="64" t="s">
        <v>75</v>
      </c>
      <c r="S809" s="64" t="s">
        <v>1746</v>
      </c>
    </row>
    <row r="810" spans="1:19" ht="21.95" customHeight="1">
      <c r="A810" s="66" t="s">
        <v>1747</v>
      </c>
      <c r="B810" s="64"/>
      <c r="C810" s="65"/>
      <c r="D810" s="64"/>
      <c r="E810" s="64"/>
      <c r="F810" s="60"/>
      <c r="G810" s="60" t="s">
        <v>88</v>
      </c>
      <c r="H810" s="60" t="str">
        <f>IFERROR(INDEX('Docketed Comments'!C:C,MATCH(A810,'Docketed Comments'!H:H,0))&amp;", "&amp;INDEX('Docketed Comments'!B:B,MATCH(A810,'Docketed Comments'!H:H,0)),"")</f>
        <v>Dorothy, Minnesota</v>
      </c>
      <c r="I810" s="60" t="str">
        <f>IFERROR(INDEX('Docketed Comments'!D:D,MATCH(A810,'Docketed Comments'!H:H,0)),"")</f>
        <v>Surprise</v>
      </c>
      <c r="J810" s="60" t="str">
        <f>IFERROR(INDEX('Docketed Comments'!I:I,MATCH(A810,'Docketed Comments'!H:H,0)),"")</f>
        <v>R3-47</v>
      </c>
      <c r="K810" s="60" t="str">
        <f t="shared" si="25"/>
        <v>✅ On Best Plan</v>
      </c>
      <c r="L810" s="60" t="str">
        <f>IFERROR(INDEX('Docketed Comments'!F:F,MATCH(A810,'Docketed Comments'!H:H,0)),"")</f>
        <v>Fixed income, my pay doesn't go up at this rate</v>
      </c>
      <c r="M810" s="120" t="str">
        <f>IFERROR(INDEX('Docketed Comments'!G:G,MATCH(A810,'Docketed Comments'!H:H,0)),"")</f>
        <v>https://docket.images.azcc.gov/0000215712.pdf</v>
      </c>
      <c r="N810" s="118" t="str">
        <f>IFERROR(INDEX('Docketed Comments'!N:N,MATCH(A810,'Docketed Comments'!H:H,0)),"")</f>
        <v>No</v>
      </c>
      <c r="O810" s="118" t="str">
        <f>IFERROR(INDEX('Docketed Comments'!L:L,MATCH(A810,'Docketed Comments'!H:H,0)),"")</f>
        <v>Yes</v>
      </c>
      <c r="P810" s="119">
        <f t="shared" si="24"/>
        <v>0</v>
      </c>
      <c r="Q810" s="60"/>
      <c r="R810" s="64" t="s">
        <v>75</v>
      </c>
      <c r="S810" s="64" t="s">
        <v>1748</v>
      </c>
    </row>
    <row r="811" spans="1:19" ht="21.95" customHeight="1">
      <c r="A811" s="66" t="s">
        <v>1749</v>
      </c>
      <c r="B811" s="64"/>
      <c r="C811" s="65"/>
      <c r="D811" s="64"/>
      <c r="E811" s="64"/>
      <c r="F811" s="60"/>
      <c r="G811" s="60" t="s">
        <v>88</v>
      </c>
      <c r="H811" s="60" t="str">
        <f>IFERROR(INDEX('Docketed Comments'!C:C,MATCH(A811,'Docketed Comments'!H:H,0))&amp;", "&amp;INDEX('Docketed Comments'!B:B,MATCH(A811,'Docketed Comments'!H:H,0)),"")</f>
        <v>Beth, Ballmann</v>
      </c>
      <c r="I811" s="60" t="str">
        <f>IFERROR(INDEX('Docketed Comments'!D:D,MATCH(A811,'Docketed Comments'!H:H,0)),"")</f>
        <v>Cave Creek</v>
      </c>
      <c r="J811" s="60" t="str">
        <f>IFERROR(INDEX('Docketed Comments'!I:I,MATCH(A811,'Docketed Comments'!H:H,0)),"")</f>
        <v>R3-47</v>
      </c>
      <c r="K811" s="60" t="str">
        <f t="shared" si="25"/>
        <v>✅ On Best Plan</v>
      </c>
      <c r="L811" s="60" t="str">
        <f>IFERROR(INDEX('Docketed Comments'!F:F,MATCH(A811,'Docketed Comments'!H:H,0)),"")</f>
        <v>Seek solutions that will lower rates for all of Arizona</v>
      </c>
      <c r="M811" s="120" t="str">
        <f>IFERROR(INDEX('Docketed Comments'!G:G,MATCH(A811,'Docketed Comments'!H:H,0)),"")</f>
        <v>https://docket.images.azcc.gov/0000215712.pdf</v>
      </c>
      <c r="N811" s="118" t="str">
        <f>IFERROR(INDEX('Docketed Comments'!N:N,MATCH(A811,'Docketed Comments'!H:H,0)),"")</f>
        <v>No</v>
      </c>
      <c r="O811" s="118" t="str">
        <f>IFERROR(INDEX('Docketed Comments'!L:L,MATCH(A811,'Docketed Comments'!H:H,0)),"")</f>
        <v>Yes</v>
      </c>
      <c r="P811" s="119">
        <f t="shared" si="24"/>
        <v>0</v>
      </c>
      <c r="Q811" s="60"/>
      <c r="R811" s="64" t="s">
        <v>75</v>
      </c>
      <c r="S811" s="64" t="s">
        <v>1750</v>
      </c>
    </row>
    <row r="812" spans="1:19" ht="21.95" customHeight="1">
      <c r="A812" s="66" t="s">
        <v>1751</v>
      </c>
      <c r="B812" s="64"/>
      <c r="C812" s="65"/>
      <c r="D812" s="64"/>
      <c r="E812" s="64"/>
      <c r="F812" s="60"/>
      <c r="G812" s="60" t="s">
        <v>88</v>
      </c>
      <c r="H812" s="60" t="str">
        <f>IFERROR(INDEX('Docketed Comments'!C:C,MATCH(A812,'Docketed Comments'!H:H,0))&amp;", "&amp;INDEX('Docketed Comments'!B:B,MATCH(A812,'Docketed Comments'!H:H,0)),"")</f>
        <v>Kamal, Ranchhod</v>
      </c>
      <c r="I812" s="60" t="str">
        <f>IFERROR(INDEX('Docketed Comments'!D:D,MATCH(A812,'Docketed Comments'!H:H,0)),"")</f>
        <v>Buckeye</v>
      </c>
      <c r="J812" s="60" t="str">
        <f>IFERROR(INDEX('Docketed Comments'!I:I,MATCH(A812,'Docketed Comments'!H:H,0)),"")</f>
        <v>RCPw/R3-47</v>
      </c>
      <c r="K812" s="60" t="str">
        <f t="shared" si="25"/>
        <v>✅ On Best Plan</v>
      </c>
      <c r="L812" s="60" t="str">
        <f>IFERROR(INDEX('Docketed Comments'!F:F,MATCH(A812,'Docketed Comments'!H:H,0)),"")</f>
        <v>Opposed: Retired on fixed income</v>
      </c>
      <c r="M812" s="120" t="str">
        <f>IFERROR(INDEX('Docketed Comments'!G:G,MATCH(A812,'Docketed Comments'!H:H,0)),"")</f>
        <v>https://docket.images.azcc.gov/E000048180.pdf</v>
      </c>
      <c r="N812" s="118" t="str">
        <f>IFERROR(INDEX('Docketed Comments'!N:N,MATCH(A812,'Docketed Comments'!H:H,0)),"")</f>
        <v>No</v>
      </c>
      <c r="O812" s="118" t="str">
        <f>IFERROR(INDEX('Docketed Comments'!L:L,MATCH(A812,'Docketed Comments'!H:H,0)),"")</f>
        <v>Yes</v>
      </c>
      <c r="P812" s="119">
        <f t="shared" si="24"/>
        <v>0</v>
      </c>
      <c r="Q812" s="60"/>
      <c r="R812" s="64" t="s">
        <v>75</v>
      </c>
      <c r="S812" s="64" t="s">
        <v>1752</v>
      </c>
    </row>
    <row r="813" spans="1:19" ht="21.95" hidden="1" customHeight="1">
      <c r="A813" s="66" t="s">
        <v>1753</v>
      </c>
      <c r="B813" s="64" t="s">
        <v>31</v>
      </c>
      <c r="C813" s="65">
        <v>46060</v>
      </c>
      <c r="D813" s="64" t="s">
        <v>21</v>
      </c>
      <c r="E813" s="64" t="s">
        <v>22</v>
      </c>
      <c r="F813" s="60" t="s">
        <v>60</v>
      </c>
      <c r="G813" s="60"/>
      <c r="H813" s="60" t="str">
        <f>IFERROR(INDEX('Docketed Comments'!C:C,MATCH(A813,'Docketed Comments'!H:H,0))&amp;", "&amp;INDEX('Docketed Comments'!B:B,MATCH(A813,'Docketed Comments'!H:H,0)),"")</f>
        <v>Elia, Saez</v>
      </c>
      <c r="I813" s="60" t="str">
        <f>IFERROR(INDEX('Docketed Comments'!D:D,MATCH(A813,'Docketed Comments'!H:H,0)),"")</f>
        <v>Buckeye</v>
      </c>
      <c r="J813" s="60" t="str">
        <f>IFERROR(INDEX('Docketed Comments'!I:I,MATCH(A813,'Docketed Comments'!H:H,0)),"")</f>
        <v>RCPw/TOUE-47</v>
      </c>
      <c r="K813" s="60" t="str">
        <f t="shared" si="25"/>
        <v>✅ On Best Plan</v>
      </c>
      <c r="L813" s="60" t="str">
        <f>IFERROR(INDEX('Docketed Comments'!F:F,MATCH(A813,'Docketed Comments'!H:H,0)),"")</f>
        <v>We need the ACC to stand up for Arizona households</v>
      </c>
      <c r="M813" s="120" t="str">
        <f>IFERROR(INDEX('Docketed Comments'!G:G,MATCH(A813,'Docketed Comments'!H:H,0)),"")</f>
        <v>https://docket.images.azcc.gov/E000048180.pdf</v>
      </c>
      <c r="N813" s="118" t="str">
        <f>IFERROR(INDEX('Docketed Comments'!N:N,MATCH(A813,'Docketed Comments'!H:H,0)),"")</f>
        <v>No</v>
      </c>
      <c r="O813" s="118" t="str">
        <f>IFERROR(INDEX('Docketed Comments'!L:L,MATCH(A813,'Docketed Comments'!H:H,0)),"")</f>
        <v>Yes</v>
      </c>
      <c r="P813" s="119">
        <f t="shared" si="24"/>
        <v>0</v>
      </c>
      <c r="Q813" s="60" t="s">
        <v>23</v>
      </c>
      <c r="R813" s="64" t="s">
        <v>24</v>
      </c>
      <c r="S813" s="64" t="s">
        <v>1754</v>
      </c>
    </row>
    <row r="814" spans="1:19" ht="21.95" customHeight="1">
      <c r="A814" s="66" t="s">
        <v>1755</v>
      </c>
      <c r="B814" s="64"/>
      <c r="C814" s="65"/>
      <c r="D814" s="64"/>
      <c r="E814" s="64"/>
      <c r="F814" s="60"/>
      <c r="G814" s="60" t="s">
        <v>88</v>
      </c>
      <c r="H814" s="60" t="str">
        <f>IFERROR(INDEX('Docketed Comments'!C:C,MATCH(A814,'Docketed Comments'!H:H,0))&amp;", "&amp;INDEX('Docketed Comments'!B:B,MATCH(A814,'Docketed Comments'!H:H,0)),"")</f>
        <v>Thomas, Barrett</v>
      </c>
      <c r="I814" s="60" t="str">
        <f>IFERROR(INDEX('Docketed Comments'!D:D,MATCH(A814,'Docketed Comments'!H:H,0)),"")</f>
        <v>Buckeye</v>
      </c>
      <c r="J814" s="60" t="str">
        <f>IFERROR(INDEX('Docketed Comments'!I:I,MATCH(A814,'Docketed Comments'!H:H,0)),"")</f>
        <v>RCPw/R2</v>
      </c>
      <c r="K814" s="60" t="str">
        <f t="shared" si="25"/>
        <v>⚠ Frozen Plan</v>
      </c>
      <c r="L814" s="60" t="str">
        <f>IFERROR(INDEX('Docketed Comments'!F:F,MATCH(A814,'Docketed Comments'!H:H,0)),"")</f>
        <v>On a fixed income- this rate increase is unjustified</v>
      </c>
      <c r="M814" s="120" t="str">
        <f>IFERROR(INDEX('Docketed Comments'!G:G,MATCH(A814,'Docketed Comments'!H:H,0)),"")</f>
        <v>https://docket.images.azcc.gov/E000048180.pdf</v>
      </c>
      <c r="N814" s="118" t="str">
        <f>IFERROR(INDEX('Docketed Comments'!N:N,MATCH(A814,'Docketed Comments'!H:H,0)),"")</f>
        <v>No</v>
      </c>
      <c r="O814" s="118" t="str">
        <f>IFERROR(INDEX('Docketed Comments'!L:L,MATCH(A814,'Docketed Comments'!H:H,0)),"")</f>
        <v>Frozen Plan</v>
      </c>
      <c r="P814" s="119">
        <f t="shared" si="24"/>
        <v>0</v>
      </c>
      <c r="Q814" s="60"/>
      <c r="R814" s="64" t="s">
        <v>75</v>
      </c>
      <c r="S814" s="64" t="s">
        <v>1756</v>
      </c>
    </row>
    <row r="815" spans="1:19" ht="21.95" hidden="1" customHeight="1">
      <c r="A815" s="66" t="s">
        <v>1757</v>
      </c>
      <c r="B815" s="64" t="s">
        <v>31</v>
      </c>
      <c r="C815" s="65">
        <v>46060</v>
      </c>
      <c r="D815" s="64" t="s">
        <v>21</v>
      </c>
      <c r="E815" s="64" t="s">
        <v>22</v>
      </c>
      <c r="F815" s="60" t="s">
        <v>60</v>
      </c>
      <c r="G815" s="60"/>
      <c r="H815" s="60" t="str">
        <f>IFERROR(INDEX('Docketed Comments'!C:C,MATCH(A815,'Docketed Comments'!H:H,0))&amp;", "&amp;INDEX('Docketed Comments'!B:B,MATCH(A815,'Docketed Comments'!H:H,0)),"")</f>
        <v>Michael, Jones</v>
      </c>
      <c r="I815" s="60" t="str">
        <f>IFERROR(INDEX('Docketed Comments'!D:D,MATCH(A815,'Docketed Comments'!H:H,0)),"")</f>
        <v>Chino Valley</v>
      </c>
      <c r="J815" s="60" t="str">
        <f>IFERROR(INDEX('Docketed Comments'!I:I,MATCH(A815,'Docketed Comments'!H:H,0)),"")</f>
        <v>R-BASIC</v>
      </c>
      <c r="K815" s="60" t="str">
        <f t="shared" si="25"/>
        <v>✅ On Best Plan</v>
      </c>
      <c r="L815" s="60" t="str">
        <f>IFERROR(INDEX('Docketed Comments'!F:F,MATCH(A815,'Docketed Comments'!H:H,0)),"")</f>
        <v>Opposed - against solar and wind, only reliable sources are nuclear, hydro-electric, natural gas and coal.</v>
      </c>
      <c r="M815" s="120" t="str">
        <f>IFERROR(INDEX('Docketed Comments'!G:G,MATCH(A815,'Docketed Comments'!H:H,0)),"")</f>
        <v>https://docket.images.azcc.gov/E000048206.pdf</v>
      </c>
      <c r="N815" s="118" t="str">
        <f>IFERROR(INDEX('Docketed Comments'!N:N,MATCH(A815,'Docketed Comments'!H:H,0)),"")</f>
        <v>No</v>
      </c>
      <c r="O815" s="118" t="str">
        <f>IFERROR(INDEX('Docketed Comments'!L:L,MATCH(A815,'Docketed Comments'!H:H,0)),"")</f>
        <v>Yes</v>
      </c>
      <c r="P815" s="119">
        <f t="shared" si="24"/>
        <v>0</v>
      </c>
      <c r="Q815" s="60" t="s">
        <v>23</v>
      </c>
      <c r="R815" s="64" t="s">
        <v>24</v>
      </c>
      <c r="S815" s="64" t="s">
        <v>1758</v>
      </c>
    </row>
    <row r="816" spans="1:19" ht="21.95" customHeight="1">
      <c r="A816" s="66" t="s">
        <v>1759</v>
      </c>
      <c r="B816" s="64"/>
      <c r="C816" s="65"/>
      <c r="D816" s="64"/>
      <c r="E816" s="64"/>
      <c r="F816" s="60"/>
      <c r="G816" s="60" t="s">
        <v>88</v>
      </c>
      <c r="H816" s="60" t="str">
        <f>IFERROR(INDEX('Docketed Comments'!C:C,MATCH(A816,'Docketed Comments'!H:H,0))&amp;", "&amp;INDEX('Docketed Comments'!B:B,MATCH(A816,'Docketed Comments'!H:H,0)),"")</f>
        <v>Marc, Arvizu</v>
      </c>
      <c r="I816" s="60" t="str">
        <f>IFERROR(INDEX('Docketed Comments'!D:D,MATCH(A816,'Docketed Comments'!H:H,0)),"")</f>
        <v>Phoenix</v>
      </c>
      <c r="J816" s="60" t="str">
        <f>IFERROR(INDEX('Docketed Comments'!I:I,MATCH(A816,'Docketed Comments'!H:H,0)),"")</f>
        <v>R-BASIC</v>
      </c>
      <c r="K816" s="60" t="str">
        <f t="shared" si="25"/>
        <v>✅ On Best Plan</v>
      </c>
      <c r="L816" s="60" t="str">
        <f>IFERROR(INDEX('Docketed Comments'!F:F,MATCH(A816,'Docketed Comments'!H:H,0)),"")</f>
        <v>Form Letter: Enough is enough! You must reject the latest 14% rate hikes by APS e TEP</v>
      </c>
      <c r="M816" s="120" t="str">
        <f>IFERROR(INDEX('Docketed Comments'!G:G,MATCH(A816,'Docketed Comments'!H:H,0)),"")</f>
        <v>https://docket.images.azcc.gov/E000048311.pdf</v>
      </c>
      <c r="N816" s="118" t="str">
        <f>IFERROR(INDEX('Docketed Comments'!N:N,MATCH(A816,'Docketed Comments'!H:H,0)),"")</f>
        <v>No</v>
      </c>
      <c r="O816" s="118" t="str">
        <f>IFERROR(INDEX('Docketed Comments'!L:L,MATCH(A816,'Docketed Comments'!H:H,0)),"")</f>
        <v>Yes</v>
      </c>
      <c r="P816" s="119">
        <f t="shared" si="24"/>
        <v>0</v>
      </c>
      <c r="Q816" s="60"/>
      <c r="R816" s="64" t="s">
        <v>75</v>
      </c>
      <c r="S816" s="64" t="s">
        <v>1760</v>
      </c>
    </row>
    <row r="817" spans="1:19" ht="21.95" hidden="1" customHeight="1">
      <c r="A817" s="66" t="s">
        <v>1761</v>
      </c>
      <c r="B817" s="64" t="s">
        <v>31</v>
      </c>
      <c r="C817" s="65">
        <v>46060</v>
      </c>
      <c r="D817" s="64" t="s">
        <v>21</v>
      </c>
      <c r="E817" s="64" t="s">
        <v>22</v>
      </c>
      <c r="F817" s="60" t="s">
        <v>60</v>
      </c>
      <c r="G817" s="60"/>
      <c r="H817" s="60" t="str">
        <f>IFERROR(INDEX('Docketed Comments'!C:C,MATCH(A817,'Docketed Comments'!H:H,0))&amp;", "&amp;INDEX('Docketed Comments'!B:B,MATCH(A817,'Docketed Comments'!H:H,0)),"")</f>
        <v>Audrey, Jones</v>
      </c>
      <c r="I817" s="60" t="str">
        <f>IFERROR(INDEX('Docketed Comments'!D:D,MATCH(A817,'Docketed Comments'!H:H,0)),"")</f>
        <v>New River</v>
      </c>
      <c r="J817" s="60" t="str">
        <f>IFERROR(INDEX('Docketed Comments'!I:I,MATCH(A817,'Docketed Comments'!H:H,0)),"")</f>
        <v>RCPw/TOUE-47</v>
      </c>
      <c r="K817" s="60" t="str">
        <f t="shared" si="25"/>
        <v>✅ On Best Plan</v>
      </c>
      <c r="L817" s="60" t="str">
        <f>IFERROR(INDEX('Docketed Comments'!F:F,MATCH(A817,'Docketed Comments'!H:H,0)),"")</f>
        <v>Form Letter: Enough is enough! You must reject the latest 14% rate hikes by APS e TEP</v>
      </c>
      <c r="M817" s="120" t="str">
        <f>IFERROR(INDEX('Docketed Comments'!G:G,MATCH(A817,'Docketed Comments'!H:H,0)),"")</f>
        <v>https://docket.images.azcc.gov/E000048311.pdf</v>
      </c>
      <c r="N817" s="118" t="str">
        <f>IFERROR(INDEX('Docketed Comments'!N:N,MATCH(A817,'Docketed Comments'!H:H,0)),"")</f>
        <v>No</v>
      </c>
      <c r="O817" s="118" t="str">
        <f>IFERROR(INDEX('Docketed Comments'!L:L,MATCH(A817,'Docketed Comments'!H:H,0)),"")</f>
        <v>Yes</v>
      </c>
      <c r="P817" s="119">
        <f t="shared" si="24"/>
        <v>0</v>
      </c>
      <c r="Q817" s="60" t="s">
        <v>23</v>
      </c>
      <c r="R817" s="64" t="s">
        <v>24</v>
      </c>
      <c r="S817" s="64" t="s">
        <v>1762</v>
      </c>
    </row>
    <row r="818" spans="1:19" ht="21.95" customHeight="1">
      <c r="A818" s="66" t="s">
        <v>1763</v>
      </c>
      <c r="B818" s="64"/>
      <c r="C818" s="65"/>
      <c r="D818" s="64"/>
      <c r="E818" s="64"/>
      <c r="F818" s="60"/>
      <c r="G818" s="60" t="s">
        <v>88</v>
      </c>
      <c r="H818" s="60" t="str">
        <f>IFERROR(INDEX('Docketed Comments'!C:C,MATCH(A818,'Docketed Comments'!H:H,0))&amp;", "&amp;INDEX('Docketed Comments'!B:B,MATCH(A818,'Docketed Comments'!H:H,0)),"")</f>
        <v>Wade, Lengele</v>
      </c>
      <c r="I818" s="60" t="str">
        <f>IFERROR(INDEX('Docketed Comments'!D:D,MATCH(A818,'Docketed Comments'!H:H,0)),"")</f>
        <v>Phoenix</v>
      </c>
      <c r="J818" s="60" t="str">
        <f>IFERROR(INDEX('Docketed Comments'!I:I,MATCH(A818,'Docketed Comments'!H:H,0)),"")</f>
        <v>R3-47</v>
      </c>
      <c r="K818" s="60" t="str">
        <f t="shared" si="25"/>
        <v>✅ On Best Plan</v>
      </c>
      <c r="L818" s="60" t="str">
        <f>IFERROR(INDEX('Docketed Comments'!F:F,MATCH(A818,'Docketed Comments'!H:H,0)),"")</f>
        <v>Opposed to any rate increase request that subsidize costs associated with infrastructure for industrial custoemrs/data centers</v>
      </c>
      <c r="M818" s="120" t="str">
        <f>IFERROR(INDEX('Docketed Comments'!G:G,MATCH(A818,'Docketed Comments'!H:H,0)),"")</f>
        <v>https://docket.images.azcc.gov/E000048402.pdf</v>
      </c>
      <c r="N818" s="118" t="str">
        <f>IFERROR(INDEX('Docketed Comments'!N:N,MATCH(A818,'Docketed Comments'!H:H,0)),"")</f>
        <v>No</v>
      </c>
      <c r="O818" s="118" t="str">
        <f>IFERROR(INDEX('Docketed Comments'!L:L,MATCH(A818,'Docketed Comments'!H:H,0)),"")</f>
        <v>Yes</v>
      </c>
      <c r="P818" s="119">
        <f t="shared" si="24"/>
        <v>0</v>
      </c>
      <c r="Q818" s="60"/>
      <c r="R818" s="64" t="s">
        <v>75</v>
      </c>
      <c r="S818" s="64" t="s">
        <v>1764</v>
      </c>
    </row>
    <row r="819" spans="1:19" ht="21.95" customHeight="1">
      <c r="A819" s="66" t="s">
        <v>1765</v>
      </c>
      <c r="B819" s="64"/>
      <c r="C819" s="65"/>
      <c r="D819" s="64"/>
      <c r="E819" s="64"/>
      <c r="F819" s="60"/>
      <c r="G819" s="60" t="s">
        <v>88</v>
      </c>
      <c r="H819" s="60" t="str">
        <f>IFERROR(INDEX('Docketed Comments'!C:C,MATCH(A819,'Docketed Comments'!H:H,0))&amp;", "&amp;INDEX('Docketed Comments'!B:B,MATCH(A819,'Docketed Comments'!H:H,0)),"")</f>
        <v>Glenda, Krause</v>
      </c>
      <c r="I819" s="60" t="str">
        <f>IFERROR(INDEX('Docketed Comments'!D:D,MATCH(A819,'Docketed Comments'!H:H,0)),"")</f>
        <v>Phoenix</v>
      </c>
      <c r="J819" s="60" t="str">
        <f>IFERROR(INDEX('Docketed Comments'!I:I,MATCH(A819,'Docketed Comments'!H:H,0)),"")</f>
        <v>R-BASIC</v>
      </c>
      <c r="K819" s="60" t="str">
        <f t="shared" si="25"/>
        <v>✅ On Best Plan</v>
      </c>
      <c r="L819" s="60" t="str">
        <f>IFERROR(INDEX('Docketed Comments'!F:F,MATCH(A819,'Docketed Comments'!H:H,0)),"")</f>
        <v>Form Letter: Enough is enough! You must reject the latest 14% rate hikes by APS e TEP</v>
      </c>
      <c r="M819" s="120" t="str">
        <f>IFERROR(INDEX('Docketed Comments'!G:G,MATCH(A819,'Docketed Comments'!H:H,0)),"")</f>
        <v>https://docket.images.azcc.gov/E000048419.pdf</v>
      </c>
      <c r="N819" s="118" t="str">
        <f>IFERROR(INDEX('Docketed Comments'!N:N,MATCH(A819,'Docketed Comments'!H:H,0)),"")</f>
        <v>No</v>
      </c>
      <c r="O819" s="118" t="str">
        <f>IFERROR(INDEX('Docketed Comments'!L:L,MATCH(A819,'Docketed Comments'!H:H,0)),"")</f>
        <v>Yes</v>
      </c>
      <c r="P819" s="119">
        <f t="shared" si="24"/>
        <v>0</v>
      </c>
      <c r="Q819" s="60"/>
      <c r="R819" s="64" t="s">
        <v>75</v>
      </c>
      <c r="S819" s="64" t="s">
        <v>1766</v>
      </c>
    </row>
    <row r="820" spans="1:19" ht="21.95" customHeight="1">
      <c r="A820" s="66" t="s">
        <v>1767</v>
      </c>
      <c r="B820" s="64"/>
      <c r="C820" s="65"/>
      <c r="D820" s="64"/>
      <c r="E820" s="64"/>
      <c r="F820" s="60"/>
      <c r="G820" s="60" t="s">
        <v>88</v>
      </c>
      <c r="H820" s="60" t="str">
        <f>IFERROR(INDEX('Docketed Comments'!C:C,MATCH(A820,'Docketed Comments'!H:H,0))&amp;", "&amp;INDEX('Docketed Comments'!B:B,MATCH(A820,'Docketed Comments'!H:H,0)),"")</f>
        <v>William, Kendrick</v>
      </c>
      <c r="I820" s="60" t="str">
        <f>IFERROR(INDEX('Docketed Comments'!D:D,MATCH(A820,'Docketed Comments'!H:H,0)),"")</f>
        <v>Peoria</v>
      </c>
      <c r="J820" s="60" t="str">
        <f>IFERROR(INDEX('Docketed Comments'!I:I,MATCH(A820,'Docketed Comments'!H:H,0)),"")</f>
        <v>R3-47</v>
      </c>
      <c r="K820" s="60" t="str">
        <f t="shared" si="25"/>
        <v>✅ On Best Plan</v>
      </c>
      <c r="L820" s="60" t="str">
        <f>IFERROR(INDEX('Docketed Comments'!F:F,MATCH(A820,'Docketed Comments'!H:H,0)),"")</f>
        <v>Form Letter: Enough is enough! You must reject the latest 14% rate hikes by APS e TEP</v>
      </c>
      <c r="M820" s="120" t="str">
        <f>IFERROR(INDEX('Docketed Comments'!G:G,MATCH(A820,'Docketed Comments'!H:H,0)),"")</f>
        <v>https://docket.images.azcc.gov/E000048419.pdf</v>
      </c>
      <c r="N820" s="118" t="str">
        <f>IFERROR(INDEX('Docketed Comments'!N:N,MATCH(A820,'Docketed Comments'!H:H,0)),"")</f>
        <v>No</v>
      </c>
      <c r="O820" s="118" t="str">
        <f>IFERROR(INDEX('Docketed Comments'!L:L,MATCH(A820,'Docketed Comments'!H:H,0)),"")</f>
        <v>Yes</v>
      </c>
      <c r="P820" s="119">
        <f t="shared" si="24"/>
        <v>0</v>
      </c>
      <c r="Q820" s="60"/>
      <c r="R820" s="64" t="s">
        <v>75</v>
      </c>
      <c r="S820" s="64" t="s">
        <v>1768</v>
      </c>
    </row>
    <row r="821" spans="1:19" ht="21.95" customHeight="1">
      <c r="A821" s="66" t="s">
        <v>1769</v>
      </c>
      <c r="B821" s="64"/>
      <c r="C821" s="65"/>
      <c r="D821" s="64"/>
      <c r="E821" s="64"/>
      <c r="F821" s="60"/>
      <c r="G821" s="60" t="s">
        <v>88</v>
      </c>
      <c r="H821" s="60" t="str">
        <f>IFERROR(INDEX('Docketed Comments'!C:C,MATCH(A821,'Docketed Comments'!H:H,0))&amp;", "&amp;INDEX('Docketed Comments'!B:B,MATCH(A821,'Docketed Comments'!H:H,0)),"")</f>
        <v>James, Vastbinder</v>
      </c>
      <c r="I821" s="60" t="str">
        <f>IFERROR(INDEX('Docketed Comments'!D:D,MATCH(A821,'Docketed Comments'!H:H,0)),"")</f>
        <v>Phoenix</v>
      </c>
      <c r="J821" s="60" t="str">
        <f>IFERROR(INDEX('Docketed Comments'!I:I,MATCH(A821,'Docketed Comments'!H:H,0)),"")</f>
        <v>RCPw/TOUE-47</v>
      </c>
      <c r="K821" s="60" t="str">
        <f t="shared" si="25"/>
        <v>✅ On Best Plan</v>
      </c>
      <c r="L821" s="60" t="str">
        <f>IFERROR(INDEX('Docketed Comments'!F:F,MATCH(A821,'Docketed Comments'!H:H,0)),"")</f>
        <v>Form Letter: Enough is enough! You must reject the latest 14% rate hikes by APS e TEP</v>
      </c>
      <c r="M821" s="120" t="str">
        <f>IFERROR(INDEX('Docketed Comments'!G:G,MATCH(A821,'Docketed Comments'!H:H,0)),"")</f>
        <v>https://docket.images.azcc.gov/E000048419.pdf</v>
      </c>
      <c r="N821" s="118" t="str">
        <f>IFERROR(INDEX('Docketed Comments'!N:N,MATCH(A821,'Docketed Comments'!H:H,0)),"")</f>
        <v>No</v>
      </c>
      <c r="O821" s="118" t="str">
        <f>IFERROR(INDEX('Docketed Comments'!L:L,MATCH(A821,'Docketed Comments'!H:H,0)),"")</f>
        <v>Yes</v>
      </c>
      <c r="P821" s="119">
        <f t="shared" si="24"/>
        <v>0</v>
      </c>
      <c r="Q821" s="60"/>
      <c r="R821" s="64" t="s">
        <v>75</v>
      </c>
      <c r="S821" s="64" t="s">
        <v>1770</v>
      </c>
    </row>
    <row r="822" spans="1:19" ht="21.95" customHeight="1">
      <c r="A822" s="66" t="s">
        <v>1771</v>
      </c>
      <c r="B822" s="64"/>
      <c r="C822" s="65"/>
      <c r="D822" s="64"/>
      <c r="E822" s="64"/>
      <c r="F822" s="60"/>
      <c r="G822" s="60" t="s">
        <v>88</v>
      </c>
      <c r="H822" s="60" t="str">
        <f>IFERROR(INDEX('Docketed Comments'!C:C,MATCH(A822,'Docketed Comments'!H:H,0))&amp;", "&amp;INDEX('Docketed Comments'!B:B,MATCH(A822,'Docketed Comments'!H:H,0)),"")</f>
        <v>Davina, White</v>
      </c>
      <c r="I822" s="60" t="str">
        <f>IFERROR(INDEX('Docketed Comments'!D:D,MATCH(A822,'Docketed Comments'!H:H,0)),"")</f>
        <v>Peoria</v>
      </c>
      <c r="J822" s="60" t="str">
        <f>IFERROR(INDEX('Docketed Comments'!I:I,MATCH(A822,'Docketed Comments'!H:H,0)),"")</f>
        <v>R3-47</v>
      </c>
      <c r="K822" s="60" t="str">
        <f t="shared" si="25"/>
        <v>✅ On Best Plan</v>
      </c>
      <c r="L822" s="60" t="str">
        <f>IFERROR(INDEX('Docketed Comments'!F:F,MATCH(A822,'Docketed Comments'!H:H,0)),"")</f>
        <v>Opposed: I don't belileve residents should have to foot the bill for data centers</v>
      </c>
      <c r="M822" s="120" t="str">
        <f>IFERROR(INDEX('Docketed Comments'!G:G,MATCH(A822,'Docketed Comments'!H:H,0)),"")</f>
        <v>https://docket.images.azcc.gov/E000048452.pdf</v>
      </c>
      <c r="N822" s="118" t="str">
        <f>IFERROR(INDEX('Docketed Comments'!N:N,MATCH(A822,'Docketed Comments'!H:H,0)),"")</f>
        <v>No</v>
      </c>
      <c r="O822" s="118" t="str">
        <f>IFERROR(INDEX('Docketed Comments'!L:L,MATCH(A822,'Docketed Comments'!H:H,0)),"")</f>
        <v>Yes</v>
      </c>
      <c r="P822" s="119">
        <f t="shared" si="24"/>
        <v>0</v>
      </c>
      <c r="Q822" s="60"/>
      <c r="R822" s="64" t="s">
        <v>75</v>
      </c>
      <c r="S822" s="64" t="s">
        <v>1772</v>
      </c>
    </row>
    <row r="823" spans="1:19" ht="21.95" customHeight="1">
      <c r="A823" s="66" t="s">
        <v>1773</v>
      </c>
      <c r="B823" s="64"/>
      <c r="C823" s="65"/>
      <c r="D823" s="64"/>
      <c r="E823" s="64"/>
      <c r="F823" s="60"/>
      <c r="G823" s="60" t="s">
        <v>88</v>
      </c>
      <c r="H823" s="60" t="str">
        <f>IFERROR(INDEX('Docketed Comments'!C:C,MATCH(A823,'Docketed Comments'!H:H,0))&amp;", "&amp;INDEX('Docketed Comments'!B:B,MATCH(A823,'Docketed Comments'!H:H,0)),"")</f>
        <v>Robyn, Rieger</v>
      </c>
      <c r="I823" s="60" t="str">
        <f>IFERROR(INDEX('Docketed Comments'!D:D,MATCH(A823,'Docketed Comments'!H:H,0)),"")</f>
        <v>Scottsdale</v>
      </c>
      <c r="J823" s="60" t="str">
        <f>IFERROR(INDEX('Docketed Comments'!I:I,MATCH(A823,'Docketed Comments'!H:H,0)),"")</f>
        <v>R-XS</v>
      </c>
      <c r="K823" s="60" t="str">
        <f t="shared" si="25"/>
        <v>✅ On Best Plan</v>
      </c>
      <c r="L823" s="60" t="str">
        <f>IFERROR(INDEX('Docketed Comments'!F:F,MATCH(A823,'Docketed Comments'!H:H,0)),"")</f>
        <v>Form Letter: Enough is enough! You must reject the latest 14% rate hikes by APS e TEP</v>
      </c>
      <c r="M823" s="120" t="str">
        <f>IFERROR(INDEX('Docketed Comments'!G:G,MATCH(A823,'Docketed Comments'!H:H,0)),"")</f>
        <v>https://docket.images.azcc.gov/E000048452.pdf</v>
      </c>
      <c r="N823" s="118" t="str">
        <f>IFERROR(INDEX('Docketed Comments'!N:N,MATCH(A823,'Docketed Comments'!H:H,0)),"")</f>
        <v>No</v>
      </c>
      <c r="O823" s="118" t="str">
        <f>IFERROR(INDEX('Docketed Comments'!L:L,MATCH(A823,'Docketed Comments'!H:H,0)),"")</f>
        <v>Yes</v>
      </c>
      <c r="P823" s="119">
        <f t="shared" si="24"/>
        <v>0</v>
      </c>
      <c r="Q823" s="60"/>
      <c r="R823" s="64" t="s">
        <v>75</v>
      </c>
      <c r="S823" s="64" t="s">
        <v>1774</v>
      </c>
    </row>
    <row r="824" spans="1:19" ht="21.95" customHeight="1">
      <c r="A824" s="66" t="s">
        <v>1775</v>
      </c>
      <c r="B824" s="64"/>
      <c r="C824" s="65"/>
      <c r="D824" s="64"/>
      <c r="E824" s="64"/>
      <c r="F824" s="60"/>
      <c r="G824" s="60" t="s">
        <v>88</v>
      </c>
      <c r="H824" s="60" t="str">
        <f>IFERROR(INDEX('Docketed Comments'!C:C,MATCH(A824,'Docketed Comments'!H:H,0))&amp;", "&amp;INDEX('Docketed Comments'!B:B,MATCH(A824,'Docketed Comments'!H:H,0)),"")</f>
        <v>Taunia, Loveland</v>
      </c>
      <c r="I824" s="60" t="str">
        <f>IFERROR(INDEX('Docketed Comments'!D:D,MATCH(A824,'Docketed Comments'!H:H,0)),"")</f>
        <v>Phoenix</v>
      </c>
      <c r="J824" s="60" t="str">
        <f>IFERROR(INDEX('Docketed Comments'!I:I,MATCH(A824,'Docketed Comments'!H:H,0)),"")</f>
        <v>R3-47</v>
      </c>
      <c r="K824" s="60" t="str">
        <f t="shared" si="25"/>
        <v>✅ On Best Plan</v>
      </c>
      <c r="L824" s="60" t="str">
        <f>IFERROR(INDEX('Docketed Comments'!F:F,MATCH(A824,'Docketed Comments'!H:H,0)),"")</f>
        <v>Form Letter: Enough is enough! You must reject the latest 14% rate hikes by APS e TEP</v>
      </c>
      <c r="M824" s="120" t="str">
        <f>IFERROR(INDEX('Docketed Comments'!G:G,MATCH(A824,'Docketed Comments'!H:H,0)),"")</f>
        <v>https://docket.images.azcc.gov/E000048452.pdf</v>
      </c>
      <c r="N824" s="118" t="str">
        <f>IFERROR(INDEX('Docketed Comments'!N:N,MATCH(A824,'Docketed Comments'!H:H,0)),"")</f>
        <v>No</v>
      </c>
      <c r="O824" s="118" t="str">
        <f>IFERROR(INDEX('Docketed Comments'!L:L,MATCH(A824,'Docketed Comments'!H:H,0)),"")</f>
        <v>Yes</v>
      </c>
      <c r="P824" s="119">
        <f t="shared" si="24"/>
        <v>0</v>
      </c>
      <c r="Q824" s="60"/>
      <c r="R824" s="64" t="s">
        <v>75</v>
      </c>
      <c r="S824" s="64" t="s">
        <v>1776</v>
      </c>
    </row>
    <row r="825" spans="1:19" ht="21.95" customHeight="1">
      <c r="A825" s="66" t="s">
        <v>1777</v>
      </c>
      <c r="B825" s="64"/>
      <c r="C825" s="65"/>
      <c r="D825" s="64"/>
      <c r="E825" s="64"/>
      <c r="F825" s="60"/>
      <c r="G825" s="60" t="s">
        <v>88</v>
      </c>
      <c r="H825" s="60" t="str">
        <f>IFERROR(INDEX('Docketed Comments'!C:C,MATCH(A825,'Docketed Comments'!H:H,0))&amp;", "&amp;INDEX('Docketed Comments'!B:B,MATCH(A825,'Docketed Comments'!H:H,0)),"")</f>
        <v>Tom, Shaw</v>
      </c>
      <c r="I825" s="60" t="str">
        <f>IFERROR(INDEX('Docketed Comments'!D:D,MATCH(A825,'Docketed Comments'!H:H,0)),"")</f>
        <v>Phoenix</v>
      </c>
      <c r="J825" s="60" t="str">
        <f>IFERROR(INDEX('Docketed Comments'!I:I,MATCH(A825,'Docketed Comments'!H:H,0)),"")</f>
        <v>EPR-6w/ET-1</v>
      </c>
      <c r="K825" s="60" t="str">
        <f t="shared" si="25"/>
        <v>⚠ Frozen Plan</v>
      </c>
      <c r="L825" s="60" t="str">
        <f>IFERROR(INDEX('Docketed Comments'!F:F,MATCH(A825,'Docketed Comments'!H:H,0)),"")</f>
        <v>Form Letter: Enough is enough! You must reject the latest 14% rate hikes by APS e TEP</v>
      </c>
      <c r="M825" s="120" t="str">
        <f>IFERROR(INDEX('Docketed Comments'!G:G,MATCH(A825,'Docketed Comments'!H:H,0)),"")</f>
        <v>https://docket.images.azcc.gov/E000048497.pdf</v>
      </c>
      <c r="N825" s="118" t="str">
        <f>IFERROR(INDEX('Docketed Comments'!N:N,MATCH(A825,'Docketed Comments'!H:H,0)),"")</f>
        <v>No</v>
      </c>
      <c r="O825" s="118" t="str">
        <f>IFERROR(INDEX('Docketed Comments'!L:L,MATCH(A825,'Docketed Comments'!H:H,0)),"")</f>
        <v>Frozen Plan</v>
      </c>
      <c r="P825" s="119">
        <f t="shared" si="24"/>
        <v>0</v>
      </c>
      <c r="Q825" s="60"/>
      <c r="R825" s="64" t="s">
        <v>75</v>
      </c>
      <c r="S825" s="64" t="s">
        <v>1778</v>
      </c>
    </row>
    <row r="826" spans="1:19" ht="21.95" customHeight="1">
      <c r="A826" s="66" t="s">
        <v>1779</v>
      </c>
      <c r="B826" s="64"/>
      <c r="C826" s="65"/>
      <c r="D826" s="64"/>
      <c r="E826" s="64"/>
      <c r="F826" s="60"/>
      <c r="G826" s="60" t="s">
        <v>88</v>
      </c>
      <c r="H826" s="60" t="str">
        <f>IFERROR(INDEX('Docketed Comments'!C:C,MATCH(A826,'Docketed Comments'!H:H,0))&amp;", "&amp;INDEX('Docketed Comments'!B:B,MATCH(A826,'Docketed Comments'!H:H,0)),"")</f>
        <v>Susan, Mayberry</v>
      </c>
      <c r="I826" s="60" t="str">
        <f>IFERROR(INDEX('Docketed Comments'!D:D,MATCH(A826,'Docketed Comments'!H:H,0)),"")</f>
        <v>Prescott Valley</v>
      </c>
      <c r="J826" s="60" t="str">
        <f>IFERROR(INDEX('Docketed Comments'!I:I,MATCH(A826,'Docketed Comments'!H:H,0)),"")</f>
        <v>RTOUE47</v>
      </c>
      <c r="K826" s="60" t="str">
        <f t="shared" si="25"/>
        <v>✅ On Best Plan</v>
      </c>
      <c r="L826" s="60" t="str">
        <f>IFERROR(INDEX('Docketed Comments'!F:F,MATCH(A826,'Docketed Comments'!H:H,0)),"")</f>
        <v>Form Letter: Enough is enough! You must reject the latest 14% rate hikes by APS e TEP</v>
      </c>
      <c r="M826" s="120" t="str">
        <f>IFERROR(INDEX('Docketed Comments'!G:G,MATCH(A826,'Docketed Comments'!H:H,0)),"")</f>
        <v>https://docket.images.azcc.gov/E000048497.pdf</v>
      </c>
      <c r="N826" s="118" t="str">
        <f>IFERROR(INDEX('Docketed Comments'!N:N,MATCH(A826,'Docketed Comments'!H:H,0)),"")</f>
        <v>No</v>
      </c>
      <c r="O826" s="118" t="str">
        <f>IFERROR(INDEX('Docketed Comments'!L:L,MATCH(A826,'Docketed Comments'!H:H,0)),"")</f>
        <v>Yes</v>
      </c>
      <c r="P826" s="119">
        <f t="shared" si="24"/>
        <v>0</v>
      </c>
      <c r="Q826" s="60"/>
      <c r="R826" s="64" t="s">
        <v>75</v>
      </c>
      <c r="S826" s="64" t="s">
        <v>1780</v>
      </c>
    </row>
    <row r="827" spans="1:19" ht="21.95" customHeight="1">
      <c r="A827" s="66" t="s">
        <v>1781</v>
      </c>
      <c r="B827" s="64"/>
      <c r="C827" s="65"/>
      <c r="D827" s="64"/>
      <c r="E827" s="64"/>
      <c r="F827" s="60"/>
      <c r="G827" s="60" t="s">
        <v>88</v>
      </c>
      <c r="H827" s="60" t="str">
        <f>IFERROR(INDEX('Docketed Comments'!C:C,MATCH(A827,'Docketed Comments'!H:H,0))&amp;", "&amp;INDEX('Docketed Comments'!B:B,MATCH(A827,'Docketed Comments'!H:H,0)),"")</f>
        <v>Brandon, Brady</v>
      </c>
      <c r="I827" s="60" t="str">
        <f>IFERROR(INDEX('Docketed Comments'!D:D,MATCH(A827,'Docketed Comments'!H:H,0)),"")</f>
        <v>Phoenix</v>
      </c>
      <c r="J827" s="60" t="str">
        <f>IFERROR(INDEX('Docketed Comments'!I:I,MATCH(A827,'Docketed Comments'!H:H,0)),"")</f>
        <v>R3-47</v>
      </c>
      <c r="K827" s="60" t="str">
        <f t="shared" si="25"/>
        <v>✅ On Best Plan</v>
      </c>
      <c r="L827" s="60" t="str">
        <f>IFERROR(INDEX('Docketed Comments'!F:F,MATCH(A827,'Docketed Comments'!H:H,0)),"")</f>
        <v>Form Letter: Enough is enough! You must reject the latest 14% rate hikes by APS e TEP</v>
      </c>
      <c r="M827" s="120" t="str">
        <f>IFERROR(INDEX('Docketed Comments'!G:G,MATCH(A827,'Docketed Comments'!H:H,0)),"")</f>
        <v>https://docket.images.azcc.gov/E000048497.pdf</v>
      </c>
      <c r="N827" s="118" t="str">
        <f>IFERROR(INDEX('Docketed Comments'!N:N,MATCH(A827,'Docketed Comments'!H:H,0)),"")</f>
        <v>No</v>
      </c>
      <c r="O827" s="118" t="str">
        <f>IFERROR(INDEX('Docketed Comments'!L:L,MATCH(A827,'Docketed Comments'!H:H,0)),"")</f>
        <v>Yes</v>
      </c>
      <c r="P827" s="119">
        <f t="shared" si="24"/>
        <v>0</v>
      </c>
      <c r="Q827" s="60"/>
      <c r="R827" s="64" t="s">
        <v>75</v>
      </c>
      <c r="S827" s="64" t="s">
        <v>1782</v>
      </c>
    </row>
    <row r="828" spans="1:19" ht="21.95" customHeight="1">
      <c r="A828" s="66" t="s">
        <v>1783</v>
      </c>
      <c r="B828" s="64"/>
      <c r="C828" s="65"/>
      <c r="D828" s="64"/>
      <c r="E828" s="64"/>
      <c r="F828" s="60"/>
      <c r="G828" s="60" t="s">
        <v>88</v>
      </c>
      <c r="H828" s="60" t="str">
        <f>IFERROR(INDEX('Docketed Comments'!C:C,MATCH(A828,'Docketed Comments'!H:H,0))&amp;", "&amp;INDEX('Docketed Comments'!B:B,MATCH(A828,'Docketed Comments'!H:H,0)),"")</f>
        <v>Brian, LaBarbera</v>
      </c>
      <c r="I828" s="60" t="str">
        <f>IFERROR(INDEX('Docketed Comments'!D:D,MATCH(A828,'Docketed Comments'!H:H,0)),"")</f>
        <v>Phoenix</v>
      </c>
      <c r="J828" s="60" t="str">
        <f>IFERROR(INDEX('Docketed Comments'!I:I,MATCH(A828,'Docketed Comments'!H:H,0)),"")</f>
        <v>R-2</v>
      </c>
      <c r="K828" s="60" t="str">
        <f t="shared" si="25"/>
        <v>⚠ Frozen Plan</v>
      </c>
      <c r="L828" s="60" t="str">
        <f>IFERROR(INDEX('Docketed Comments'!F:F,MATCH(A828,'Docketed Comments'!H:H,0)),"")</f>
        <v>Form Letter: Enough is enough! You must reject the latest 14% rate hikes by APS e TEP</v>
      </c>
      <c r="M828" s="120" t="str">
        <f>IFERROR(INDEX('Docketed Comments'!G:G,MATCH(A828,'Docketed Comments'!H:H,0)),"")</f>
        <v>https://docket.images.azcc.gov/E000048497.pdf</v>
      </c>
      <c r="N828" s="118" t="str">
        <f>IFERROR(INDEX('Docketed Comments'!N:N,MATCH(A828,'Docketed Comments'!H:H,0)),"")</f>
        <v>No</v>
      </c>
      <c r="O828" s="118" t="str">
        <f>IFERROR(INDEX('Docketed Comments'!L:L,MATCH(A828,'Docketed Comments'!H:H,0)),"")</f>
        <v>Frozen Plan</v>
      </c>
      <c r="P828" s="119">
        <f t="shared" si="24"/>
        <v>0</v>
      </c>
      <c r="Q828" s="60"/>
      <c r="R828" s="64" t="s">
        <v>75</v>
      </c>
      <c r="S828" s="64" t="s">
        <v>1784</v>
      </c>
    </row>
    <row r="829" spans="1:19" ht="21.95" customHeight="1">
      <c r="A829" s="66" t="s">
        <v>1785</v>
      </c>
      <c r="B829" s="64"/>
      <c r="C829" s="65"/>
      <c r="D829" s="64"/>
      <c r="E829" s="64"/>
      <c r="F829" s="60"/>
      <c r="G829" s="60" t="s">
        <v>88</v>
      </c>
      <c r="H829" s="60" t="str">
        <f>IFERROR(INDEX('Docketed Comments'!C:C,MATCH(A829,'Docketed Comments'!H:H,0))&amp;", "&amp;INDEX('Docketed Comments'!B:B,MATCH(A829,'Docketed Comments'!H:H,0)),"")</f>
        <v>Sandra, Anderson</v>
      </c>
      <c r="I829" s="60" t="str">
        <f>IFERROR(INDEX('Docketed Comments'!D:D,MATCH(A829,'Docketed Comments'!H:H,0)),"")</f>
        <v>Florence</v>
      </c>
      <c r="J829" s="60" t="str">
        <f>IFERROR(INDEX('Docketed Comments'!I:I,MATCH(A829,'Docketed Comments'!H:H,0)),"")</f>
        <v>RCPw/R-2</v>
      </c>
      <c r="K829" s="60" t="str">
        <f t="shared" si="25"/>
        <v>⚠ Frozen Plan</v>
      </c>
      <c r="L829" s="60" t="str">
        <f>IFERROR(INDEX('Docketed Comments'!F:F,MATCH(A829,'Docketed Comments'!H:H,0)),"")</f>
        <v>Form Letter: Enough is enough! You must reject the latest 14% rate hikes by APS e TEP</v>
      </c>
      <c r="M829" s="120" t="str">
        <f>IFERROR(INDEX('Docketed Comments'!G:G,MATCH(A829,'Docketed Comments'!H:H,0)),"")</f>
        <v>https://docket.images.azcc.gov/E000048497.pdf</v>
      </c>
      <c r="N829" s="118" t="str">
        <f>IFERROR(INDEX('Docketed Comments'!N:N,MATCH(A829,'Docketed Comments'!H:H,0)),"")</f>
        <v>No</v>
      </c>
      <c r="O829" s="118" t="str">
        <f>IFERROR(INDEX('Docketed Comments'!L:L,MATCH(A829,'Docketed Comments'!H:H,0)),"")</f>
        <v>Frozen Plan</v>
      </c>
      <c r="P829" s="119">
        <f t="shared" si="24"/>
        <v>0</v>
      </c>
      <c r="Q829" s="60"/>
      <c r="R829" s="64" t="s">
        <v>75</v>
      </c>
      <c r="S829" s="64" t="s">
        <v>1786</v>
      </c>
    </row>
    <row r="830" spans="1:19" ht="21.95" customHeight="1">
      <c r="A830" s="66" t="s">
        <v>1787</v>
      </c>
      <c r="B830" s="64"/>
      <c r="C830" s="65"/>
      <c r="D830" s="64"/>
      <c r="E830" s="64"/>
      <c r="F830" s="60"/>
      <c r="G830" s="60" t="s">
        <v>88</v>
      </c>
      <c r="H830" s="60" t="str">
        <f>IFERROR(INDEX('Docketed Comments'!C:C,MATCH(A830,'Docketed Comments'!H:H,0))&amp;", "&amp;INDEX('Docketed Comments'!B:B,MATCH(A830,'Docketed Comments'!H:H,0)),"")</f>
        <v>Walter, Walewski</v>
      </c>
      <c r="I830" s="60" t="str">
        <f>IFERROR(INDEX('Docketed Comments'!D:D,MATCH(A830,'Docketed Comments'!H:H,0)),"")</f>
        <v>Phoenix</v>
      </c>
      <c r="J830" s="60" t="str">
        <f>IFERROR(INDEX('Docketed Comments'!I:I,MATCH(A830,'Docketed Comments'!H:H,0)),"")</f>
        <v>R3-47</v>
      </c>
      <c r="K830" s="60" t="str">
        <f t="shared" si="25"/>
        <v>✅ On Best Plan</v>
      </c>
      <c r="L830" s="60" t="str">
        <f>IFERROR(INDEX('Docketed Comments'!F:F,MATCH(A830,'Docketed Comments'!H:H,0)),"")</f>
        <v>Form Letter: Enough is enough! You must reject the latest 14% rate hikes by APS e TEP</v>
      </c>
      <c r="M830" s="120" t="str">
        <f>IFERROR(INDEX('Docketed Comments'!G:G,MATCH(A830,'Docketed Comments'!H:H,0)),"")</f>
        <v>https://docket.images.azcc.gov/E000048497.pdf</v>
      </c>
      <c r="N830" s="118" t="str">
        <f>IFERROR(INDEX('Docketed Comments'!N:N,MATCH(A830,'Docketed Comments'!H:H,0)),"")</f>
        <v>No</v>
      </c>
      <c r="O830" s="118" t="str">
        <f>IFERROR(INDEX('Docketed Comments'!L:L,MATCH(A830,'Docketed Comments'!H:H,0)),"")</f>
        <v>Yes</v>
      </c>
      <c r="P830" s="119">
        <f t="shared" si="24"/>
        <v>0</v>
      </c>
      <c r="Q830" s="60"/>
      <c r="R830" s="64" t="s">
        <v>75</v>
      </c>
      <c r="S830" s="64" t="s">
        <v>1788</v>
      </c>
    </row>
    <row r="831" spans="1:19" ht="21.95" customHeight="1">
      <c r="A831" s="66" t="s">
        <v>1789</v>
      </c>
      <c r="B831" s="64"/>
      <c r="C831" s="65"/>
      <c r="D831" s="64"/>
      <c r="E831" s="64"/>
      <c r="F831" s="60"/>
      <c r="G831" s="60" t="s">
        <v>88</v>
      </c>
      <c r="H831" s="60" t="str">
        <f>IFERROR(INDEX('Docketed Comments'!C:C,MATCH(A831,'Docketed Comments'!H:H,0))&amp;", "&amp;INDEX('Docketed Comments'!B:B,MATCH(A831,'Docketed Comments'!H:H,0)),"")</f>
        <v>Karen, Nelson</v>
      </c>
      <c r="I831" s="60" t="str">
        <f>IFERROR(INDEX('Docketed Comments'!D:D,MATCH(A831,'Docketed Comments'!H:H,0)),"")</f>
        <v>Flagstaff</v>
      </c>
      <c r="J831" s="60" t="str">
        <f>IFERROR(INDEX('Docketed Comments'!I:I,MATCH(A831,'Docketed Comments'!H:H,0)),"")</f>
        <v>R3-47</v>
      </c>
      <c r="K831" s="60" t="str">
        <f t="shared" si="25"/>
        <v>✅ On Best Plan</v>
      </c>
      <c r="L831" s="60" t="str">
        <f>IFERROR(INDEX('Docketed Comments'!F:F,MATCH(A831,'Docketed Comments'!H:H,0)),"")</f>
        <v>Form Letter: Enough is enough! You must reject the latest 14% rate hikes by APS e TEP</v>
      </c>
      <c r="M831" s="120" t="str">
        <f>IFERROR(INDEX('Docketed Comments'!G:G,MATCH(A831,'Docketed Comments'!H:H,0)),"")</f>
        <v>https://docket.images.azcc.gov/E000048497.pdf</v>
      </c>
      <c r="N831" s="118" t="str">
        <f>IFERROR(INDEX('Docketed Comments'!N:N,MATCH(A831,'Docketed Comments'!H:H,0)),"")</f>
        <v>No</v>
      </c>
      <c r="O831" s="118" t="str">
        <f>IFERROR(INDEX('Docketed Comments'!L:L,MATCH(A831,'Docketed Comments'!H:H,0)),"")</f>
        <v>Yes</v>
      </c>
      <c r="P831" s="119">
        <f t="shared" si="24"/>
        <v>0</v>
      </c>
      <c r="Q831" s="60"/>
      <c r="R831" s="64" t="s">
        <v>75</v>
      </c>
      <c r="S831" s="64" t="s">
        <v>1790</v>
      </c>
    </row>
    <row r="832" spans="1:19" ht="21.95" customHeight="1">
      <c r="A832" s="66" t="s">
        <v>1791</v>
      </c>
      <c r="B832" s="64"/>
      <c r="C832" s="65"/>
      <c r="D832" s="64"/>
      <c r="E832" s="64"/>
      <c r="F832" s="60"/>
      <c r="G832" s="60" t="s">
        <v>88</v>
      </c>
      <c r="H832" s="60" t="str">
        <f>IFERROR(INDEX('Docketed Comments'!C:C,MATCH(A832,'Docketed Comments'!H:H,0))&amp;", "&amp;INDEX('Docketed Comments'!B:B,MATCH(A832,'Docketed Comments'!H:H,0)),"")</f>
        <v>Elaine, Williamson</v>
      </c>
      <c r="I832" s="60" t="str">
        <f>IFERROR(INDEX('Docketed Comments'!D:D,MATCH(A832,'Docketed Comments'!H:H,0)),"")</f>
        <v>Peoria</v>
      </c>
      <c r="J832" s="60" t="str">
        <f>IFERROR(INDEX('Docketed Comments'!I:I,MATCH(A832,'Docketed Comments'!H:H,0)),"")</f>
        <v>R3-47</v>
      </c>
      <c r="K832" s="60" t="str">
        <f t="shared" si="25"/>
        <v>✅ On Best Plan</v>
      </c>
      <c r="L832" s="60" t="str">
        <f>IFERROR(INDEX('Docketed Comments'!F:F,MATCH(A832,'Docketed Comments'!H:H,0)),"")</f>
        <v>Form Letter: Enough is enough! You must reject the latest 14% rate hikes by APS e TEP</v>
      </c>
      <c r="M832" s="120" t="str">
        <f>IFERROR(INDEX('Docketed Comments'!G:G,MATCH(A832,'Docketed Comments'!H:H,0)),"")</f>
        <v>https://docket.images.azcc.gov/E000048522.pdf</v>
      </c>
      <c r="N832" s="118" t="str">
        <f>IFERROR(INDEX('Docketed Comments'!N:N,MATCH(A832,'Docketed Comments'!H:H,0)),"")</f>
        <v>No</v>
      </c>
      <c r="O832" s="118" t="str">
        <f>IFERROR(INDEX('Docketed Comments'!L:L,MATCH(A832,'Docketed Comments'!H:H,0)),"")</f>
        <v>Yes</v>
      </c>
      <c r="P832" s="119">
        <f t="shared" si="24"/>
        <v>0</v>
      </c>
      <c r="Q832" s="60"/>
      <c r="R832" s="64" t="s">
        <v>75</v>
      </c>
      <c r="S832" s="64" t="s">
        <v>1792</v>
      </c>
    </row>
    <row r="833" spans="1:19" ht="21.95" customHeight="1">
      <c r="A833" s="66" t="s">
        <v>1793</v>
      </c>
      <c r="B833" s="64"/>
      <c r="C833" s="65"/>
      <c r="D833" s="64"/>
      <c r="E833" s="64"/>
      <c r="F833" s="60"/>
      <c r="G833" s="60" t="s">
        <v>88</v>
      </c>
      <c r="H833" s="60" t="str">
        <f>IFERROR(INDEX('Docketed Comments'!C:C,MATCH(A833,'Docketed Comments'!H:H,0))&amp;", "&amp;INDEX('Docketed Comments'!B:B,MATCH(A833,'Docketed Comments'!H:H,0)),"")</f>
        <v>Judy, Furlong</v>
      </c>
      <c r="I833" s="60" t="str">
        <f>IFERROR(INDEX('Docketed Comments'!D:D,MATCH(A833,'Docketed Comments'!H:H,0)),"")</f>
        <v>Phoenix</v>
      </c>
      <c r="J833" s="60" t="str">
        <f>IFERROR(INDEX('Docketed Comments'!I:I,MATCH(A833,'Docketed Comments'!H:H,0)),"")</f>
        <v>R3-47</v>
      </c>
      <c r="K833" s="60" t="str">
        <f t="shared" si="25"/>
        <v>✅ On Best Plan</v>
      </c>
      <c r="L833" s="60" t="str">
        <f>IFERROR(INDEX('Docketed Comments'!F:F,MATCH(A833,'Docketed Comments'!H:H,0)),"")</f>
        <v>Form Letter: Enough is enough! You must reject the latest 14% rate hikes by APS e TEP</v>
      </c>
      <c r="M833" s="120" t="str">
        <f>IFERROR(INDEX('Docketed Comments'!G:G,MATCH(A833,'Docketed Comments'!H:H,0)),"")</f>
        <v>https://docket.images.azcc.gov/E000048522.pdf</v>
      </c>
      <c r="N833" s="118" t="str">
        <f>IFERROR(INDEX('Docketed Comments'!N:N,MATCH(A833,'Docketed Comments'!H:H,0)),"")</f>
        <v>No</v>
      </c>
      <c r="O833" s="118" t="str">
        <f>IFERROR(INDEX('Docketed Comments'!L:L,MATCH(A833,'Docketed Comments'!H:H,0)),"")</f>
        <v>Yes</v>
      </c>
      <c r="P833" s="119">
        <f t="shared" si="24"/>
        <v>0</v>
      </c>
      <c r="Q833" s="60"/>
      <c r="R833" s="64" t="s">
        <v>75</v>
      </c>
      <c r="S833" s="64" t="s">
        <v>1794</v>
      </c>
    </row>
    <row r="834" spans="1:19" ht="21.95" customHeight="1">
      <c r="A834" s="66" t="s">
        <v>1795</v>
      </c>
      <c r="B834" s="64"/>
      <c r="C834" s="65"/>
      <c r="D834" s="64"/>
      <c r="E834" s="64"/>
      <c r="F834" s="60"/>
      <c r="G834" s="60" t="s">
        <v>88</v>
      </c>
      <c r="H834" s="60" t="str">
        <f>IFERROR(INDEX('Docketed Comments'!C:C,MATCH(A834,'Docketed Comments'!H:H,0))&amp;", "&amp;INDEX('Docketed Comments'!B:B,MATCH(A834,'Docketed Comments'!H:H,0)),"")</f>
        <v>Sandra, Aycock</v>
      </c>
      <c r="I834" s="60" t="str">
        <f>IFERROR(INDEX('Docketed Comments'!D:D,MATCH(A834,'Docketed Comments'!H:H,0)),"")</f>
        <v>Glendale</v>
      </c>
      <c r="J834" s="60" t="str">
        <f>IFERROR(INDEX('Docketed Comments'!I:I,MATCH(A834,'Docketed Comments'!H:H,0)),"")</f>
        <v>R3-47</v>
      </c>
      <c r="K834" s="60" t="str">
        <f t="shared" si="25"/>
        <v>✅ On Best Plan</v>
      </c>
      <c r="L834" s="60" t="str">
        <f>IFERROR(INDEX('Docketed Comments'!F:F,MATCH(A834,'Docketed Comments'!H:H,0)),"")</f>
        <v>Form Letter: Enough is enough! You must reject the latest 14% rate hikes by APS e TEP</v>
      </c>
      <c r="M834" s="120" t="str">
        <f>IFERROR(INDEX('Docketed Comments'!G:G,MATCH(A834,'Docketed Comments'!H:H,0)),"")</f>
        <v>https://docket.images.azcc.gov/E000048522.pdf</v>
      </c>
      <c r="N834" s="118" t="str">
        <f>IFERROR(INDEX('Docketed Comments'!N:N,MATCH(A834,'Docketed Comments'!H:H,0)),"")</f>
        <v>No</v>
      </c>
      <c r="O834" s="118" t="str">
        <f>IFERROR(INDEX('Docketed Comments'!L:L,MATCH(A834,'Docketed Comments'!H:H,0)),"")</f>
        <v>Yes</v>
      </c>
      <c r="P834" s="119">
        <f t="shared" ref="P834:P897" si="26">IFERROR(IF(ISNUMBER(SEARCH("$",O834)),VALUE(SUBSTITUTE(SUBSTITUTE(MID(O834,FIND("$",O834)+1,FIND(")",O834)-FIND("$",O834)-1),",","")," ","")),VALUE(SUBSTITUTE(SUBSTITUTE(MID(O834,FIND("(",O834)+1,FIND(")",O834)-FIND("(",O834)-1),",","")," ",""))),0)</f>
        <v>0</v>
      </c>
      <c r="Q834" s="60"/>
      <c r="R834" s="64" t="s">
        <v>75</v>
      </c>
      <c r="S834" s="64" t="s">
        <v>1796</v>
      </c>
    </row>
    <row r="835" spans="1:19" ht="21.95" customHeight="1">
      <c r="A835" s="66" t="s">
        <v>1797</v>
      </c>
      <c r="B835" s="64"/>
      <c r="C835" s="65"/>
      <c r="D835" s="64"/>
      <c r="E835" s="64"/>
      <c r="F835" s="60"/>
      <c r="G835" s="60" t="s">
        <v>88</v>
      </c>
      <c r="H835" s="60" t="str">
        <f>IFERROR(INDEX('Docketed Comments'!C:C,MATCH(A835,'Docketed Comments'!H:H,0))&amp;", "&amp;INDEX('Docketed Comments'!B:B,MATCH(A835,'Docketed Comments'!H:H,0)),"")</f>
        <v>Jason, Sise</v>
      </c>
      <c r="I835" s="60" t="str">
        <f>IFERROR(INDEX('Docketed Comments'!D:D,MATCH(A835,'Docketed Comments'!H:H,0)),"")</f>
        <v>Phoenix</v>
      </c>
      <c r="J835" s="60" t="str">
        <f>IFERROR(INDEX('Docketed Comments'!I:I,MATCH(A835,'Docketed Comments'!H:H,0)),"")</f>
        <v>R3-47</v>
      </c>
      <c r="K835" s="60" t="str">
        <f t="shared" ref="K835:K898" si="27">IFERROR(IF(OR(LEFT(O835,2)="No",LEFT(O835,3)="Not"),"❌ Not on Best Plan",IF(OR(O835="Yes",O835="Y",O835="Yes "),"✅ On Best Plan","⚠ "&amp;O835)),"")</f>
        <v>✅ On Best Plan</v>
      </c>
      <c r="L835" s="60" t="str">
        <f>IFERROR(INDEX('Docketed Comments'!F:F,MATCH(A835,'Docketed Comments'!H:H,0)),"")</f>
        <v>Form Letter: Enough is enough! You must reject the latest 14% rate hikes by APS e TEP</v>
      </c>
      <c r="M835" s="120" t="str">
        <f>IFERROR(INDEX('Docketed Comments'!G:G,MATCH(A835,'Docketed Comments'!H:H,0)),"")</f>
        <v>https://docket.images.azcc.gov/E000048522.pdf</v>
      </c>
      <c r="N835" s="118" t="str">
        <f>IFERROR(INDEX('Docketed Comments'!N:N,MATCH(A835,'Docketed Comments'!H:H,0)),"")</f>
        <v>No</v>
      </c>
      <c r="O835" s="118" t="str">
        <f>IFERROR(INDEX('Docketed Comments'!L:L,MATCH(A835,'Docketed Comments'!H:H,0)),"")</f>
        <v>Yes</v>
      </c>
      <c r="P835" s="119">
        <f t="shared" si="26"/>
        <v>0</v>
      </c>
      <c r="Q835" s="60"/>
      <c r="R835" s="64" t="s">
        <v>75</v>
      </c>
      <c r="S835" s="64" t="s">
        <v>1798</v>
      </c>
    </row>
    <row r="836" spans="1:19" ht="21.95" customHeight="1">
      <c r="A836" s="66" t="s">
        <v>1799</v>
      </c>
      <c r="B836" s="64"/>
      <c r="C836" s="65"/>
      <c r="D836" s="64"/>
      <c r="E836" s="64"/>
      <c r="F836" s="60"/>
      <c r="G836" s="60" t="s">
        <v>88</v>
      </c>
      <c r="H836" s="60" t="str">
        <f>IFERROR(INDEX('Docketed Comments'!C:C,MATCH(A836,'Docketed Comments'!H:H,0))&amp;", "&amp;INDEX('Docketed Comments'!B:B,MATCH(A836,'Docketed Comments'!H:H,0)),"")</f>
        <v>Leslie, Cummings</v>
      </c>
      <c r="I836" s="60" t="str">
        <f>IFERROR(INDEX('Docketed Comments'!D:D,MATCH(A836,'Docketed Comments'!H:H,0)),"")</f>
        <v>Phoenix</v>
      </c>
      <c r="J836" s="60" t="str">
        <f>IFERROR(INDEX('Docketed Comments'!I:I,MATCH(A836,'Docketed Comments'!H:H,0)),"")</f>
        <v>R-XS</v>
      </c>
      <c r="K836" s="60" t="str">
        <f t="shared" si="27"/>
        <v>✅ On Best Plan</v>
      </c>
      <c r="L836" s="60" t="str">
        <f>IFERROR(INDEX('Docketed Comments'!F:F,MATCH(A836,'Docketed Comments'!H:H,0)),"")</f>
        <v>Opposed: Data Centers are causing the issue; vote for the people not the corporations</v>
      </c>
      <c r="M836" s="120" t="str">
        <f>IFERROR(INDEX('Docketed Comments'!G:G,MATCH(A836,'Docketed Comments'!H:H,0)),"")</f>
        <v>https://docket.images.azcc.gov/E000048522.pdf</v>
      </c>
      <c r="N836" s="118" t="str">
        <f>IFERROR(INDEX('Docketed Comments'!N:N,MATCH(A836,'Docketed Comments'!H:H,0)),"")</f>
        <v>No</v>
      </c>
      <c r="O836" s="118" t="str">
        <f>IFERROR(INDEX('Docketed Comments'!L:L,MATCH(A836,'Docketed Comments'!H:H,0)),"")</f>
        <v>Yes</v>
      </c>
      <c r="P836" s="119">
        <f t="shared" si="26"/>
        <v>0</v>
      </c>
      <c r="Q836" s="60"/>
      <c r="R836" s="64" t="s">
        <v>75</v>
      </c>
      <c r="S836" s="124" t="s">
        <v>1800</v>
      </c>
    </row>
    <row r="837" spans="1:19" ht="21.95" customHeight="1">
      <c r="A837" s="66" t="s">
        <v>1801</v>
      </c>
      <c r="B837" s="64"/>
      <c r="C837" s="65"/>
      <c r="D837" s="64"/>
      <c r="E837" s="64"/>
      <c r="F837" s="60"/>
      <c r="G837" s="60" t="s">
        <v>88</v>
      </c>
      <c r="H837" s="60" t="str">
        <f>IFERROR(INDEX('Docketed Comments'!C:C,MATCH(A837,'Docketed Comments'!H:H,0))&amp;", "&amp;INDEX('Docketed Comments'!B:B,MATCH(A837,'Docketed Comments'!H:H,0)),"")</f>
        <v>Marcie, Patrovich</v>
      </c>
      <c r="I837" s="60" t="str">
        <f>IFERROR(INDEX('Docketed Comments'!D:D,MATCH(A837,'Docketed Comments'!H:H,0)),"")</f>
        <v>Goodyear</v>
      </c>
      <c r="J837" s="60" t="str">
        <f>IFERROR(INDEX('Docketed Comments'!I:I,MATCH(A837,'Docketed Comments'!H:H,0)),"")</f>
        <v>EPR6w/ET-2</v>
      </c>
      <c r="K837" s="60" t="str">
        <f t="shared" si="27"/>
        <v>⚠ Frozen Plan</v>
      </c>
      <c r="L837" s="60" t="str">
        <f>IFERROR(INDEX('Docketed Comments'!F:F,MATCH(A837,'Docketed Comments'!H:H,0)),"")</f>
        <v>Opposed: Too many fees, deny the rate increase</v>
      </c>
      <c r="M837" s="120" t="str">
        <f>IFERROR(INDEX('Docketed Comments'!G:G,MATCH(A837,'Docketed Comments'!H:H,0)),"")</f>
        <v>https://docket.images.azcc.gov/E000048522.pdf</v>
      </c>
      <c r="N837" s="118" t="str">
        <f>IFERROR(INDEX('Docketed Comments'!N:N,MATCH(A837,'Docketed Comments'!H:H,0)),"")</f>
        <v>No</v>
      </c>
      <c r="O837" s="118" t="str">
        <f>IFERROR(INDEX('Docketed Comments'!L:L,MATCH(A837,'Docketed Comments'!H:H,0)),"")</f>
        <v>Frozen Plan</v>
      </c>
      <c r="P837" s="119">
        <f t="shared" si="26"/>
        <v>0</v>
      </c>
      <c r="Q837" s="60"/>
      <c r="R837" s="64" t="s">
        <v>75</v>
      </c>
      <c r="S837" s="64" t="s">
        <v>1802</v>
      </c>
    </row>
    <row r="838" spans="1:19" ht="21.95" customHeight="1">
      <c r="A838" s="66" t="s">
        <v>1803</v>
      </c>
      <c r="B838" s="64"/>
      <c r="C838" s="65"/>
      <c r="D838" s="64"/>
      <c r="E838" s="64"/>
      <c r="F838" s="60"/>
      <c r="G838" s="60" t="s">
        <v>88</v>
      </c>
      <c r="H838" s="60" t="str">
        <f>IFERROR(INDEX('Docketed Comments'!C:C,MATCH(A838,'Docketed Comments'!H:H,0))&amp;", "&amp;INDEX('Docketed Comments'!B:B,MATCH(A838,'Docketed Comments'!H:H,0)),"")</f>
        <v>Marlene, Macek</v>
      </c>
      <c r="I838" s="60" t="str">
        <f>IFERROR(INDEX('Docketed Comments'!D:D,MATCH(A838,'Docketed Comments'!H:H,0)),"")</f>
        <v>Sedona</v>
      </c>
      <c r="J838" s="60" t="str">
        <f>IFERROR(INDEX('Docketed Comments'!I:I,MATCH(A838,'Docketed Comments'!H:H,0)),"")</f>
        <v>EPR6w/ET-2</v>
      </c>
      <c r="K838" s="60" t="str">
        <f t="shared" si="27"/>
        <v>⚠ Frozen Plan</v>
      </c>
      <c r="L838" s="60" t="str">
        <f>IFERROR(INDEX('Docketed Comments'!F:F,MATCH(A838,'Docketed Comments'!H:H,0)),"")</f>
        <v>Opposed: APS is highly profitable. What about APS's expenses and spending?</v>
      </c>
      <c r="M838" s="120" t="str">
        <f>IFERROR(INDEX('Docketed Comments'!G:G,MATCH(A838,'Docketed Comments'!H:H,0)),"")</f>
        <v>https://docket.images.azcc.gov/E000048542.pdf</v>
      </c>
      <c r="N838" s="118" t="str">
        <f>IFERROR(INDEX('Docketed Comments'!N:N,MATCH(A838,'Docketed Comments'!H:H,0)),"")</f>
        <v>No</v>
      </c>
      <c r="O838" s="118" t="str">
        <f>IFERROR(INDEX('Docketed Comments'!L:L,MATCH(A838,'Docketed Comments'!H:H,0)),"")</f>
        <v>Frozen Plan</v>
      </c>
      <c r="P838" s="119">
        <f t="shared" si="26"/>
        <v>0</v>
      </c>
      <c r="Q838" s="60"/>
      <c r="R838" s="64" t="s">
        <v>75</v>
      </c>
      <c r="S838" s="64" t="s">
        <v>1804</v>
      </c>
    </row>
    <row r="839" spans="1:19" ht="21.95" customHeight="1">
      <c r="A839" s="66" t="s">
        <v>1805</v>
      </c>
      <c r="B839" s="64"/>
      <c r="C839" s="65"/>
      <c r="D839" s="64"/>
      <c r="E839" s="64"/>
      <c r="F839" s="60"/>
      <c r="G839" s="60" t="s">
        <v>88</v>
      </c>
      <c r="H839" s="60" t="str">
        <f>IFERROR(INDEX('Docketed Comments'!C:C,MATCH(A839,'Docketed Comments'!H:H,0))&amp;", "&amp;INDEX('Docketed Comments'!B:B,MATCH(A839,'Docketed Comments'!H:H,0)),"")</f>
        <v>Marie, Palowoda</v>
      </c>
      <c r="I839" s="60" t="str">
        <f>IFERROR(INDEX('Docketed Comments'!D:D,MATCH(A839,'Docketed Comments'!H:H,0)),"")</f>
        <v>Cottonwood</v>
      </c>
      <c r="J839" s="60" t="str">
        <f>IFERROR(INDEX('Docketed Comments'!I:I,MATCH(A839,'Docketed Comments'!H:H,0)),"")</f>
        <v>R-XS</v>
      </c>
      <c r="K839" s="60" t="str">
        <f t="shared" si="27"/>
        <v>✅ On Best Plan</v>
      </c>
      <c r="L839" s="60" t="str">
        <f>IFERROR(INDEX('Docketed Comments'!F:F,MATCH(A839,'Docketed Comments'!H:H,0)),"")</f>
        <v>APS just had a rate increase and $600 M in neet income. Prices are drive up becuase of EV charging ad Data Centers.</v>
      </c>
      <c r="M839" s="120" t="str">
        <f>IFERROR(INDEX('Docketed Comments'!G:G,MATCH(A839,'Docketed Comments'!H:H,0)),"")</f>
        <v>https://docket.images.azcc.gov/E000048542.pdf</v>
      </c>
      <c r="N839" s="118" t="str">
        <f>IFERROR(INDEX('Docketed Comments'!N:N,MATCH(A839,'Docketed Comments'!H:H,0)),"")</f>
        <v>No</v>
      </c>
      <c r="O839" s="118" t="str">
        <f>IFERROR(INDEX('Docketed Comments'!L:L,MATCH(A839,'Docketed Comments'!H:H,0)),"")</f>
        <v>Yes</v>
      </c>
      <c r="P839" s="119">
        <f t="shared" si="26"/>
        <v>0</v>
      </c>
      <c r="Q839" s="60"/>
      <c r="R839" s="64" t="s">
        <v>75</v>
      </c>
      <c r="S839" s="64" t="s">
        <v>1806</v>
      </c>
    </row>
    <row r="840" spans="1:19" ht="21.95" customHeight="1">
      <c r="A840" s="66" t="s">
        <v>1771</v>
      </c>
      <c r="B840" s="64"/>
      <c r="C840" s="65"/>
      <c r="D840" s="64"/>
      <c r="E840" s="64"/>
      <c r="F840" s="60"/>
      <c r="G840" s="60" t="s">
        <v>88</v>
      </c>
      <c r="H840" s="60" t="str">
        <f>IFERROR(INDEX('Docketed Comments'!C:C,MATCH(A840,'Docketed Comments'!H:H,0))&amp;", "&amp;INDEX('Docketed Comments'!B:B,MATCH(A840,'Docketed Comments'!H:H,0)),"")</f>
        <v>Davina, White</v>
      </c>
      <c r="I840" s="60" t="str">
        <f>IFERROR(INDEX('Docketed Comments'!D:D,MATCH(A840,'Docketed Comments'!H:H,0)),"")</f>
        <v>Peoria</v>
      </c>
      <c r="J840" s="60" t="str">
        <f>IFERROR(INDEX('Docketed Comments'!I:I,MATCH(A840,'Docketed Comments'!H:H,0)),"")</f>
        <v>R3-47</v>
      </c>
      <c r="K840" s="60" t="str">
        <f t="shared" si="27"/>
        <v>✅ On Best Plan</v>
      </c>
      <c r="L840" s="60" t="str">
        <f>IFERROR(INDEX('Docketed Comments'!F:F,MATCH(A840,'Docketed Comments'!H:H,0)),"")</f>
        <v>Opposed: I don't belileve residents should have to foot the bill for data centers</v>
      </c>
      <c r="M840" s="120" t="str">
        <f>IFERROR(INDEX('Docketed Comments'!G:G,MATCH(A840,'Docketed Comments'!H:H,0)),"")</f>
        <v>https://docket.images.azcc.gov/E000048452.pdf</v>
      </c>
      <c r="N840" s="118" t="str">
        <f>IFERROR(INDEX('Docketed Comments'!N:N,MATCH(A840,'Docketed Comments'!H:H,0)),"")</f>
        <v>No</v>
      </c>
      <c r="O840" s="118" t="str">
        <f>IFERROR(INDEX('Docketed Comments'!L:L,MATCH(A840,'Docketed Comments'!H:H,0)),"")</f>
        <v>Yes</v>
      </c>
      <c r="P840" s="119">
        <f t="shared" si="26"/>
        <v>0</v>
      </c>
      <c r="Q840" s="60"/>
      <c r="R840" s="64" t="s">
        <v>75</v>
      </c>
      <c r="S840" s="64" t="s">
        <v>1807</v>
      </c>
    </row>
    <row r="841" spans="1:19" ht="21.95" customHeight="1">
      <c r="A841" s="66" t="s">
        <v>1808</v>
      </c>
      <c r="B841" s="64"/>
      <c r="C841" s="65"/>
      <c r="D841" s="64"/>
      <c r="E841" s="64"/>
      <c r="F841" s="60"/>
      <c r="G841" s="60" t="s">
        <v>88</v>
      </c>
      <c r="H841" s="60" t="str">
        <f>IFERROR(INDEX('Docketed Comments'!C:C,MATCH(A841,'Docketed Comments'!H:H,0))&amp;", "&amp;INDEX('Docketed Comments'!B:B,MATCH(A841,'Docketed Comments'!H:H,0)),"")</f>
        <v>Carol (Phil), Hatler</v>
      </c>
      <c r="I841" s="60" t="str">
        <f>IFERROR(INDEX('Docketed Comments'!D:D,MATCH(A841,'Docketed Comments'!H:H,0)),"")</f>
        <v>Sun City</v>
      </c>
      <c r="J841" s="60" t="str">
        <f>IFERROR(INDEX('Docketed Comments'!I:I,MATCH(A841,'Docketed Comments'!H:H,0)),"")</f>
        <v>RTOUE47</v>
      </c>
      <c r="K841" s="60" t="str">
        <f t="shared" si="27"/>
        <v>✅ On Best Plan</v>
      </c>
      <c r="L841" s="60" t="str">
        <f>IFERROR(INDEX('Docketed Comments'!F:F,MATCH(A841,'Docketed Comments'!H:H,0)),"")</f>
        <v>Deny rate increase: quoting Kris Mayes</v>
      </c>
      <c r="M841" s="120" t="str">
        <f>IFERROR(INDEX('Docketed Comments'!G:G,MATCH(A841,'Docketed Comments'!H:H,0)),"")</f>
        <v>https://docket.images.azcc.gov/E000048535.pdf</v>
      </c>
      <c r="N841" s="118" t="str">
        <f>IFERROR(INDEX('Docketed Comments'!N:N,MATCH(A841,'Docketed Comments'!H:H,0)),"")</f>
        <v>No</v>
      </c>
      <c r="O841" s="118" t="str">
        <f>IFERROR(INDEX('Docketed Comments'!L:L,MATCH(A841,'Docketed Comments'!H:H,0)),"")</f>
        <v>Yes</v>
      </c>
      <c r="P841" s="119">
        <f t="shared" si="26"/>
        <v>0</v>
      </c>
      <c r="Q841" s="60"/>
      <c r="R841" s="64" t="s">
        <v>75</v>
      </c>
      <c r="S841" s="64" t="s">
        <v>1809</v>
      </c>
    </row>
    <row r="842" spans="1:19" ht="21.95" customHeight="1">
      <c r="A842" s="66" t="s">
        <v>1810</v>
      </c>
      <c r="B842" s="64"/>
      <c r="C842" s="65"/>
      <c r="D842" s="64"/>
      <c r="E842" s="64"/>
      <c r="F842" s="60"/>
      <c r="G842" s="60" t="s">
        <v>88</v>
      </c>
      <c r="H842" s="60" t="str">
        <f>IFERROR(INDEX('Docketed Comments'!C:C,MATCH(A842,'Docketed Comments'!H:H,0))&amp;", "&amp;INDEX('Docketed Comments'!B:B,MATCH(A842,'Docketed Comments'!H:H,0)),"")</f>
        <v>Debra, Alger</v>
      </c>
      <c r="I842" s="60" t="str">
        <f>IFERROR(INDEX('Docketed Comments'!D:D,MATCH(A842,'Docketed Comments'!H:H,0)),"")</f>
        <v>Phoenix</v>
      </c>
      <c r="J842" s="60" t="str">
        <f>IFERROR(INDEX('Docketed Comments'!I:I,MATCH(A842,'Docketed Comments'!H:H,0)),"")</f>
        <v>R3-47</v>
      </c>
      <c r="K842" s="60" t="str">
        <f t="shared" si="27"/>
        <v>✅ On Best Plan</v>
      </c>
      <c r="L842" s="60" t="str">
        <f>IFERROR(INDEX('Docketed Comments'!F:F,MATCH(A842,'Docketed Comments'!H:H,0)),"")</f>
        <v>Widow on a very fixed income. Supporting data centers bulit on my back. APS has never been honest or transparent</v>
      </c>
      <c r="M842" s="120" t="str">
        <f>IFERROR(INDEX('Docketed Comments'!G:G,MATCH(A842,'Docketed Comments'!H:H,0)),"")</f>
        <v>https://docket.images.azcc.gov/E000048581.pdf</v>
      </c>
      <c r="N842" s="118" t="str">
        <f>IFERROR(INDEX('Docketed Comments'!N:N,MATCH(A842,'Docketed Comments'!H:H,0)),"")</f>
        <v>No</v>
      </c>
      <c r="O842" s="118" t="str">
        <f>IFERROR(INDEX('Docketed Comments'!L:L,MATCH(A842,'Docketed Comments'!H:H,0)),"")</f>
        <v>Yes</v>
      </c>
      <c r="P842" s="119">
        <f t="shared" si="26"/>
        <v>0</v>
      </c>
      <c r="Q842" s="60"/>
      <c r="R842" s="64" t="s">
        <v>75</v>
      </c>
      <c r="S842" s="64" t="s">
        <v>1811</v>
      </c>
    </row>
    <row r="843" spans="1:19" ht="21.95" customHeight="1">
      <c r="A843" s="66" t="s">
        <v>1812</v>
      </c>
      <c r="B843" s="64"/>
      <c r="C843" s="65"/>
      <c r="D843" s="64"/>
      <c r="E843" s="64"/>
      <c r="F843" s="60"/>
      <c r="G843" s="60" t="s">
        <v>88</v>
      </c>
      <c r="H843" s="60" t="str">
        <f>IFERROR(INDEX('Docketed Comments'!C:C,MATCH(A843,'Docketed Comments'!H:H,0))&amp;", "&amp;INDEX('Docketed Comments'!B:B,MATCH(A843,'Docketed Comments'!H:H,0)),"")</f>
        <v>Sally, Dunn</v>
      </c>
      <c r="I843" s="60" t="str">
        <f>IFERROR(INDEX('Docketed Comments'!D:D,MATCH(A843,'Docketed Comments'!H:H,0)),"")</f>
        <v>Prescott</v>
      </c>
      <c r="J843" s="60" t="str">
        <f>IFERROR(INDEX('Docketed Comments'!I:I,MATCH(A843,'Docketed Comments'!H:H,0)),"")</f>
        <v>R-BASIC</v>
      </c>
      <c r="K843" s="60" t="str">
        <f t="shared" si="27"/>
        <v>✅ On Best Plan</v>
      </c>
      <c r="L843" s="60" t="str">
        <f>IFERROR(INDEX('Docketed Comments'!F:F,MATCH(A843,'Docketed Comments'!H:H,0)),"")</f>
        <v>Put a stop to this kind of spending and stop inflation. Enough is enough.</v>
      </c>
      <c r="M843" s="120" t="str">
        <f>IFERROR(INDEX('Docketed Comments'!G:G,MATCH(A843,'Docketed Comments'!H:H,0)),"")</f>
        <v>https://docket.images.azcc.gov/E000048716.pdf</v>
      </c>
      <c r="N843" s="118" t="str">
        <f>IFERROR(INDEX('Docketed Comments'!N:N,MATCH(A843,'Docketed Comments'!H:H,0)),"")</f>
        <v>No</v>
      </c>
      <c r="O843" s="118" t="str">
        <f>IFERROR(INDEX('Docketed Comments'!L:L,MATCH(A843,'Docketed Comments'!H:H,0)),"")</f>
        <v>Yes</v>
      </c>
      <c r="P843" s="119">
        <f t="shared" si="26"/>
        <v>0</v>
      </c>
      <c r="Q843" s="60"/>
      <c r="R843" s="64" t="s">
        <v>75</v>
      </c>
      <c r="S843" s="64" t="s">
        <v>1813</v>
      </c>
    </row>
    <row r="844" spans="1:19" ht="21.95" customHeight="1">
      <c r="A844" s="66" t="s">
        <v>1814</v>
      </c>
      <c r="B844" s="64"/>
      <c r="C844" s="65"/>
      <c r="D844" s="64"/>
      <c r="E844" s="64"/>
      <c r="F844" s="60"/>
      <c r="G844" s="60" t="s">
        <v>88</v>
      </c>
      <c r="H844" s="60" t="str">
        <f>IFERROR(INDEX('Docketed Comments'!C:C,MATCH(A844,'Docketed Comments'!H:H,0))&amp;", "&amp;INDEX('Docketed Comments'!B:B,MATCH(A844,'Docketed Comments'!H:H,0)),"")</f>
        <v>Catherine, Elliott</v>
      </c>
      <c r="I844" s="60" t="str">
        <f>IFERROR(INDEX('Docketed Comments'!D:D,MATCH(A844,'Docketed Comments'!H:H,0)),"")</f>
        <v>Litchfield Park</v>
      </c>
      <c r="J844" s="60" t="str">
        <f>IFERROR(INDEX('Docketed Comments'!I:I,MATCH(A844,'Docketed Comments'!H:H,0)),"")</f>
        <v>R3-47</v>
      </c>
      <c r="K844" s="60" t="str">
        <f t="shared" si="27"/>
        <v>✅ On Best Plan</v>
      </c>
      <c r="L844" s="60" t="str">
        <f>IFERROR(INDEX('Docketed Comments'!F:F,MATCH(A844,'Docketed Comments'!H:H,0)),"")</f>
        <v>APS has deep enough pockets to cover these costs. We don't.</v>
      </c>
      <c r="M844" s="120" t="str">
        <f>IFERROR(INDEX('Docketed Comments'!G:G,MATCH(A844,'Docketed Comments'!H:H,0)),"")</f>
        <v>https://docket.images.azcc.gov/E000048716.pdf</v>
      </c>
      <c r="N844" s="118" t="str">
        <f>IFERROR(INDEX('Docketed Comments'!N:N,MATCH(A844,'Docketed Comments'!H:H,0)),"")</f>
        <v>No</v>
      </c>
      <c r="O844" s="118" t="str">
        <f>IFERROR(INDEX('Docketed Comments'!L:L,MATCH(A844,'Docketed Comments'!H:H,0)),"")</f>
        <v>Yes</v>
      </c>
      <c r="P844" s="119">
        <f t="shared" si="26"/>
        <v>0</v>
      </c>
      <c r="Q844" s="60"/>
      <c r="R844" s="64" t="s">
        <v>75</v>
      </c>
      <c r="S844" s="64" t="s">
        <v>1815</v>
      </c>
    </row>
    <row r="845" spans="1:19" ht="21.95" customHeight="1">
      <c r="A845" s="66" t="s">
        <v>1816</v>
      </c>
      <c r="B845" s="64"/>
      <c r="C845" s="65"/>
      <c r="D845" s="64"/>
      <c r="E845" s="64"/>
      <c r="F845" s="60"/>
      <c r="G845" s="60" t="s">
        <v>88</v>
      </c>
      <c r="H845" s="60" t="str">
        <f>IFERROR(INDEX('Docketed Comments'!C:C,MATCH(A845,'Docketed Comments'!H:H,0))&amp;", "&amp;INDEX('Docketed Comments'!B:B,MATCH(A845,'Docketed Comments'!H:H,0)),"")</f>
        <v>Ernest, Pouncy</v>
      </c>
      <c r="I845" s="60" t="str">
        <f>IFERROR(INDEX('Docketed Comments'!D:D,MATCH(A845,'Docketed Comments'!H:H,0)),"")</f>
        <v>Buckeye</v>
      </c>
      <c r="J845" s="60" t="str">
        <f>IFERROR(INDEX('Docketed Comments'!I:I,MATCH(A845,'Docketed Comments'!H:H,0)),"")</f>
        <v>R-2</v>
      </c>
      <c r="K845" s="60" t="str">
        <f t="shared" si="27"/>
        <v>⚠ Frozen Plan</v>
      </c>
      <c r="L845" s="60" t="str">
        <f>IFERROR(INDEX('Docketed Comments'!F:F,MATCH(A845,'Docketed Comments'!H:H,0)),"")</f>
        <v xml:space="preserve">Retired on a fixed income. On-peak hours should change. Unfair, APS had a rate  hike two years ago. </v>
      </c>
      <c r="M845" s="120" t="str">
        <f>IFERROR(INDEX('Docketed Comments'!G:G,MATCH(A845,'Docketed Comments'!H:H,0)),"")</f>
        <v>https://docket.images.azcc.gov/E000048716.pdf</v>
      </c>
      <c r="N845" s="118" t="str">
        <f>IFERROR(INDEX('Docketed Comments'!N:N,MATCH(A845,'Docketed Comments'!H:H,0)),"")</f>
        <v>No</v>
      </c>
      <c r="O845" s="118" t="str">
        <f>IFERROR(INDEX('Docketed Comments'!L:L,MATCH(A845,'Docketed Comments'!H:H,0)),"")</f>
        <v>Frozen Plan</v>
      </c>
      <c r="P845" s="119">
        <f t="shared" si="26"/>
        <v>0</v>
      </c>
      <c r="Q845" s="60"/>
      <c r="R845" s="64" t="s">
        <v>75</v>
      </c>
      <c r="S845" s="64" t="s">
        <v>1817</v>
      </c>
    </row>
    <row r="846" spans="1:19" ht="21.95" customHeight="1">
      <c r="A846" s="66" t="s">
        <v>1818</v>
      </c>
      <c r="B846" s="64"/>
      <c r="C846" s="65"/>
      <c r="D846" s="64"/>
      <c r="E846" s="64"/>
      <c r="F846" s="60"/>
      <c r="G846" s="60" t="s">
        <v>88</v>
      </c>
      <c r="H846" s="60" t="str">
        <f>IFERROR(INDEX('Docketed Comments'!C:C,MATCH(A846,'Docketed Comments'!H:H,0))&amp;", "&amp;INDEX('Docketed Comments'!B:B,MATCH(A846,'Docketed Comments'!H:H,0)),"")</f>
        <v>Jordan, Filice</v>
      </c>
      <c r="I846" s="60" t="str">
        <f>IFERROR(INDEX('Docketed Comments'!D:D,MATCH(A846,'Docketed Comments'!H:H,0)),"")</f>
        <v>Peoria</v>
      </c>
      <c r="J846" s="60" t="str">
        <f>IFERROR(INDEX('Docketed Comments'!I:I,MATCH(A846,'Docketed Comments'!H:H,0)),"")</f>
        <v>RCPw/R-2</v>
      </c>
      <c r="K846" s="60" t="str">
        <f t="shared" si="27"/>
        <v>⚠ Frozen Plan</v>
      </c>
      <c r="L846" s="60" t="str">
        <f>IFERROR(INDEX('Docketed Comments'!F:F,MATCH(A846,'Docketed Comments'!H:H,0)),"")</f>
        <v>Ridiculous, 22% increase in 3 years. People are struggling. Reject the rate increase.</v>
      </c>
      <c r="M846" s="120" t="str">
        <f>IFERROR(INDEX('Docketed Comments'!G:G,MATCH(A846,'Docketed Comments'!H:H,0)),"")</f>
        <v>https://docket.images.azcc.gov/E000048716.pdf</v>
      </c>
      <c r="N846" s="118" t="str">
        <f>IFERROR(INDEX('Docketed Comments'!N:N,MATCH(A846,'Docketed Comments'!H:H,0)),"")</f>
        <v>No</v>
      </c>
      <c r="O846" s="118" t="str">
        <f>IFERROR(INDEX('Docketed Comments'!L:L,MATCH(A846,'Docketed Comments'!H:H,0)),"")</f>
        <v>Frozen Plan</v>
      </c>
      <c r="P846" s="119">
        <f t="shared" si="26"/>
        <v>0</v>
      </c>
      <c r="Q846" s="60"/>
      <c r="R846" s="64" t="s">
        <v>75</v>
      </c>
      <c r="S846" s="64" t="s">
        <v>1819</v>
      </c>
    </row>
    <row r="847" spans="1:19" ht="21.95" customHeight="1">
      <c r="A847" s="66" t="s">
        <v>915</v>
      </c>
      <c r="B847" s="64"/>
      <c r="C847" s="65"/>
      <c r="D847" s="64"/>
      <c r="E847" s="64"/>
      <c r="F847" s="60"/>
      <c r="G847" s="60" t="s">
        <v>88</v>
      </c>
      <c r="H847" s="60" t="str">
        <f>IFERROR(INDEX('Docketed Comments'!C:C,MATCH(A847,'Docketed Comments'!H:H,0))&amp;", "&amp;INDEX('Docketed Comments'!B:B,MATCH(A847,'Docketed Comments'!H:H,0)),"")</f>
        <v>Cathy, Hozian</v>
      </c>
      <c r="I847" s="60" t="str">
        <f>IFERROR(INDEX('Docketed Comments'!D:D,MATCH(A847,'Docketed Comments'!H:H,0)),"")</f>
        <v>Goodyear</v>
      </c>
      <c r="J847" s="60" t="str">
        <f>IFERROR(INDEX('Docketed Comments'!I:I,MATCH(A847,'Docketed Comments'!H:H,0)),"")</f>
        <v>R3-47</v>
      </c>
      <c r="K847" s="60" t="str">
        <f t="shared" si="27"/>
        <v>✅ On Best Plan</v>
      </c>
      <c r="L847" s="60" t="str">
        <f>IFERROR(INDEX('Docketed Comments'!F:F,MATCH(A847,'Docketed Comments'!H:H,0)),"")</f>
        <v>APS is greedy and evil</v>
      </c>
      <c r="M847" s="120" t="str">
        <f>IFERROR(INDEX('Docketed Comments'!G:G,MATCH(A847,'Docketed Comments'!H:H,0)),"")</f>
        <v>https://images.edocket.azcc.gov/docketpdf/E000046190.pdf</v>
      </c>
      <c r="N847" s="118" t="str">
        <f>IFERROR(INDEX('Docketed Comments'!N:N,MATCH(A847,'Docketed Comments'!H:H,0)),"")</f>
        <v>No</v>
      </c>
      <c r="O847" s="118" t="str">
        <f>IFERROR(INDEX('Docketed Comments'!L:L,MATCH(A847,'Docketed Comments'!H:H,0)),"")</f>
        <v>Yes</v>
      </c>
      <c r="P847" s="119">
        <f t="shared" si="26"/>
        <v>0</v>
      </c>
      <c r="Q847" s="60"/>
      <c r="R847" s="64" t="s">
        <v>75</v>
      </c>
      <c r="S847" s="64" t="s">
        <v>1820</v>
      </c>
    </row>
    <row r="848" spans="1:19" ht="21.95" customHeight="1">
      <c r="A848" s="66" t="s">
        <v>1821</v>
      </c>
      <c r="B848" s="64"/>
      <c r="C848" s="65"/>
      <c r="D848" s="64"/>
      <c r="E848" s="64"/>
      <c r="F848" s="60"/>
      <c r="G848" s="60" t="s">
        <v>88</v>
      </c>
      <c r="H848" s="60" t="str">
        <f>IFERROR(INDEX('Docketed Comments'!C:C,MATCH(A848,'Docketed Comments'!H:H,0))&amp;", "&amp;INDEX('Docketed Comments'!B:B,MATCH(A848,'Docketed Comments'!H:H,0)),"")</f>
        <v>Daniel, Furnas</v>
      </c>
      <c r="I848" s="60" t="str">
        <f>IFERROR(INDEX('Docketed Comments'!D:D,MATCH(A848,'Docketed Comments'!H:H,0)),"")</f>
        <v>Kirkland</v>
      </c>
      <c r="J848" s="60" t="str">
        <f>IFERROR(INDEX('Docketed Comments'!I:I,MATCH(A848,'Docketed Comments'!H:H,0)),"")</f>
        <v>R-XS</v>
      </c>
      <c r="K848" s="60" t="str">
        <f t="shared" si="27"/>
        <v>✅ On Best Plan</v>
      </c>
      <c r="L848" s="60" t="str">
        <f>IFERROR(INDEX('Docketed Comments'!F:F,MATCH(A848,'Docketed Comments'!H:H,0)),"")</f>
        <v>yearly reduction of export rates for the past 5 years on solar systems supplying the grid. Non-solar customers have paid the difference</v>
      </c>
      <c r="M848" s="120" t="str">
        <f>IFERROR(INDEX('Docketed Comments'!G:G,MATCH(A848,'Docketed Comments'!H:H,0)),"")</f>
        <v>https://docket.images.azcc.gov/E000048716.pdf</v>
      </c>
      <c r="N848" s="118" t="str">
        <f>IFERROR(INDEX('Docketed Comments'!N:N,MATCH(A848,'Docketed Comments'!H:H,0)),"")</f>
        <v>No</v>
      </c>
      <c r="O848" s="118" t="str">
        <f>IFERROR(INDEX('Docketed Comments'!L:L,MATCH(A848,'Docketed Comments'!H:H,0)),"")</f>
        <v>Yes</v>
      </c>
      <c r="P848" s="119">
        <f t="shared" si="26"/>
        <v>0</v>
      </c>
      <c r="Q848" s="60"/>
      <c r="R848" s="64" t="s">
        <v>75</v>
      </c>
      <c r="S848" s="64" t="s">
        <v>1822</v>
      </c>
    </row>
    <row r="849" spans="1:19" ht="21.95" customHeight="1">
      <c r="A849" s="66" t="s">
        <v>1823</v>
      </c>
      <c r="B849" s="64"/>
      <c r="C849" s="65"/>
      <c r="D849" s="64"/>
      <c r="E849" s="64"/>
      <c r="F849" s="60"/>
      <c r="G849" s="60" t="s">
        <v>88</v>
      </c>
      <c r="H849" s="60" t="str">
        <f>IFERROR(INDEX('Docketed Comments'!C:C,MATCH(A849,'Docketed Comments'!H:H,0))&amp;", "&amp;INDEX('Docketed Comments'!B:B,MATCH(A849,'Docketed Comments'!H:H,0)),"")</f>
        <v>Dennis, Chesney</v>
      </c>
      <c r="I849" s="60" t="str">
        <f>IFERROR(INDEX('Docketed Comments'!D:D,MATCH(A849,'Docketed Comments'!H:H,0)),"")</f>
        <v>Peoria</v>
      </c>
      <c r="J849" s="60" t="str">
        <f>IFERROR(INDEX('Docketed Comments'!I:I,MATCH(A849,'Docketed Comments'!H:H,0)),"")</f>
        <v>RCPw/RTOUE47</v>
      </c>
      <c r="K849" s="60" t="str">
        <f t="shared" si="27"/>
        <v>✅ On Best Plan</v>
      </c>
      <c r="L849" s="60" t="str">
        <f>IFERROR(INDEX('Docketed Comments'!F:F,MATCH(A849,'Docketed Comments'!H:H,0)),"")</f>
        <v>16% for residential on top of the previous 8% is crippling as a retired person; with solar.</v>
      </c>
      <c r="M849" s="120" t="str">
        <f>IFERROR(INDEX('Docketed Comments'!G:G,MATCH(A849,'Docketed Comments'!H:H,0)),"")</f>
        <v>https://docket.images.azcc.gov/E000048716.pdf</v>
      </c>
      <c r="N849" s="118" t="str">
        <f>IFERROR(INDEX('Docketed Comments'!N:N,MATCH(A849,'Docketed Comments'!H:H,0)),"")</f>
        <v>No</v>
      </c>
      <c r="O849" s="118" t="str">
        <f>IFERROR(INDEX('Docketed Comments'!L:L,MATCH(A849,'Docketed Comments'!H:H,0)),"")</f>
        <v>Yes</v>
      </c>
      <c r="P849" s="119">
        <f t="shared" si="26"/>
        <v>0</v>
      </c>
      <c r="Q849" s="60"/>
      <c r="R849" s="64" t="s">
        <v>75</v>
      </c>
      <c r="S849" s="64" t="s">
        <v>1824</v>
      </c>
    </row>
    <row r="850" spans="1:19" ht="21.95" customHeight="1">
      <c r="A850" s="66" t="s">
        <v>1581</v>
      </c>
      <c r="B850" s="64"/>
      <c r="C850" s="65"/>
      <c r="D850" s="64"/>
      <c r="E850" s="64"/>
      <c r="F850" s="60"/>
      <c r="G850" s="60" t="s">
        <v>88</v>
      </c>
      <c r="H850" s="60" t="str">
        <f>IFERROR(INDEX('Docketed Comments'!C:C,MATCH(A850,'Docketed Comments'!H:H,0))&amp;", "&amp;INDEX('Docketed Comments'!B:B,MATCH(A850,'Docketed Comments'!H:H,0)),"")</f>
        <v>Haley, Mccann</v>
      </c>
      <c r="I850" s="60" t="str">
        <f>IFERROR(INDEX('Docketed Comments'!D:D,MATCH(A850,'Docketed Comments'!H:H,0)),"")</f>
        <v>Surprise</v>
      </c>
      <c r="J850" s="60" t="str">
        <f>IFERROR(INDEX('Docketed Comments'!I:I,MATCH(A850,'Docketed Comments'!H:H,0)),"")</f>
        <v>R3-47</v>
      </c>
      <c r="K850" s="60" t="str">
        <f t="shared" si="27"/>
        <v>✅ On Best Plan</v>
      </c>
      <c r="L850" s="60" t="str">
        <f>IFERROR(INDEX('Docketed Comments'!F:F,MATCH(A850,'Docketed Comments'!H:H,0)),"")</f>
        <v xml:space="preserve">People can barely afford electricity as is now </v>
      </c>
      <c r="M850" s="120" t="str">
        <f>IFERROR(INDEX('Docketed Comments'!G:G,MATCH(A850,'Docketed Comments'!H:H,0)),"")</f>
        <v>https://docket.images.azcc.gov/E000046578.pdf</v>
      </c>
      <c r="N850" s="118" t="str">
        <f>IFERROR(INDEX('Docketed Comments'!N:N,MATCH(A850,'Docketed Comments'!H:H,0)),"")</f>
        <v>No</v>
      </c>
      <c r="O850" s="118" t="str">
        <f>IFERROR(INDEX('Docketed Comments'!L:L,MATCH(A850,'Docketed Comments'!H:H,0)),"")</f>
        <v>Yes</v>
      </c>
      <c r="P850" s="119">
        <f t="shared" si="26"/>
        <v>0</v>
      </c>
      <c r="Q850" s="60"/>
      <c r="R850" s="64" t="s">
        <v>75</v>
      </c>
      <c r="S850" s="64" t="s">
        <v>1825</v>
      </c>
    </row>
    <row r="851" spans="1:19" ht="21.95" customHeight="1">
      <c r="A851" s="66" t="s">
        <v>1826</v>
      </c>
      <c r="B851" s="64"/>
      <c r="C851" s="65"/>
      <c r="D851" s="64"/>
      <c r="E851" s="64"/>
      <c r="F851" s="60"/>
      <c r="G851" s="60" t="s">
        <v>88</v>
      </c>
      <c r="H851" s="60" t="str">
        <f>IFERROR(INDEX('Docketed Comments'!C:C,MATCH(A851,'Docketed Comments'!H:H,0))&amp;", "&amp;INDEX('Docketed Comments'!B:B,MATCH(A851,'Docketed Comments'!H:H,0)),"")</f>
        <v>Gary, Lindmark</v>
      </c>
      <c r="I851" s="60" t="str">
        <f>IFERROR(INDEX('Docketed Comments'!D:D,MATCH(A851,'Docketed Comments'!H:H,0)),"")</f>
        <v>Phoenix</v>
      </c>
      <c r="J851" s="60" t="str">
        <f>IFERROR(INDEX('Docketed Comments'!I:I,MATCH(A851,'Docketed Comments'!H:H,0)),"")</f>
        <v>R3-47</v>
      </c>
      <c r="K851" s="60" t="str">
        <f t="shared" si="27"/>
        <v>✅ On Best Plan</v>
      </c>
      <c r="L851" s="60" t="str">
        <f>IFERROR(INDEX('Docketed Comments'!F:F,MATCH(A851,'Docketed Comments'!H:H,0)),"")</f>
        <v>Commission sides with the Developers and Utility Companies; when are you going to side with the people?</v>
      </c>
      <c r="M851" s="120" t="str">
        <f>IFERROR(INDEX('Docketed Comments'!G:G,MATCH(A851,'Docketed Comments'!H:H,0)),"")</f>
        <v>https://docket.images.azcc.gov/E000048716.pdf</v>
      </c>
      <c r="N851" s="118" t="str">
        <f>IFERROR(INDEX('Docketed Comments'!N:N,MATCH(A851,'Docketed Comments'!H:H,0)),"")</f>
        <v>No</v>
      </c>
      <c r="O851" s="118" t="str">
        <f>IFERROR(INDEX('Docketed Comments'!L:L,MATCH(A851,'Docketed Comments'!H:H,0)),"")</f>
        <v>Yes</v>
      </c>
      <c r="P851" s="119">
        <f t="shared" si="26"/>
        <v>0</v>
      </c>
      <c r="Q851" s="60"/>
      <c r="R851" s="64" t="s">
        <v>75</v>
      </c>
      <c r="S851" s="64" t="s">
        <v>1827</v>
      </c>
    </row>
    <row r="852" spans="1:19" ht="21.95" customHeight="1">
      <c r="A852" s="66" t="s">
        <v>1828</v>
      </c>
      <c r="B852" s="64"/>
      <c r="C852" s="65"/>
      <c r="D852" s="64"/>
      <c r="E852" s="64"/>
      <c r="F852" s="60"/>
      <c r="G852" s="60" t="s">
        <v>88</v>
      </c>
      <c r="H852" s="60" t="str">
        <f>IFERROR(INDEX('Docketed Comments'!C:C,MATCH(A852,'Docketed Comments'!H:H,0))&amp;", "&amp;INDEX('Docketed Comments'!B:B,MATCH(A852,'Docketed Comments'!H:H,0)),"")</f>
        <v>Kathryn, Salazar</v>
      </c>
      <c r="I852" s="60" t="str">
        <f>IFERROR(INDEX('Docketed Comments'!D:D,MATCH(A852,'Docketed Comments'!H:H,0)),"")</f>
        <v>Scottsdale</v>
      </c>
      <c r="J852" s="60" t="str">
        <f>IFERROR(INDEX('Docketed Comments'!I:I,MATCH(A852,'Docketed Comments'!H:H,0)),"")</f>
        <v>R-2</v>
      </c>
      <c r="K852" s="60" t="str">
        <f t="shared" si="27"/>
        <v>⚠ Frozen Plan</v>
      </c>
      <c r="L852" s="60" t="str">
        <f>IFERROR(INDEX('Docketed Comments'!F:F,MATCH(A852,'Docketed Comments'!H:H,0)),"")</f>
        <v xml:space="preserve">Cumulative 23% increase in just over 2 years. Arizona are already struggling. </v>
      </c>
      <c r="M852" s="120" t="str">
        <f>IFERROR(INDEX('Docketed Comments'!G:G,MATCH(A852,'Docketed Comments'!H:H,0)),"")</f>
        <v>https://docket.images.azcc.gov/E000048738.pdf</v>
      </c>
      <c r="N852" s="118" t="str">
        <f>IFERROR(INDEX('Docketed Comments'!N:N,MATCH(A852,'Docketed Comments'!H:H,0)),"")</f>
        <v>No</v>
      </c>
      <c r="O852" s="118" t="str">
        <f>IFERROR(INDEX('Docketed Comments'!L:L,MATCH(A852,'Docketed Comments'!H:H,0)),"")</f>
        <v>Frozen Plan</v>
      </c>
      <c r="P852" s="119">
        <f t="shared" si="26"/>
        <v>0</v>
      </c>
      <c r="Q852" s="60"/>
      <c r="R852" s="64" t="s">
        <v>75</v>
      </c>
      <c r="S852" s="64" t="s">
        <v>1829</v>
      </c>
    </row>
    <row r="853" spans="1:19" ht="21.95" customHeight="1">
      <c r="A853" s="66" t="s">
        <v>1512</v>
      </c>
      <c r="B853" s="64"/>
      <c r="C853" s="65"/>
      <c r="D853" s="64"/>
      <c r="E853" s="64"/>
      <c r="F853" s="60"/>
      <c r="G853" s="60" t="s">
        <v>88</v>
      </c>
      <c r="H853" s="60" t="str">
        <f>IFERROR(INDEX('Docketed Comments'!C:C,MATCH(A853,'Docketed Comments'!H:H,0))&amp;", "&amp;INDEX('Docketed Comments'!B:B,MATCH(A853,'Docketed Comments'!H:H,0)),"")</f>
        <v>Christopher, Houck</v>
      </c>
      <c r="I853" s="60" t="str">
        <f>IFERROR(INDEX('Docketed Comments'!D:D,MATCH(A853,'Docketed Comments'!H:H,0)),"")</f>
        <v>Goodyear</v>
      </c>
      <c r="J853" s="60" t="str">
        <f>IFERROR(INDEX('Docketed Comments'!I:I,MATCH(A853,'Docketed Comments'!H:H,0)),"")</f>
        <v>R3-47</v>
      </c>
      <c r="K853" s="60" t="str">
        <f t="shared" si="27"/>
        <v>✅ On Best Plan</v>
      </c>
      <c r="L853" s="60" t="str">
        <f>IFERROR(INDEX('Docketed Comments'!F:F,MATCH(A853,'Docketed Comments'!H:H,0)),"")</f>
        <v>Opposed-APS sis 25% higher than SRP</v>
      </c>
      <c r="M853" s="120" t="str">
        <f>IFERROR(INDEX('Docketed Comments'!G:G,MATCH(A853,'Docketed Comments'!H:H,0)),"")</f>
        <v>https://docket.images.azcc.gov/E000046525.pdf</v>
      </c>
      <c r="N853" s="118" t="str">
        <f>IFERROR(INDEX('Docketed Comments'!N:N,MATCH(A853,'Docketed Comments'!H:H,0)),"")</f>
        <v>No</v>
      </c>
      <c r="O853" s="118" t="str">
        <f>IFERROR(INDEX('Docketed Comments'!L:L,MATCH(A853,'Docketed Comments'!H:H,0)),"")</f>
        <v>Yes</v>
      </c>
      <c r="P853" s="119">
        <f t="shared" si="26"/>
        <v>0</v>
      </c>
      <c r="Q853" s="60"/>
      <c r="R853" s="64" t="s">
        <v>75</v>
      </c>
      <c r="S853" s="64" t="s">
        <v>1830</v>
      </c>
    </row>
    <row r="854" spans="1:19" ht="21.95" customHeight="1">
      <c r="A854" s="66" t="s">
        <v>1831</v>
      </c>
      <c r="B854" s="64"/>
      <c r="C854" s="65"/>
      <c r="D854" s="64"/>
      <c r="E854" s="64"/>
      <c r="F854" s="60"/>
      <c r="G854" s="60" t="s">
        <v>88</v>
      </c>
      <c r="H854" s="60" t="str">
        <f>IFERROR(INDEX('Docketed Comments'!C:C,MATCH(A854,'Docketed Comments'!H:H,0))&amp;", "&amp;INDEX('Docketed Comments'!B:B,MATCH(A854,'Docketed Comments'!H:H,0)),"")</f>
        <v>Eli, Gruber</v>
      </c>
      <c r="I854" s="60" t="str">
        <f>IFERROR(INDEX('Docketed Comments'!D:D,MATCH(A854,'Docketed Comments'!H:H,0)),"")</f>
        <v>Scottsdale</v>
      </c>
      <c r="J854" s="60" t="str">
        <f>IFERROR(INDEX('Docketed Comments'!I:I,MATCH(A854,'Docketed Comments'!H:H,0)),"")</f>
        <v>R-BASIC</v>
      </c>
      <c r="K854" s="60" t="str">
        <f t="shared" si="27"/>
        <v>✅ On Best Plan</v>
      </c>
      <c r="L854" s="60" t="str">
        <f>IFERROR(INDEX('Docketed Comments'!F:F,MATCH(A854,'Docketed Comments'!H:H,0)),"")</f>
        <v>Fixed rate criteria must be updated to reflect hotter climate.</v>
      </c>
      <c r="M854" s="120" t="str">
        <f>IFERROR(INDEX('Docketed Comments'!G:G,MATCH(A854,'Docketed Comments'!H:H,0)),"")</f>
        <v>https://docket.images.azcc.gov/E000048738.pdf</v>
      </c>
      <c r="N854" s="118" t="str">
        <f>IFERROR(INDEX('Docketed Comments'!N:N,MATCH(A854,'Docketed Comments'!H:H,0)),"")</f>
        <v>No</v>
      </c>
      <c r="O854" s="118" t="str">
        <f>IFERROR(INDEX('Docketed Comments'!L:L,MATCH(A854,'Docketed Comments'!H:H,0)),"")</f>
        <v>Yes</v>
      </c>
      <c r="P854" s="119">
        <f t="shared" si="26"/>
        <v>0</v>
      </c>
      <c r="Q854" s="60"/>
      <c r="R854" s="64" t="s">
        <v>75</v>
      </c>
      <c r="S854" s="64" t="s">
        <v>1832</v>
      </c>
    </row>
    <row r="855" spans="1:19" ht="21.95" customHeight="1">
      <c r="A855" s="66" t="s">
        <v>1833</v>
      </c>
      <c r="B855" s="64"/>
      <c r="C855" s="65"/>
      <c r="D855" s="64"/>
      <c r="E855" s="64"/>
      <c r="F855" s="60"/>
      <c r="G855" s="60" t="s">
        <v>88</v>
      </c>
      <c r="H855" s="60" t="str">
        <f>IFERROR(INDEX('Docketed Comments'!C:C,MATCH(A855,'Docketed Comments'!H:H,0))&amp;", "&amp;INDEX('Docketed Comments'!B:B,MATCH(A855,'Docketed Comments'!H:H,0)),"")</f>
        <v>Marianne, Culligan</v>
      </c>
      <c r="I855" s="60" t="str">
        <f>IFERROR(INDEX('Docketed Comments'!D:D,MATCH(A855,'Docketed Comments'!H:H,0)),"")</f>
        <v>Sun City West</v>
      </c>
      <c r="J855" s="60" t="str">
        <f>IFERROR(INDEX('Docketed Comments'!I:I,MATCH(A855,'Docketed Comments'!H:H,0)),"")</f>
        <v>R-2</v>
      </c>
      <c r="K855" s="60" t="str">
        <f t="shared" si="27"/>
        <v>⚠ Frozen Plan</v>
      </c>
      <c r="L855" s="60" t="str">
        <f>IFERROR(INDEX('Docketed Comments'!F:F,MATCH(A855,'Docketed Comments'!H:H,0)),"")</f>
        <v>Huge chip plant - costs should not be shouldered by homeowners/renters and those with solar shoulder an additional monthly fee</v>
      </c>
      <c r="M855" s="120" t="str">
        <f>IFERROR(INDEX('Docketed Comments'!G:G,MATCH(A855,'Docketed Comments'!H:H,0)),"")</f>
        <v>https://docket.images.azcc.gov/E000048738.pdf</v>
      </c>
      <c r="N855" s="118" t="str">
        <f>IFERROR(INDEX('Docketed Comments'!N:N,MATCH(A855,'Docketed Comments'!H:H,0)),"")</f>
        <v>No</v>
      </c>
      <c r="O855" s="118" t="str">
        <f>IFERROR(INDEX('Docketed Comments'!L:L,MATCH(A855,'Docketed Comments'!H:H,0)),"")</f>
        <v>Frozen Plan</v>
      </c>
      <c r="P855" s="119">
        <f t="shared" si="26"/>
        <v>0</v>
      </c>
      <c r="Q855" s="60"/>
      <c r="R855" s="64" t="s">
        <v>75</v>
      </c>
      <c r="S855" s="64" t="s">
        <v>1834</v>
      </c>
    </row>
    <row r="856" spans="1:19" ht="21.95" customHeight="1">
      <c r="A856" s="66" t="s">
        <v>1835</v>
      </c>
      <c r="B856" s="64"/>
      <c r="C856" s="65"/>
      <c r="D856" s="64"/>
      <c r="E856" s="64"/>
      <c r="F856" s="60"/>
      <c r="G856" s="60" t="s">
        <v>88</v>
      </c>
      <c r="H856" s="60" t="str">
        <f>IFERROR(INDEX('Docketed Comments'!C:C,MATCH(A856,'Docketed Comments'!H:H,0))&amp;", "&amp;INDEX('Docketed Comments'!B:B,MATCH(A856,'Docketed Comments'!H:H,0)),"")</f>
        <v>Karen, Yates-Reiser</v>
      </c>
      <c r="I856" s="60" t="str">
        <f>IFERROR(INDEX('Docketed Comments'!D:D,MATCH(A856,'Docketed Comments'!H:H,0)),"")</f>
        <v>Phoenix</v>
      </c>
      <c r="J856" s="60" t="str">
        <f>IFERROR(INDEX('Docketed Comments'!I:I,MATCH(A856,'Docketed Comments'!H:H,0)),"")</f>
        <v>RCPw/RTOUE47</v>
      </c>
      <c r="K856" s="60" t="str">
        <f t="shared" si="27"/>
        <v>✅ On Best Plan</v>
      </c>
      <c r="L856" s="60" t="str">
        <f>IFERROR(INDEX('Docketed Comments'!F:F,MATCH(A856,'Docketed Comments'!H:H,0)),"")</f>
        <v xml:space="preserve">Seen bill  jump from $122 to over $300 after solar panel lease. Fighting to get onto the off-peak plan. </v>
      </c>
      <c r="M856" s="120" t="str">
        <f>IFERROR(INDEX('Docketed Comments'!G:G,MATCH(A856,'Docketed Comments'!H:H,0)),"")</f>
        <v>https://images.edocket.azcc.gov/docketpdf/E000048753.pdf</v>
      </c>
      <c r="N856" s="118" t="str">
        <f>IFERROR(INDEX('Docketed Comments'!N:N,MATCH(A856,'Docketed Comments'!H:H,0)),"")</f>
        <v>No</v>
      </c>
      <c r="O856" s="118" t="str">
        <f>IFERROR(INDEX('Docketed Comments'!L:L,MATCH(A856,'Docketed Comments'!H:H,0)),"")</f>
        <v>Yes</v>
      </c>
      <c r="P856" s="119">
        <f t="shared" si="26"/>
        <v>0</v>
      </c>
      <c r="Q856" s="60"/>
      <c r="R856" s="64" t="s">
        <v>75</v>
      </c>
      <c r="S856" s="64" t="s">
        <v>1836</v>
      </c>
    </row>
    <row r="857" spans="1:19" ht="21.95" customHeight="1">
      <c r="A857" s="66" t="s">
        <v>1837</v>
      </c>
      <c r="B857" s="64"/>
      <c r="C857" s="65"/>
      <c r="D857" s="64"/>
      <c r="E857" s="64"/>
      <c r="F857" s="60"/>
      <c r="G857" s="60" t="s">
        <v>88</v>
      </c>
      <c r="H857" s="60" t="str">
        <f>IFERROR(INDEX('Docketed Comments'!C:C,MATCH(A857,'Docketed Comments'!H:H,0))&amp;", "&amp;INDEX('Docketed Comments'!B:B,MATCH(A857,'Docketed Comments'!H:H,0)),"")</f>
        <v>Michael, Dzezinski</v>
      </c>
      <c r="I857" s="60" t="str">
        <f>IFERROR(INDEX('Docketed Comments'!D:D,MATCH(A857,'Docketed Comments'!H:H,0)),"")</f>
        <v>Phoenix</v>
      </c>
      <c r="J857" s="60" t="str">
        <f>IFERROR(INDEX('Docketed Comments'!I:I,MATCH(A857,'Docketed Comments'!H:H,0)),"")</f>
        <v>RCPw/RTOUE47</v>
      </c>
      <c r="K857" s="60" t="str">
        <f t="shared" si="27"/>
        <v>✅ On Best Plan</v>
      </c>
      <c r="L857" s="60" t="str">
        <f>IFERROR(INDEX('Docketed Comments'!F:F,MATCH(A857,'Docketed Comments'!H:H,0)),"")</f>
        <v>APS's greed is asking for another hike less than 2  years after the last increase is borderline criminal.</v>
      </c>
      <c r="M857" s="120" t="str">
        <f>IFERROR(INDEX('Docketed Comments'!G:G,MATCH(A857,'Docketed Comments'!H:H,0)),"")</f>
        <v>https://images.edocket.azcc.gov/docketpdf/E000048753.pdf</v>
      </c>
      <c r="N857" s="118" t="str">
        <f>IFERROR(INDEX('Docketed Comments'!N:N,MATCH(A857,'Docketed Comments'!H:H,0)),"")</f>
        <v>No</v>
      </c>
      <c r="O857" s="118" t="str">
        <f>IFERROR(INDEX('Docketed Comments'!L:L,MATCH(A857,'Docketed Comments'!H:H,0)),"")</f>
        <v>Yes</v>
      </c>
      <c r="P857" s="119">
        <f t="shared" si="26"/>
        <v>0</v>
      </c>
      <c r="Q857" s="60"/>
      <c r="R857" s="64" t="s">
        <v>75</v>
      </c>
      <c r="S857" s="64" t="s">
        <v>1838</v>
      </c>
    </row>
    <row r="858" spans="1:19" ht="21.95" customHeight="1">
      <c r="A858" s="66" t="s">
        <v>1839</v>
      </c>
      <c r="B858" s="64"/>
      <c r="C858" s="65"/>
      <c r="D858" s="64"/>
      <c r="E858" s="64"/>
      <c r="F858" s="60"/>
      <c r="G858" s="60" t="s">
        <v>88</v>
      </c>
      <c r="H858" s="60" t="str">
        <f>IFERROR(INDEX('Docketed Comments'!C:C,MATCH(A858,'Docketed Comments'!H:H,0))&amp;", "&amp;INDEX('Docketed Comments'!B:B,MATCH(A858,'Docketed Comments'!H:H,0)),"")</f>
        <v>Brandon, Ollis</v>
      </c>
      <c r="I858" s="60" t="str">
        <f>IFERROR(INDEX('Docketed Comments'!D:D,MATCH(A858,'Docketed Comments'!H:H,0)),"")</f>
        <v>Goodyear</v>
      </c>
      <c r="J858" s="60" t="str">
        <f>IFERROR(INDEX('Docketed Comments'!I:I,MATCH(A858,'Docketed Comments'!H:H,0)),"")</f>
        <v>RCPw/R-2</v>
      </c>
      <c r="K858" s="60" t="str">
        <f t="shared" si="27"/>
        <v>⚠ Frozen Plan</v>
      </c>
      <c r="L858" s="60" t="str">
        <f>IFERROR(INDEX('Docketed Comments'!F:F,MATCH(A858,'Docketed Comments'!H:H,0)),"")</f>
        <v>Cannot attend the public comment meeting. Monopoly, $483M profits, Their solar reimbursement program is a scam</v>
      </c>
      <c r="M858" s="120" t="str">
        <f>IFERROR(INDEX('Docketed Comments'!G:G,MATCH(A858,'Docketed Comments'!H:H,0)),"")</f>
        <v>https://images.edocket.azcc.gov/docketpdf/E000048762.pdf</v>
      </c>
      <c r="N858" s="118" t="str">
        <f>IFERROR(INDEX('Docketed Comments'!N:N,MATCH(A858,'Docketed Comments'!H:H,0)),"")</f>
        <v>No</v>
      </c>
      <c r="O858" s="118" t="str">
        <f>IFERROR(INDEX('Docketed Comments'!L:L,MATCH(A858,'Docketed Comments'!H:H,0)),"")</f>
        <v>Frozen Plan</v>
      </c>
      <c r="P858" s="119">
        <f t="shared" si="26"/>
        <v>0</v>
      </c>
      <c r="Q858" s="60"/>
      <c r="R858" s="64" t="s">
        <v>75</v>
      </c>
      <c r="S858" s="64" t="s">
        <v>1840</v>
      </c>
    </row>
    <row r="859" spans="1:19" ht="21.95" customHeight="1">
      <c r="A859" s="66" t="s">
        <v>1841</v>
      </c>
      <c r="B859" s="64"/>
      <c r="C859" s="65"/>
      <c r="D859" s="64"/>
      <c r="E859" s="64"/>
      <c r="F859" s="60"/>
      <c r="G859" s="60" t="s">
        <v>88</v>
      </c>
      <c r="H859" s="60" t="str">
        <f>IFERROR(INDEX('Docketed Comments'!C:C,MATCH(A859,'Docketed Comments'!H:H,0))&amp;", "&amp;INDEX('Docketed Comments'!B:B,MATCH(A859,'Docketed Comments'!H:H,0)),"")</f>
        <v>Greg, Ciasnocha</v>
      </c>
      <c r="I859" s="60" t="str">
        <f>IFERROR(INDEX('Docketed Comments'!D:D,MATCH(A859,'Docketed Comments'!H:H,0)),"")</f>
        <v>Buckeye</v>
      </c>
      <c r="J859" s="60" t="str">
        <f>IFERROR(INDEX('Docketed Comments'!I:I,MATCH(A859,'Docketed Comments'!H:H,0)),"")</f>
        <v>EPR6w/ET-2</v>
      </c>
      <c r="K859" s="60" t="str">
        <f t="shared" si="27"/>
        <v>⚠ Frozen Plan</v>
      </c>
      <c r="L859" s="60" t="str">
        <f>IFERROR(INDEX('Docketed Comments'!F:F,MATCH(A859,'Docketed Comments'!H:H,0)),"")</f>
        <v>Opposed, another increase after an 8% increase just 2 y ears ago, punishing solar, alarming FRM, quoting AG</v>
      </c>
      <c r="M859" s="120" t="str">
        <f>IFERROR(INDEX('Docketed Comments'!G:G,MATCH(A859,'Docketed Comments'!H:H,0)),"")</f>
        <v>https://docket.images.azcc.gov/E000048791.pdf</v>
      </c>
      <c r="N859" s="118" t="str">
        <f>IFERROR(INDEX('Docketed Comments'!N:N,MATCH(A859,'Docketed Comments'!H:H,0)),"")</f>
        <v>No</v>
      </c>
      <c r="O859" s="118" t="str">
        <f>IFERROR(INDEX('Docketed Comments'!L:L,MATCH(A859,'Docketed Comments'!H:H,0)),"")</f>
        <v>Frozen Plan</v>
      </c>
      <c r="P859" s="119">
        <f t="shared" si="26"/>
        <v>0</v>
      </c>
      <c r="Q859" s="60"/>
      <c r="R859" s="64" t="s">
        <v>75</v>
      </c>
      <c r="S859" s="64" t="s">
        <v>1842</v>
      </c>
    </row>
    <row r="860" spans="1:19" ht="21.95" customHeight="1">
      <c r="A860" s="66" t="s">
        <v>1843</v>
      </c>
      <c r="B860" s="64"/>
      <c r="C860" s="65"/>
      <c r="D860" s="64"/>
      <c r="E860" s="64"/>
      <c r="F860" s="60"/>
      <c r="G860" s="60" t="s">
        <v>88</v>
      </c>
      <c r="H860" s="60" t="str">
        <f>IFERROR(INDEX('Docketed Comments'!C:C,MATCH(A860,'Docketed Comments'!H:H,0))&amp;", "&amp;INDEX('Docketed Comments'!B:B,MATCH(A860,'Docketed Comments'!H:H,0)),"")</f>
        <v>Doris, Freeman</v>
      </c>
      <c r="I860" s="60" t="str">
        <f>IFERROR(INDEX('Docketed Comments'!D:D,MATCH(A860,'Docketed Comments'!H:H,0)),"")</f>
        <v>Phoenix</v>
      </c>
      <c r="J860" s="60" t="str">
        <f>IFERROR(INDEX('Docketed Comments'!I:I,MATCH(A860,'Docketed Comments'!H:H,0)),"")</f>
        <v>R3-47</v>
      </c>
      <c r="K860" s="60" t="str">
        <f t="shared" si="27"/>
        <v>✅ On Best Plan</v>
      </c>
      <c r="L860" s="60" t="str">
        <f>IFERROR(INDEX('Docketed Comments'!F:F,MATCH(A860,'Docketed Comments'!H:H,0)),"")</f>
        <v>They just got a 16% rate increase and now those greedy people demand more?</v>
      </c>
      <c r="M860" s="120" t="str">
        <f>IFERROR(INDEX('Docketed Comments'!G:G,MATCH(A860,'Docketed Comments'!H:H,0)),"")</f>
        <v>https://docket.images.azcc.gov/E000048791.pdf</v>
      </c>
      <c r="N860" s="118" t="str">
        <f>IFERROR(INDEX('Docketed Comments'!N:N,MATCH(A860,'Docketed Comments'!H:H,0)),"")</f>
        <v>No</v>
      </c>
      <c r="O860" s="118" t="str">
        <f>IFERROR(INDEX('Docketed Comments'!L:L,MATCH(A860,'Docketed Comments'!H:H,0)),"")</f>
        <v>Yes</v>
      </c>
      <c r="P860" s="119">
        <f t="shared" si="26"/>
        <v>0</v>
      </c>
      <c r="Q860" s="60"/>
      <c r="R860" s="64" t="s">
        <v>75</v>
      </c>
      <c r="S860" s="64" t="s">
        <v>1844</v>
      </c>
    </row>
    <row r="861" spans="1:19" ht="21.95" customHeight="1">
      <c r="A861" s="66" t="s">
        <v>1845</v>
      </c>
      <c r="B861" s="64"/>
      <c r="C861" s="65"/>
      <c r="D861" s="64"/>
      <c r="E861" s="64"/>
      <c r="F861" s="60"/>
      <c r="G861" s="60" t="s">
        <v>88</v>
      </c>
      <c r="H861" s="60" t="str">
        <f>IFERROR(INDEX('Docketed Comments'!C:C,MATCH(A861,'Docketed Comments'!H:H,0))&amp;", "&amp;INDEX('Docketed Comments'!B:B,MATCH(A861,'Docketed Comments'!H:H,0)),"")</f>
        <v>Blake, Lister</v>
      </c>
      <c r="I861" s="60" t="str">
        <f>IFERROR(INDEX('Docketed Comments'!D:D,MATCH(A861,'Docketed Comments'!H:H,0)),"")</f>
        <v>Glendale</v>
      </c>
      <c r="J861" s="60" t="str">
        <f>IFERROR(INDEX('Docketed Comments'!I:I,MATCH(A861,'Docketed Comments'!H:H,0)),"")</f>
        <v>R-BASIC</v>
      </c>
      <c r="K861" s="60" t="str">
        <f t="shared" si="27"/>
        <v>✅ On Best Plan</v>
      </c>
      <c r="L861" s="60" t="str">
        <f>IFERROR(INDEX('Docketed Comments'!F:F,MATCH(A861,'Docketed Comments'!H:H,0)),"")</f>
        <v xml:space="preserve">Thank you for the opportunity to testify today. Representing Opportunity Arizona. Quotes 12News for data center growth make up energy demand. </v>
      </c>
      <c r="M861" s="120" t="str">
        <f>IFERROR(INDEX('Docketed Comments'!G:G,MATCH(A861,'Docketed Comments'!H:H,0)),"")</f>
        <v>https://docket.images.azcc.gov/E000048791.pdf</v>
      </c>
      <c r="N861" s="118" t="str">
        <f>IFERROR(INDEX('Docketed Comments'!N:N,MATCH(A861,'Docketed Comments'!H:H,0)),"")</f>
        <v>No</v>
      </c>
      <c r="O861" s="118" t="str">
        <f>IFERROR(INDEX('Docketed Comments'!L:L,MATCH(A861,'Docketed Comments'!H:H,0)),"")</f>
        <v>Yes</v>
      </c>
      <c r="P861" s="119">
        <f t="shared" si="26"/>
        <v>0</v>
      </c>
      <c r="Q861" s="60"/>
      <c r="R861" s="64" t="s">
        <v>75</v>
      </c>
      <c r="S861" s="64" t="s">
        <v>1846</v>
      </c>
    </row>
    <row r="862" spans="1:19" ht="21.95" customHeight="1">
      <c r="A862" s="66" t="s">
        <v>1847</v>
      </c>
      <c r="B862" s="64"/>
      <c r="C862" s="65"/>
      <c r="D862" s="64"/>
      <c r="E862" s="64"/>
      <c r="F862" s="60"/>
      <c r="G862" s="60" t="s">
        <v>88</v>
      </c>
      <c r="H862" s="60" t="str">
        <f>IFERROR(INDEX('Docketed Comments'!C:C,MATCH(A862,'Docketed Comments'!H:H,0))&amp;", "&amp;INDEX('Docketed Comments'!B:B,MATCH(A862,'Docketed Comments'!H:H,0)),"")</f>
        <v>Cheryl, Welch</v>
      </c>
      <c r="I862" s="60" t="str">
        <f>IFERROR(INDEX('Docketed Comments'!D:D,MATCH(A862,'Docketed Comments'!H:H,0)),"")</f>
        <v>Scottsdale</v>
      </c>
      <c r="J862" s="60" t="str">
        <f>IFERROR(INDEX('Docketed Comments'!I:I,MATCH(A862,'Docketed Comments'!H:H,0)),"")</f>
        <v>R3-47</v>
      </c>
      <c r="K862" s="60" t="str">
        <f t="shared" si="27"/>
        <v>✅ On Best Plan</v>
      </c>
      <c r="L862" s="60" t="str">
        <f>IFERROR(INDEX('Docketed Comments'!F:F,MATCH(A862,'Docketed Comments'!H:H,0)),"")</f>
        <v>My bill in the winter was almost $300 last month, and the heat and air were never used - that is criminal.</v>
      </c>
      <c r="M862" s="120" t="str">
        <f>IFERROR(INDEX('Docketed Comments'!G:G,MATCH(A862,'Docketed Comments'!H:H,0)),"")</f>
        <v>https://docket.images.azcc.gov/E000048791.pdf</v>
      </c>
      <c r="N862" s="118" t="str">
        <f>IFERROR(INDEX('Docketed Comments'!N:N,MATCH(A862,'Docketed Comments'!H:H,0)),"")</f>
        <v>No</v>
      </c>
      <c r="O862" s="118" t="str">
        <f>IFERROR(INDEX('Docketed Comments'!L:L,MATCH(A862,'Docketed Comments'!H:H,0)),"")</f>
        <v>Yes</v>
      </c>
      <c r="P862" s="119">
        <f t="shared" si="26"/>
        <v>0</v>
      </c>
      <c r="Q862" s="60"/>
      <c r="R862" s="64" t="s">
        <v>75</v>
      </c>
      <c r="S862" s="64" t="s">
        <v>1848</v>
      </c>
    </row>
    <row r="863" spans="1:19" ht="21.95" customHeight="1">
      <c r="A863" s="66" t="s">
        <v>1849</v>
      </c>
      <c r="B863" s="64"/>
      <c r="C863" s="65"/>
      <c r="D863" s="64"/>
      <c r="E863" s="64"/>
      <c r="F863" s="60"/>
      <c r="G863" s="60" t="s">
        <v>88</v>
      </c>
      <c r="H863" s="60" t="str">
        <f>IFERROR(INDEX('Docketed Comments'!C:C,MATCH(A863,'Docketed Comments'!H:H,0))&amp;", "&amp;INDEX('Docketed Comments'!B:B,MATCH(A863,'Docketed Comments'!H:H,0)),"")</f>
        <v>Yijeng, Liu</v>
      </c>
      <c r="I863" s="60" t="str">
        <f>IFERROR(INDEX('Docketed Comments'!D:D,MATCH(A863,'Docketed Comments'!H:H,0)),"")</f>
        <v>Scottsdale</v>
      </c>
      <c r="J863" s="60" t="str">
        <f>IFERROR(INDEX('Docketed Comments'!I:I,MATCH(A863,'Docketed Comments'!H:H,0)),"")</f>
        <v>EPR6w/ET-1</v>
      </c>
      <c r="K863" s="60" t="str">
        <f t="shared" si="27"/>
        <v>⚠ Frozen Plan</v>
      </c>
      <c r="L863" s="60" t="str">
        <f>IFERROR(INDEX('Docketed Comments'!F:F,MATCH(A863,'Docketed Comments'!H:H,0)),"")</f>
        <v>Why do residents have to pay APS shareholders' dividends more and more each year?</v>
      </c>
      <c r="M863" s="120" t="str">
        <f>IFERROR(INDEX('Docketed Comments'!G:G,MATCH(A863,'Docketed Comments'!H:H,0)),"")</f>
        <v>https://docket.images.azcc.gov/E000048791.pdf</v>
      </c>
      <c r="N863" s="118" t="str">
        <f>IFERROR(INDEX('Docketed Comments'!N:N,MATCH(A863,'Docketed Comments'!H:H,0)),"")</f>
        <v>No</v>
      </c>
      <c r="O863" s="118" t="str">
        <f>IFERROR(INDEX('Docketed Comments'!L:L,MATCH(A863,'Docketed Comments'!H:H,0)),"")</f>
        <v>Frozen Plan</v>
      </c>
      <c r="P863" s="119">
        <f t="shared" si="26"/>
        <v>0</v>
      </c>
      <c r="Q863" s="60"/>
      <c r="R863" s="64" t="s">
        <v>75</v>
      </c>
      <c r="S863" s="64" t="s">
        <v>1850</v>
      </c>
    </row>
    <row r="864" spans="1:19" ht="21.95" customHeight="1">
      <c r="A864" s="66" t="s">
        <v>1851</v>
      </c>
      <c r="B864" s="64"/>
      <c r="C864" s="65"/>
      <c r="D864" s="64"/>
      <c r="E864" s="64"/>
      <c r="F864" s="60"/>
      <c r="G864" s="60" t="s">
        <v>88</v>
      </c>
      <c r="H864" s="60" t="str">
        <f>IFERROR(INDEX('Docketed Comments'!C:C,MATCH(A864,'Docketed Comments'!H:H,0))&amp;", "&amp;INDEX('Docketed Comments'!B:B,MATCH(A864,'Docketed Comments'!H:H,0)),"")</f>
        <v>Barbara, Lucas</v>
      </c>
      <c r="I864" s="60" t="str">
        <f>IFERROR(INDEX('Docketed Comments'!D:D,MATCH(A864,'Docketed Comments'!H:H,0)),"")</f>
        <v>New River</v>
      </c>
      <c r="J864" s="60" t="str">
        <f>IFERROR(INDEX('Docketed Comments'!I:I,MATCH(A864,'Docketed Comments'!H:H,0)),"")</f>
        <v>R3-47</v>
      </c>
      <c r="K864" s="60" t="str">
        <f t="shared" si="27"/>
        <v>✅ On Best Plan</v>
      </c>
      <c r="L864" s="60" t="str">
        <f>IFERROR(INDEX('Docketed Comments'!F:F,MATCH(A864,'Docketed Comments'!H:H,0)),"")</f>
        <v xml:space="preserve">For families like mine, this is simply too much... customers should not be expected to absorb constant hikes whiles APS continues to report healthy returns. </v>
      </c>
      <c r="M864" s="120" t="str">
        <f>IFERROR(INDEX('Docketed Comments'!G:G,MATCH(A864,'Docketed Comments'!H:H,0)),"")</f>
        <v>https://docket.images.azcc.gov/E000048791.pdf</v>
      </c>
      <c r="N864" s="118" t="str">
        <f>IFERROR(INDEX('Docketed Comments'!N:N,MATCH(A864,'Docketed Comments'!H:H,0)),"")</f>
        <v>No</v>
      </c>
      <c r="O864" s="118" t="str">
        <f>IFERROR(INDEX('Docketed Comments'!L:L,MATCH(A864,'Docketed Comments'!H:H,0)),"")</f>
        <v>Yes</v>
      </c>
      <c r="P864" s="119">
        <f t="shared" si="26"/>
        <v>0</v>
      </c>
      <c r="Q864" s="60"/>
      <c r="R864" s="64" t="s">
        <v>75</v>
      </c>
      <c r="S864" s="64" t="s">
        <v>1852</v>
      </c>
    </row>
    <row r="865" spans="1:19" ht="21.95" customHeight="1">
      <c r="A865" s="66" t="s">
        <v>1853</v>
      </c>
      <c r="B865" s="64"/>
      <c r="C865" s="65"/>
      <c r="D865" s="64"/>
      <c r="E865" s="64"/>
      <c r="F865" s="60"/>
      <c r="G865" s="60" t="s">
        <v>88</v>
      </c>
      <c r="H865" s="60" t="str">
        <f>IFERROR(INDEX('Docketed Comments'!C:C,MATCH(A865,'Docketed Comments'!H:H,0))&amp;", "&amp;INDEX('Docketed Comments'!B:B,MATCH(A865,'Docketed Comments'!H:H,0)),"")</f>
        <v>Ross, Simon</v>
      </c>
      <c r="I865" s="60" t="str">
        <f>IFERROR(INDEX('Docketed Comments'!D:D,MATCH(A865,'Docketed Comments'!H:H,0)),"")</f>
        <v>Phoenix</v>
      </c>
      <c r="J865" s="60" t="str">
        <f>IFERROR(INDEX('Docketed Comments'!I:I,MATCH(A865,'Docketed Comments'!H:H,0)),"")</f>
        <v>RCPw/TOUE47</v>
      </c>
      <c r="K865" s="60" t="str">
        <f t="shared" si="27"/>
        <v>✅ On Best Plan</v>
      </c>
      <c r="L865" s="60" t="str">
        <f>IFERROR(INDEX('Docketed Comments'!F:F,MATCH(A865,'Docketed Comments'!H:H,0)),"")</f>
        <v xml:space="preserve">Approving yet another rate ncrease-especially one that penalizes solar adoption and inflates transmission costs-would violate your duty. </v>
      </c>
      <c r="M865" s="120" t="str">
        <f>IFERROR(INDEX('Docketed Comments'!G:G,MATCH(A865,'Docketed Comments'!H:H,0)),"")</f>
        <v>https://docket.images.azcc.gov/E000048791.pdf</v>
      </c>
      <c r="N865" s="118" t="str">
        <f>IFERROR(INDEX('Docketed Comments'!N:N,MATCH(A865,'Docketed Comments'!H:H,0)),"")</f>
        <v>No</v>
      </c>
      <c r="O865" s="118" t="str">
        <f>IFERROR(INDEX('Docketed Comments'!L:L,MATCH(A865,'Docketed Comments'!H:H,0)),"")</f>
        <v>Yes</v>
      </c>
      <c r="P865" s="119">
        <f t="shared" si="26"/>
        <v>0</v>
      </c>
      <c r="Q865" s="60"/>
      <c r="R865" s="64" t="s">
        <v>75</v>
      </c>
      <c r="S865" s="64" t="s">
        <v>1854</v>
      </c>
    </row>
    <row r="866" spans="1:19" ht="21.95" customHeight="1">
      <c r="A866" s="66" t="s">
        <v>1855</v>
      </c>
      <c r="B866" s="64"/>
      <c r="C866" s="65"/>
      <c r="D866" s="64"/>
      <c r="E866" s="64"/>
      <c r="F866" s="60"/>
      <c r="G866" s="60" t="s">
        <v>88</v>
      </c>
      <c r="H866" s="60" t="str">
        <f>IFERROR(INDEX('Docketed Comments'!C:C,MATCH(A866,'Docketed Comments'!H:H,0))&amp;", "&amp;INDEX('Docketed Comments'!B:B,MATCH(A866,'Docketed Comments'!H:H,0)),"")</f>
        <v>Frank, Arriola</v>
      </c>
      <c r="I866" s="60" t="str">
        <f>IFERROR(INDEX('Docketed Comments'!D:D,MATCH(A866,'Docketed Comments'!H:H,0)),"")</f>
        <v>Florence</v>
      </c>
      <c r="J866" s="60" t="str">
        <f>IFERROR(INDEX('Docketed Comments'!I:I,MATCH(A866,'Docketed Comments'!H:H,0)),"")</f>
        <v>R3-47</v>
      </c>
      <c r="K866" s="60" t="str">
        <f t="shared" si="27"/>
        <v>✅ On Best Plan</v>
      </c>
      <c r="L866" s="60" t="str">
        <f>IFERROR(INDEX('Docketed Comments'!F:F,MATCH(A866,'Docketed Comments'!H:H,0)),"")</f>
        <v>It's tough as it is to try to keep up with life without yet another increase from APS</v>
      </c>
      <c r="M866" s="120" t="str">
        <f>IFERROR(INDEX('Docketed Comments'!G:G,MATCH(A866,'Docketed Comments'!H:H,0)),"")</f>
        <v>https://docket.images.azcc.gov/E000048791.pdf</v>
      </c>
      <c r="N866" s="118" t="str">
        <f>IFERROR(INDEX('Docketed Comments'!N:N,MATCH(A866,'Docketed Comments'!H:H,0)),"")</f>
        <v>No</v>
      </c>
      <c r="O866" s="118" t="str">
        <f>IFERROR(INDEX('Docketed Comments'!L:L,MATCH(A866,'Docketed Comments'!H:H,0)),"")</f>
        <v>Yes</v>
      </c>
      <c r="P866" s="119">
        <f t="shared" si="26"/>
        <v>0</v>
      </c>
      <c r="Q866" s="60"/>
      <c r="R866" s="64" t="s">
        <v>75</v>
      </c>
      <c r="S866" s="64" t="s">
        <v>1856</v>
      </c>
    </row>
    <row r="867" spans="1:19" ht="21.95" customHeight="1">
      <c r="A867" s="66" t="s">
        <v>1857</v>
      </c>
      <c r="B867" s="64"/>
      <c r="C867" s="65"/>
      <c r="D867" s="64"/>
      <c r="E867" s="64"/>
      <c r="F867" s="60"/>
      <c r="G867" s="60" t="s">
        <v>88</v>
      </c>
      <c r="H867" s="60" t="str">
        <f>IFERROR(INDEX('Docketed Comments'!C:C,MATCH(A867,'Docketed Comments'!H:H,0))&amp;", "&amp;INDEX('Docketed Comments'!B:B,MATCH(A867,'Docketed Comments'!H:H,0)),"")</f>
        <v>Jaimie, Pottorf</v>
      </c>
      <c r="I867" s="60" t="str">
        <f>IFERROR(INDEX('Docketed Comments'!D:D,MATCH(A867,'Docketed Comments'!H:H,0)),"")</f>
        <v>Surprise</v>
      </c>
      <c r="J867" s="60" t="str">
        <f>IFERROR(INDEX('Docketed Comments'!I:I,MATCH(A867,'Docketed Comments'!H:H,0)),"")</f>
        <v>R3-47</v>
      </c>
      <c r="K867" s="60" t="str">
        <f t="shared" si="27"/>
        <v>✅ On Best Plan</v>
      </c>
      <c r="L867" s="60" t="str">
        <f>IFERROR(INDEX('Docketed Comments'!F:F,MATCH(A867,'Docketed Comments'!H:H,0)),"")</f>
        <v>APS is a regulated utility with a statutory right to seek recovery of reasonable costs, however the magnitude of the request, paired with existing profits and the ongoing financial strain on AZ residents makes this application neither fair nor reasonable</v>
      </c>
      <c r="M867" s="120" t="str">
        <f>IFERROR(INDEX('Docketed Comments'!G:G,MATCH(A867,'Docketed Comments'!H:H,0)),"")</f>
        <v>https://docket.images.azcc.gov/E000048791.pdf</v>
      </c>
      <c r="N867" s="118" t="str">
        <f>IFERROR(INDEX('Docketed Comments'!N:N,MATCH(A867,'Docketed Comments'!H:H,0)),"")</f>
        <v>No</v>
      </c>
      <c r="O867" s="118" t="str">
        <f>IFERROR(INDEX('Docketed Comments'!L:L,MATCH(A867,'Docketed Comments'!H:H,0)),"")</f>
        <v>Yes</v>
      </c>
      <c r="P867" s="119">
        <f t="shared" si="26"/>
        <v>0</v>
      </c>
      <c r="Q867" s="60"/>
      <c r="R867" s="64" t="s">
        <v>75</v>
      </c>
      <c r="S867" s="64" t="s">
        <v>1858</v>
      </c>
    </row>
    <row r="868" spans="1:19" ht="21.95" customHeight="1">
      <c r="A868" s="66" t="s">
        <v>1859</v>
      </c>
      <c r="B868" s="64"/>
      <c r="C868" s="65"/>
      <c r="D868" s="64"/>
      <c r="E868" s="64"/>
      <c r="F868" s="60"/>
      <c r="G868" s="60" t="s">
        <v>88</v>
      </c>
      <c r="H868" s="60" t="str">
        <f>IFERROR(INDEX('Docketed Comments'!C:C,MATCH(A868,'Docketed Comments'!H:H,0))&amp;", "&amp;INDEX('Docketed Comments'!B:B,MATCH(A868,'Docketed Comments'!H:H,0)),"")</f>
        <v>Davide, Conte</v>
      </c>
      <c r="I868" s="60" t="str">
        <f>IFERROR(INDEX('Docketed Comments'!D:D,MATCH(A868,'Docketed Comments'!H:H,0)),"")</f>
        <v>Prescott Valley</v>
      </c>
      <c r="J868" s="60" t="str">
        <f>IFERROR(INDEX('Docketed Comments'!I:I,MATCH(A868,'Docketed Comments'!H:H,0)),"")</f>
        <v>R-XS</v>
      </c>
      <c r="K868" s="60" t="str">
        <f t="shared" si="27"/>
        <v>✅ On Best Plan</v>
      </c>
      <c r="L868" s="60" t="str">
        <f>IFERROR(INDEX('Docketed Comments'!F:F,MATCH(A868,'Docketed Comments'!H:H,0)),"")</f>
        <v xml:space="preserve">Commission review APS's solar rate design and consider whether forcing all solar customers into sunset-aligned peak pricing is consistent with fair cost allocation. </v>
      </c>
      <c r="M868" s="120" t="str">
        <f>IFERROR(INDEX('Docketed Comments'!G:G,MATCH(A868,'Docketed Comments'!H:H,0)),"")</f>
        <v>https://docket.images.azcc.gov/E000048791.pdf</v>
      </c>
      <c r="N868" s="118" t="str">
        <f>IFERROR(INDEX('Docketed Comments'!N:N,MATCH(A868,'Docketed Comments'!H:H,0)),"")</f>
        <v>No</v>
      </c>
      <c r="O868" s="118" t="str">
        <f>IFERROR(INDEX('Docketed Comments'!L:L,MATCH(A868,'Docketed Comments'!H:H,0)),"")</f>
        <v>Yes</v>
      </c>
      <c r="P868" s="119">
        <f t="shared" si="26"/>
        <v>0</v>
      </c>
      <c r="Q868" s="60"/>
      <c r="R868" s="64" t="s">
        <v>75</v>
      </c>
      <c r="S868" s="64" t="s">
        <v>1860</v>
      </c>
    </row>
    <row r="869" spans="1:19" ht="21.95" customHeight="1">
      <c r="A869" s="66" t="s">
        <v>1861</v>
      </c>
      <c r="B869" s="64"/>
      <c r="C869" s="65"/>
      <c r="D869" s="64"/>
      <c r="E869" s="64"/>
      <c r="F869" s="60"/>
      <c r="G869" s="60" t="s">
        <v>88</v>
      </c>
      <c r="H869" s="60" t="str">
        <f>IFERROR(INDEX('Docketed Comments'!C:C,MATCH(A869,'Docketed Comments'!H:H,0))&amp;", "&amp;INDEX('Docketed Comments'!B:B,MATCH(A869,'Docketed Comments'!H:H,0)),"")</f>
        <v>Candace, Baird</v>
      </c>
      <c r="I869" s="60" t="str">
        <f>IFERROR(INDEX('Docketed Comments'!D:D,MATCH(A869,'Docketed Comments'!H:H,0)),"")</f>
        <v>Florence</v>
      </c>
      <c r="J869" s="60" t="str">
        <f>IFERROR(INDEX('Docketed Comments'!I:I,MATCH(A869,'Docketed Comments'!H:H,0)),"")</f>
        <v>R3-47</v>
      </c>
      <c r="K869" s="60" t="str">
        <f t="shared" si="27"/>
        <v>✅ On Best Plan</v>
      </c>
      <c r="L869" s="60" t="str">
        <f>IFERROR(INDEX('Docketed Comments'!F:F,MATCH(A869,'Docketed Comments'!H:H,0)),"")</f>
        <v>I have filed numerous complaints with BBB because our bills are sometimes $700! How does a family living on one income afford anymore?!</v>
      </c>
      <c r="M869" s="120" t="str">
        <f>IFERROR(INDEX('Docketed Comments'!G:G,MATCH(A869,'Docketed Comments'!H:H,0)),"")</f>
        <v>https://docket.images.azcc.gov/E000048791.pdf</v>
      </c>
      <c r="N869" s="118" t="str">
        <f>IFERROR(INDEX('Docketed Comments'!N:N,MATCH(A869,'Docketed Comments'!H:H,0)),"")</f>
        <v>No</v>
      </c>
      <c r="O869" s="118" t="str">
        <f>IFERROR(INDEX('Docketed Comments'!L:L,MATCH(A869,'Docketed Comments'!H:H,0)),"")</f>
        <v>Yes</v>
      </c>
      <c r="P869" s="119">
        <f t="shared" si="26"/>
        <v>0</v>
      </c>
      <c r="Q869" s="60"/>
      <c r="R869" s="64" t="s">
        <v>75</v>
      </c>
      <c r="S869" s="64" t="s">
        <v>1862</v>
      </c>
    </row>
    <row r="870" spans="1:19" ht="21.95" customHeight="1">
      <c r="A870" s="66" t="s">
        <v>1863</v>
      </c>
      <c r="B870" s="64"/>
      <c r="C870" s="65"/>
      <c r="D870" s="64"/>
      <c r="E870" s="64"/>
      <c r="F870" s="60"/>
      <c r="G870" s="60" t="s">
        <v>88</v>
      </c>
      <c r="H870" s="60" t="str">
        <f>IFERROR(INDEX('Docketed Comments'!C:C,MATCH(A870,'Docketed Comments'!H:H,0))&amp;", "&amp;INDEX('Docketed Comments'!B:B,MATCH(A870,'Docketed Comments'!H:H,0)),"")</f>
        <v>Kayla, Vassallo</v>
      </c>
      <c r="I870" s="60" t="str">
        <f>IFERROR(INDEX('Docketed Comments'!D:D,MATCH(A870,'Docketed Comments'!H:H,0)),"")</f>
        <v>Phoenix</v>
      </c>
      <c r="J870" s="60" t="str">
        <f>IFERROR(INDEX('Docketed Comments'!I:I,MATCH(A870,'Docketed Comments'!H:H,0)),"")</f>
        <v>R-XS</v>
      </c>
      <c r="K870" s="60" t="str">
        <f t="shared" si="27"/>
        <v>✅ On Best Plan</v>
      </c>
      <c r="L870" s="60" t="str">
        <f>IFERROR(INDEX('Docketed Comments'!F:F,MATCH(A870,'Docketed Comments'!H:H,0)),"")</f>
        <v>Form Letter: For families like mine this is simply too much</v>
      </c>
      <c r="M870" s="120" t="str">
        <f>IFERROR(INDEX('Docketed Comments'!G:G,MATCH(A870,'Docketed Comments'!H:H,0)),"")</f>
        <v>https://docket.images.azcc.gov/E000048791.pdf</v>
      </c>
      <c r="N870" s="118" t="str">
        <f>IFERROR(INDEX('Docketed Comments'!N:N,MATCH(A870,'Docketed Comments'!H:H,0)),"")</f>
        <v>No</v>
      </c>
      <c r="O870" s="118" t="str">
        <f>IFERROR(INDEX('Docketed Comments'!L:L,MATCH(A870,'Docketed Comments'!H:H,0)),"")</f>
        <v>Yes</v>
      </c>
      <c r="P870" s="119">
        <f t="shared" si="26"/>
        <v>0</v>
      </c>
      <c r="Q870" s="60"/>
      <c r="R870" s="64" t="s">
        <v>75</v>
      </c>
      <c r="S870" s="64" t="s">
        <v>1864</v>
      </c>
    </row>
    <row r="871" spans="1:19" ht="21.95" customHeight="1">
      <c r="A871" s="66" t="s">
        <v>1865</v>
      </c>
      <c r="B871" s="64"/>
      <c r="C871" s="65"/>
      <c r="D871" s="64"/>
      <c r="E871" s="64"/>
      <c r="F871" s="60"/>
      <c r="G871" s="60" t="s">
        <v>88</v>
      </c>
      <c r="H871" s="60" t="str">
        <f>IFERROR(INDEX('Docketed Comments'!C:C,MATCH(A871,'Docketed Comments'!H:H,0))&amp;", "&amp;INDEX('Docketed Comments'!B:B,MATCH(A871,'Docketed Comments'!H:H,0)),"")</f>
        <v>Scott, Dahne</v>
      </c>
      <c r="I871" s="60" t="str">
        <f>IFERROR(INDEX('Docketed Comments'!D:D,MATCH(A871,'Docketed Comments'!H:H,0)),"")</f>
        <v>Cave Creek</v>
      </c>
      <c r="J871" s="60" t="str">
        <f>IFERROR(INDEX('Docketed Comments'!I:I,MATCH(A871,'Docketed Comments'!H:H,0)),"")</f>
        <v>R3-47</v>
      </c>
      <c r="K871" s="60" t="str">
        <f t="shared" si="27"/>
        <v>✅ On Best Plan</v>
      </c>
      <c r="L871" s="60" t="str">
        <f>IFERROR(INDEX('Docketed Comments'!F:F,MATCH(A871,'Docketed Comments'!H:H,0)),"")</f>
        <v xml:space="preserve">Demand Charge Limiter and Demand Charge Credit... l've dropped my bills about 13% through my work on my electricity usage. Now APS wants to wipe that out just for the benefit of their shareholders and executive pay. </v>
      </c>
      <c r="M871" s="120" t="str">
        <f>IFERROR(INDEX('Docketed Comments'!G:G,MATCH(A871,'Docketed Comments'!H:H,0)),"")</f>
        <v>https://docket.images.azcc.gov/E000048791.pdf</v>
      </c>
      <c r="N871" s="118" t="str">
        <f>IFERROR(INDEX('Docketed Comments'!N:N,MATCH(A871,'Docketed Comments'!H:H,0)),"")</f>
        <v>No</v>
      </c>
      <c r="O871" s="118" t="str">
        <f>IFERROR(INDEX('Docketed Comments'!L:L,MATCH(A871,'Docketed Comments'!H:H,0)),"")</f>
        <v>Yes</v>
      </c>
      <c r="P871" s="119">
        <f t="shared" si="26"/>
        <v>0</v>
      </c>
      <c r="Q871" s="60"/>
      <c r="R871" s="64" t="s">
        <v>75</v>
      </c>
      <c r="S871" s="64" t="s">
        <v>1866</v>
      </c>
    </row>
    <row r="872" spans="1:19" ht="21.95" customHeight="1">
      <c r="A872" s="66" t="s">
        <v>1867</v>
      </c>
      <c r="B872" s="64"/>
      <c r="C872" s="65"/>
      <c r="D872" s="64"/>
      <c r="E872" s="64"/>
      <c r="F872" s="60"/>
      <c r="G872" s="60" t="s">
        <v>88</v>
      </c>
      <c r="H872" s="60" t="str">
        <f>IFERROR(INDEX('Docketed Comments'!C:C,MATCH(A872,'Docketed Comments'!H:H,0))&amp;", "&amp;INDEX('Docketed Comments'!B:B,MATCH(A872,'Docketed Comments'!H:H,0)),"")</f>
        <v>Daniel, Sagadraca</v>
      </c>
      <c r="I872" s="60" t="str">
        <f>IFERROR(INDEX('Docketed Comments'!D:D,MATCH(A872,'Docketed Comments'!H:H,0)),"")</f>
        <v>Phoenix</v>
      </c>
      <c r="J872" s="60" t="str">
        <f>IFERROR(INDEX('Docketed Comments'!I:I,MATCH(A872,'Docketed Comments'!H:H,0)),"")</f>
        <v>R-XS</v>
      </c>
      <c r="K872" s="60" t="str">
        <f t="shared" si="27"/>
        <v>✅ On Best Plan</v>
      </c>
      <c r="L872" s="60" t="str">
        <f>IFERROR(INDEX('Docketed Comments'!F:F,MATCH(A872,'Docketed Comments'!H:H,0)),"")</f>
        <v>heavily against this price increase as it will add strain to the rising cost of living</v>
      </c>
      <c r="M872" s="120" t="str">
        <f>IFERROR(INDEX('Docketed Comments'!G:G,MATCH(A872,'Docketed Comments'!H:H,0)),"")</f>
        <v>https://docket.images.azcc.gov/E000048791.pdf</v>
      </c>
      <c r="N872" s="118" t="str">
        <f>IFERROR(INDEX('Docketed Comments'!N:N,MATCH(A872,'Docketed Comments'!H:H,0)),"")</f>
        <v>No</v>
      </c>
      <c r="O872" s="118" t="str">
        <f>IFERROR(INDEX('Docketed Comments'!L:L,MATCH(A872,'Docketed Comments'!H:H,0)),"")</f>
        <v>Yes</v>
      </c>
      <c r="P872" s="119">
        <f t="shared" si="26"/>
        <v>0</v>
      </c>
      <c r="Q872" s="60"/>
      <c r="R872" s="64" t="s">
        <v>75</v>
      </c>
      <c r="S872" s="64" t="s">
        <v>1868</v>
      </c>
    </row>
    <row r="873" spans="1:19" ht="21.95" customHeight="1">
      <c r="A873" s="66" t="s">
        <v>1869</v>
      </c>
      <c r="B873" s="64"/>
      <c r="C873" s="65"/>
      <c r="D873" s="64"/>
      <c r="E873" s="64"/>
      <c r="F873" s="60"/>
      <c r="G873" s="60" t="s">
        <v>88</v>
      </c>
      <c r="H873" s="60" t="str">
        <f>IFERROR(INDEX('Docketed Comments'!C:C,MATCH(A873,'Docketed Comments'!H:H,0))&amp;", "&amp;INDEX('Docketed Comments'!B:B,MATCH(A873,'Docketed Comments'!H:H,0)),"")</f>
        <v>Rachel, Bergeron</v>
      </c>
      <c r="I873" s="60" t="str">
        <f>IFERROR(INDEX('Docketed Comments'!D:D,MATCH(A873,'Docketed Comments'!H:H,0)),"")</f>
        <v>Phoenix</v>
      </c>
      <c r="J873" s="60" t="str">
        <f>IFERROR(INDEX('Docketed Comments'!I:I,MATCH(A873,'Docketed Comments'!H:H,0)),"")</f>
        <v>R-XS</v>
      </c>
      <c r="K873" s="60" t="str">
        <f t="shared" si="27"/>
        <v>✅ On Best Plan</v>
      </c>
      <c r="L873" s="60" t="str">
        <f>IFERROR(INDEX('Docketed Comments'!F:F,MATCH(A873,'Docketed Comments'!H:H,0)),"")</f>
        <v>Electricity is an essential function of daily life and Arizona Public Service is a monolith in service provision in the valley.</v>
      </c>
      <c r="M873" s="120" t="str">
        <f>IFERROR(INDEX('Docketed Comments'!G:G,MATCH(A873,'Docketed Comments'!H:H,0)),"")</f>
        <v>https://docket.images.azcc.gov/E000048791.pdf</v>
      </c>
      <c r="N873" s="118" t="str">
        <f>IFERROR(INDEX('Docketed Comments'!N:N,MATCH(A873,'Docketed Comments'!H:H,0)),"")</f>
        <v>No</v>
      </c>
      <c r="O873" s="118" t="str">
        <f>IFERROR(INDEX('Docketed Comments'!L:L,MATCH(A873,'Docketed Comments'!H:H,0)),"")</f>
        <v>Yes</v>
      </c>
      <c r="P873" s="119">
        <f t="shared" si="26"/>
        <v>0</v>
      </c>
      <c r="Q873" s="60"/>
      <c r="R873" s="64" t="s">
        <v>75</v>
      </c>
      <c r="S873" s="64" t="s">
        <v>1870</v>
      </c>
    </row>
    <row r="874" spans="1:19" ht="21.95" customHeight="1">
      <c r="A874" s="66" t="s">
        <v>1871</v>
      </c>
      <c r="B874" s="64"/>
      <c r="C874" s="65"/>
      <c r="D874" s="64"/>
      <c r="E874" s="64"/>
      <c r="F874" s="60"/>
      <c r="G874" s="60" t="s">
        <v>88</v>
      </c>
      <c r="H874" s="60" t="str">
        <f>IFERROR(INDEX('Docketed Comments'!C:C,MATCH(A874,'Docketed Comments'!H:H,0))&amp;", "&amp;INDEX('Docketed Comments'!B:B,MATCH(A874,'Docketed Comments'!H:H,0)),"")</f>
        <v>William III, Palmer</v>
      </c>
      <c r="I874" s="60" t="str">
        <f>IFERROR(INDEX('Docketed Comments'!D:D,MATCH(A874,'Docketed Comments'!H:H,0)),"")</f>
        <v>Peoria</v>
      </c>
      <c r="J874" s="60" t="str">
        <f>IFERROR(INDEX('Docketed Comments'!I:I,MATCH(A874,'Docketed Comments'!H:H,0)),"")</f>
        <v>REV47</v>
      </c>
      <c r="K874" s="60" t="str">
        <f t="shared" si="27"/>
        <v>✅ On Best Plan</v>
      </c>
      <c r="L874" s="60" t="str">
        <f>IFERROR(INDEX('Docketed Comments'!F:F,MATCH(A874,'Docketed Comments'!H:H,0)),"")</f>
        <v>Retired, 2,000 sqft home, large solar system, 2 EV. APS is punishing us and h olding us hostage for doing the right thing for the environment</v>
      </c>
      <c r="M874" s="120" t="str">
        <f>IFERROR(INDEX('Docketed Comments'!G:G,MATCH(A874,'Docketed Comments'!H:H,0)),"")</f>
        <v>https://docket.images.azcc.gov/E000048819.pdf</v>
      </c>
      <c r="N874" s="118" t="str">
        <f>IFERROR(INDEX('Docketed Comments'!N:N,MATCH(A874,'Docketed Comments'!H:H,0)),"")</f>
        <v>No</v>
      </c>
      <c r="O874" s="118" t="str">
        <f>IFERROR(INDEX('Docketed Comments'!L:L,MATCH(A874,'Docketed Comments'!H:H,0)),"")</f>
        <v>Yes</v>
      </c>
      <c r="P874" s="119">
        <f t="shared" si="26"/>
        <v>0</v>
      </c>
      <c r="Q874" s="60"/>
      <c r="R874" s="64" t="s">
        <v>75</v>
      </c>
      <c r="S874" s="64" t="s">
        <v>1872</v>
      </c>
    </row>
    <row r="875" spans="1:19" ht="21.95" customHeight="1">
      <c r="A875" s="66" t="s">
        <v>1873</v>
      </c>
      <c r="B875" s="64"/>
      <c r="C875" s="65"/>
      <c r="D875" s="64"/>
      <c r="E875" s="64"/>
      <c r="F875" s="60"/>
      <c r="G875" s="60" t="s">
        <v>88</v>
      </c>
      <c r="H875" s="60" t="str">
        <f>IFERROR(INDEX('Docketed Comments'!C:C,MATCH(A875,'Docketed Comments'!H:H,0))&amp;", "&amp;INDEX('Docketed Comments'!B:B,MATCH(A875,'Docketed Comments'!H:H,0)),"")</f>
        <v>Matthew, Harrington</v>
      </c>
      <c r="I875" s="60" t="str">
        <f>IFERROR(INDEX('Docketed Comments'!D:D,MATCH(A875,'Docketed Comments'!H:H,0)),"")</f>
        <v>Goodyear</v>
      </c>
      <c r="J875" s="60" t="str">
        <f>IFERROR(INDEX('Docketed Comments'!I:I,MATCH(A875,'Docketed Comments'!H:H,0)),"")</f>
        <v>RCPw/R3-47</v>
      </c>
      <c r="K875" s="60" t="str">
        <f t="shared" si="27"/>
        <v>✅ On Best Plan</v>
      </c>
      <c r="L875" s="60" t="str">
        <f>IFERROR(INDEX('Docketed Comments'!F:F,MATCH(A875,'Docketed Comments'!H:H,0)),"")</f>
        <v>APS's proposed 14% rate hike is an erroneous and unjustified increase that places unnecessary financial strain on the residents</v>
      </c>
      <c r="M875" s="120" t="str">
        <f>IFERROR(INDEX('Docketed Comments'!G:G,MATCH(A875,'Docketed Comments'!H:H,0)),"")</f>
        <v>https://docket.images.azcc.gov/E000048819.pdf</v>
      </c>
      <c r="N875" s="118" t="str">
        <f>IFERROR(INDEX('Docketed Comments'!N:N,MATCH(A875,'Docketed Comments'!H:H,0)),"")</f>
        <v>No</v>
      </c>
      <c r="O875" s="118" t="str">
        <f>IFERROR(INDEX('Docketed Comments'!L:L,MATCH(A875,'Docketed Comments'!H:H,0)),"")</f>
        <v>Yes</v>
      </c>
      <c r="P875" s="119">
        <f t="shared" si="26"/>
        <v>0</v>
      </c>
      <c r="Q875" s="60"/>
      <c r="R875" s="64" t="s">
        <v>75</v>
      </c>
      <c r="S875" s="64" t="s">
        <v>1874</v>
      </c>
    </row>
    <row r="876" spans="1:19" ht="21.95" customHeight="1">
      <c r="A876" s="66" t="s">
        <v>1875</v>
      </c>
      <c r="B876" s="64"/>
      <c r="C876" s="65"/>
      <c r="D876" s="64"/>
      <c r="E876" s="64"/>
      <c r="F876" s="60"/>
      <c r="G876" s="60" t="s">
        <v>88</v>
      </c>
      <c r="H876" s="60" t="str">
        <f>IFERROR(INDEX('Docketed Comments'!C:C,MATCH(A876,'Docketed Comments'!H:H,0))&amp;", "&amp;INDEX('Docketed Comments'!B:B,MATCH(A876,'Docketed Comments'!H:H,0)),"")</f>
        <v>Gabriel , Gonzales</v>
      </c>
      <c r="I876" s="60" t="str">
        <f>IFERROR(INDEX('Docketed Comments'!D:D,MATCH(A876,'Docketed Comments'!H:H,0)),"")</f>
        <v>Surprise</v>
      </c>
      <c r="J876" s="60" t="str">
        <f>IFERROR(INDEX('Docketed Comments'!I:I,MATCH(A876,'Docketed Comments'!H:H,0)),"")</f>
        <v>R3-47</v>
      </c>
      <c r="K876" s="60" t="str">
        <f t="shared" si="27"/>
        <v>✅ On Best Plan</v>
      </c>
      <c r="L876" s="60" t="str">
        <f>IFERROR(INDEX('Docketed Comments'!F:F,MATCH(A876,'Docketed Comments'!H:H,0)),"")</f>
        <v xml:space="preserve">Prices are outrageous and 4 or 5 increases in 5 years is disgraceful and completely shows it's about just money. Old boyz club. </v>
      </c>
      <c r="M876" s="120" t="str">
        <f>IFERROR(INDEX('Docketed Comments'!G:G,MATCH(A876,'Docketed Comments'!H:H,0)),"")</f>
        <v>https://docket.images.azcc.gov/E000048819.pdf</v>
      </c>
      <c r="N876" s="118" t="str">
        <f>IFERROR(INDEX('Docketed Comments'!N:N,MATCH(A876,'Docketed Comments'!H:H,0)),"")</f>
        <v>No</v>
      </c>
      <c r="O876" s="118" t="str">
        <f>IFERROR(INDEX('Docketed Comments'!L:L,MATCH(A876,'Docketed Comments'!H:H,0)),"")</f>
        <v>Yes</v>
      </c>
      <c r="P876" s="119">
        <f t="shared" si="26"/>
        <v>0</v>
      </c>
      <c r="Q876" s="60"/>
      <c r="R876" s="64" t="s">
        <v>75</v>
      </c>
      <c r="S876" s="64" t="s">
        <v>1876</v>
      </c>
    </row>
    <row r="877" spans="1:19" ht="21.95" customHeight="1">
      <c r="A877" s="66" t="s">
        <v>1877</v>
      </c>
      <c r="B877" s="64"/>
      <c r="C877" s="65"/>
      <c r="D877" s="64"/>
      <c r="E877" s="64"/>
      <c r="F877" s="60"/>
      <c r="G877" s="60" t="s">
        <v>88</v>
      </c>
      <c r="H877" s="60" t="str">
        <f>IFERROR(INDEX('Docketed Comments'!C:C,MATCH(A877,'Docketed Comments'!H:H,0))&amp;", "&amp;INDEX('Docketed Comments'!B:B,MATCH(A877,'Docketed Comments'!H:H,0)),"")</f>
        <v>Tricia, Donovan</v>
      </c>
      <c r="I877" s="60" t="str">
        <f>IFERROR(INDEX('Docketed Comments'!D:D,MATCH(A877,'Docketed Comments'!H:H,0)),"")</f>
        <v>Surprise</v>
      </c>
      <c r="J877" s="60" t="str">
        <f>IFERROR(INDEX('Docketed Comments'!I:I,MATCH(A877,'Docketed Comments'!H:H,0)),"")</f>
        <v>RCPw/TOUE47</v>
      </c>
      <c r="K877" s="60" t="str">
        <f t="shared" si="27"/>
        <v>✅ On Best Plan</v>
      </c>
      <c r="L877" s="60" t="str">
        <f>IFERROR(INDEX('Docketed Comments'!F:F,MATCH(A877,'Docketed Comments'!H:H,0)),"")</f>
        <v xml:space="preserve">These rate increases are unsubstantiated on a consumer level. There should be an adjusted rate for the corporation over a certain size against the homeowner. </v>
      </c>
      <c r="M877" s="120" t="str">
        <f>IFERROR(INDEX('Docketed Comments'!G:G,MATCH(A877,'Docketed Comments'!H:H,0)),"")</f>
        <v>https://docket.images.azcc.gov/E000048819.pdf</v>
      </c>
      <c r="N877" s="118" t="str">
        <f>IFERROR(INDEX('Docketed Comments'!N:N,MATCH(A877,'Docketed Comments'!H:H,0)),"")</f>
        <v>No</v>
      </c>
      <c r="O877" s="118" t="str">
        <f>IFERROR(INDEX('Docketed Comments'!L:L,MATCH(A877,'Docketed Comments'!H:H,0)),"")</f>
        <v>Yes</v>
      </c>
      <c r="P877" s="119">
        <f t="shared" si="26"/>
        <v>0</v>
      </c>
      <c r="Q877" s="60"/>
      <c r="R877" s="64" t="s">
        <v>75</v>
      </c>
      <c r="S877" s="64" t="s">
        <v>1878</v>
      </c>
    </row>
    <row r="878" spans="1:19" ht="21.95" customHeight="1">
      <c r="A878" s="66" t="s">
        <v>1879</v>
      </c>
      <c r="B878" s="64"/>
      <c r="C878" s="65"/>
      <c r="D878" s="64"/>
      <c r="E878" s="64"/>
      <c r="F878" s="60"/>
      <c r="G878" s="60" t="s">
        <v>88</v>
      </c>
      <c r="H878" s="60" t="str">
        <f>IFERROR(INDEX('Docketed Comments'!C:C,MATCH(A878,'Docketed Comments'!H:H,0))&amp;", "&amp;INDEX('Docketed Comments'!B:B,MATCH(A878,'Docketed Comments'!H:H,0)),"")</f>
        <v>Eva, Cupp</v>
      </c>
      <c r="I878" s="60" t="str">
        <f>IFERROR(INDEX('Docketed Comments'!D:D,MATCH(A878,'Docketed Comments'!H:H,0)),"")</f>
        <v>Surprise</v>
      </c>
      <c r="J878" s="60" t="str">
        <f>IFERROR(INDEX('Docketed Comments'!I:I,MATCH(A878,'Docketed Comments'!H:H,0)),"")</f>
        <v>R3-47</v>
      </c>
      <c r="K878" s="60" t="str">
        <f t="shared" si="27"/>
        <v>✅ On Best Plan</v>
      </c>
      <c r="L878" s="60" t="str">
        <f>IFERROR(INDEX('Docketed Comments'!F:F,MATCH(A878,'Docketed Comments'!H:H,0)),"")</f>
        <v>I am against any further hikes or increases in cost for electricity</v>
      </c>
      <c r="M878" s="120" t="str">
        <f>IFERROR(INDEX('Docketed Comments'!G:G,MATCH(A878,'Docketed Comments'!H:H,0)),"")</f>
        <v>https://docket.images.azcc.gov/E000048819.pdf</v>
      </c>
      <c r="N878" s="118" t="str">
        <f>IFERROR(INDEX('Docketed Comments'!N:N,MATCH(A878,'Docketed Comments'!H:H,0)),"")</f>
        <v>No</v>
      </c>
      <c r="O878" s="118" t="str">
        <f>IFERROR(INDEX('Docketed Comments'!L:L,MATCH(A878,'Docketed Comments'!H:H,0)),"")</f>
        <v>Yes</v>
      </c>
      <c r="P878" s="119">
        <f t="shared" si="26"/>
        <v>0</v>
      </c>
      <c r="Q878" s="60"/>
      <c r="R878" s="64" t="s">
        <v>75</v>
      </c>
      <c r="S878" s="64" t="s">
        <v>1880</v>
      </c>
    </row>
    <row r="879" spans="1:19" ht="21.95" customHeight="1">
      <c r="A879" s="66" t="s">
        <v>1881</v>
      </c>
      <c r="B879" s="64"/>
      <c r="C879" s="65"/>
      <c r="D879" s="64"/>
      <c r="E879" s="64"/>
      <c r="F879" s="60"/>
      <c r="G879" s="60" t="s">
        <v>88</v>
      </c>
      <c r="H879" s="60" t="str">
        <f>IFERROR(INDEX('Docketed Comments'!C:C,MATCH(A879,'Docketed Comments'!H:H,0))&amp;", "&amp;INDEX('Docketed Comments'!B:B,MATCH(A879,'Docketed Comments'!H:H,0)),"")</f>
        <v>Andrew, Duesbury</v>
      </c>
      <c r="I879" s="60" t="str">
        <f>IFERROR(INDEX('Docketed Comments'!D:D,MATCH(A879,'Docketed Comments'!H:H,0)),"")</f>
        <v>Florence</v>
      </c>
      <c r="J879" s="60" t="str">
        <f>IFERROR(INDEX('Docketed Comments'!I:I,MATCH(A879,'Docketed Comments'!H:H,0)),"")</f>
        <v>RCPw/TOUE47</v>
      </c>
      <c r="K879" s="60" t="str">
        <f t="shared" si="27"/>
        <v>✅ On Best Plan</v>
      </c>
      <c r="L879" s="60" t="str">
        <f>IFERROR(INDEX('Docketed Comments'!F:F,MATCH(A879,'Docketed Comments'!H:H,0)),"")</f>
        <v>As a senior on a fixed income, I cannot afford another rate hike by APS especially after they have gotten two in the last few years</v>
      </c>
      <c r="M879" s="120" t="str">
        <f>IFERROR(INDEX('Docketed Comments'!G:G,MATCH(A879,'Docketed Comments'!H:H,0)),"")</f>
        <v>https://docket.images.azcc.gov/E000048819.pdf</v>
      </c>
      <c r="N879" s="118" t="str">
        <f>IFERROR(INDEX('Docketed Comments'!N:N,MATCH(A879,'Docketed Comments'!H:H,0)),"")</f>
        <v>No</v>
      </c>
      <c r="O879" s="118" t="str">
        <f>IFERROR(INDEX('Docketed Comments'!L:L,MATCH(A879,'Docketed Comments'!H:H,0)),"")</f>
        <v>Yes</v>
      </c>
      <c r="P879" s="119">
        <f t="shared" si="26"/>
        <v>0</v>
      </c>
      <c r="Q879" s="60"/>
      <c r="R879" s="64" t="s">
        <v>75</v>
      </c>
      <c r="S879" s="64" t="s">
        <v>1882</v>
      </c>
    </row>
    <row r="880" spans="1:19" ht="21.95" customHeight="1">
      <c r="A880" s="66" t="s">
        <v>1883</v>
      </c>
      <c r="B880" s="64"/>
      <c r="C880" s="65"/>
      <c r="D880" s="64"/>
      <c r="E880" s="64"/>
      <c r="F880" s="60"/>
      <c r="G880" s="60" t="s">
        <v>88</v>
      </c>
      <c r="H880" s="60" t="str">
        <f>IFERROR(INDEX('Docketed Comments'!C:C,MATCH(A880,'Docketed Comments'!H:H,0))&amp;", "&amp;INDEX('Docketed Comments'!B:B,MATCH(A880,'Docketed Comments'!H:H,0)),"")</f>
        <v>Williametta, Musselman</v>
      </c>
      <c r="I880" s="60" t="str">
        <f>IFERROR(INDEX('Docketed Comments'!D:D,MATCH(A880,'Docketed Comments'!H:H,0)),"")</f>
        <v>Phoenix</v>
      </c>
      <c r="J880" s="60" t="str">
        <f>IFERROR(INDEX('Docketed Comments'!I:I,MATCH(A880,'Docketed Comments'!H:H,0)),"")</f>
        <v>EPR6w/ET-1</v>
      </c>
      <c r="K880" s="60" t="str">
        <f t="shared" si="27"/>
        <v>✅ On Best Plan</v>
      </c>
      <c r="L880" s="60" t="str">
        <f>IFERROR(INDEX('Docketed Comments'!F:F,MATCH(A880,'Docketed Comments'!H:H,0)),"")</f>
        <v xml:space="preserve">We purchased solar many  years ago. Now we hear APS wants to double the rate for solar customers. Why? </v>
      </c>
      <c r="M880" s="120" t="str">
        <f>IFERROR(INDEX('Docketed Comments'!G:G,MATCH(A880,'Docketed Comments'!H:H,0)),"")</f>
        <v>https://docket.images.azcc.gov/E000048819.pdf</v>
      </c>
      <c r="N880" s="118" t="str">
        <f>IFERROR(INDEX('Docketed Comments'!N:N,MATCH(A880,'Docketed Comments'!H:H,0)),"")</f>
        <v>No</v>
      </c>
      <c r="O880" s="118" t="str">
        <f>IFERROR(INDEX('Docketed Comments'!L:L,MATCH(A880,'Docketed Comments'!H:H,0)),"")</f>
        <v>Yes</v>
      </c>
      <c r="P880" s="119">
        <f t="shared" si="26"/>
        <v>0</v>
      </c>
      <c r="Q880" s="60"/>
      <c r="R880" s="64" t="s">
        <v>75</v>
      </c>
      <c r="S880" s="64" t="s">
        <v>1884</v>
      </c>
    </row>
    <row r="881" spans="1:19" ht="21.95" customHeight="1">
      <c r="A881" s="66" t="s">
        <v>1885</v>
      </c>
      <c r="B881" s="64"/>
      <c r="C881" s="65"/>
      <c r="D881" s="64"/>
      <c r="E881" s="64"/>
      <c r="F881" s="60"/>
      <c r="G881" s="60" t="s">
        <v>88</v>
      </c>
      <c r="H881" s="60" t="str">
        <f>IFERROR(INDEX('Docketed Comments'!C:C,MATCH(A881,'Docketed Comments'!H:H,0))&amp;", "&amp;INDEX('Docketed Comments'!B:B,MATCH(A881,'Docketed Comments'!H:H,0)),"")</f>
        <v xml:space="preserve">Daryl, Horton </v>
      </c>
      <c r="I881" s="60" t="str">
        <f>IFERROR(INDEX('Docketed Comments'!D:D,MATCH(A881,'Docketed Comments'!H:H,0)),"")</f>
        <v>Phoenix</v>
      </c>
      <c r="J881" s="60" t="str">
        <f>IFERROR(INDEX('Docketed Comments'!I:I,MATCH(A881,'Docketed Comments'!H:H,0)),"")</f>
        <v>R3-47</v>
      </c>
      <c r="K881" s="60" t="str">
        <f t="shared" si="27"/>
        <v>✅ On Best Plan</v>
      </c>
      <c r="L881" s="60" t="str">
        <f>IFERROR(INDEX('Docketed Comments'!F:F,MATCH(A881,'Docketed Comments'!H:H,0)),"")</f>
        <v xml:space="preserve">Arizonans are struggling with costs for housing, food, and other essentials. This increase is unjust and unreasonable. The Proposed FRM is a blank check. </v>
      </c>
      <c r="M881" s="120" t="str">
        <f>IFERROR(INDEX('Docketed Comments'!G:G,MATCH(A881,'Docketed Comments'!H:H,0)),"")</f>
        <v>https://docket.images.azcc.gov/E000048819.pdf</v>
      </c>
      <c r="N881" s="118" t="str">
        <f>IFERROR(INDEX('Docketed Comments'!N:N,MATCH(A881,'Docketed Comments'!H:H,0)),"")</f>
        <v>No</v>
      </c>
      <c r="O881" s="118" t="str">
        <f>IFERROR(INDEX('Docketed Comments'!L:L,MATCH(A881,'Docketed Comments'!H:H,0)),"")</f>
        <v>Yes</v>
      </c>
      <c r="P881" s="119">
        <f t="shared" si="26"/>
        <v>0</v>
      </c>
      <c r="Q881" s="60"/>
      <c r="R881" s="64" t="s">
        <v>75</v>
      </c>
      <c r="S881" s="64" t="s">
        <v>1886</v>
      </c>
    </row>
    <row r="882" spans="1:19" ht="21.95" customHeight="1">
      <c r="A882" s="66" t="s">
        <v>1887</v>
      </c>
      <c r="B882" s="64"/>
      <c r="C882" s="65"/>
      <c r="D882" s="64"/>
      <c r="E882" s="64"/>
      <c r="F882" s="60"/>
      <c r="G882" s="60" t="s">
        <v>88</v>
      </c>
      <c r="H882" s="60" t="str">
        <f>IFERROR(INDEX('Docketed Comments'!C:C,MATCH(A882,'Docketed Comments'!H:H,0))&amp;", "&amp;INDEX('Docketed Comments'!B:B,MATCH(A882,'Docketed Comments'!H:H,0)),"")</f>
        <v>Hailee, Tocco</v>
      </c>
      <c r="I882" s="60" t="str">
        <f>IFERROR(INDEX('Docketed Comments'!D:D,MATCH(A882,'Docketed Comments'!H:H,0)),"")</f>
        <v>Goodyear</v>
      </c>
      <c r="J882" s="60" t="str">
        <f>IFERROR(INDEX('Docketed Comments'!I:I,MATCH(A882,'Docketed Comments'!H:H,0)),"")</f>
        <v>RTOUE47</v>
      </c>
      <c r="K882" s="60" t="str">
        <f t="shared" si="27"/>
        <v>✅ On Best Plan</v>
      </c>
      <c r="L882" s="60" t="str">
        <f>IFERROR(INDEX('Docketed Comments'!F:F,MATCH(A882,'Docketed Comments'!H:H,0)),"")</f>
        <v xml:space="preserve">households are already struggling with rising costs for housing, food, healthcare, and fuel. Wages have not increased at the same pace as utility costs. </v>
      </c>
      <c r="M882" s="120" t="str">
        <f>IFERROR(INDEX('Docketed Comments'!G:G,MATCH(A882,'Docketed Comments'!H:H,0)),"")</f>
        <v>https://docket.images.azcc.gov/E000048819.pdf</v>
      </c>
      <c r="N882" s="118" t="str">
        <f>IFERROR(INDEX('Docketed Comments'!N:N,MATCH(A882,'Docketed Comments'!H:H,0)),"")</f>
        <v>No</v>
      </c>
      <c r="O882" s="118" t="str">
        <f>IFERROR(INDEX('Docketed Comments'!L:L,MATCH(A882,'Docketed Comments'!H:H,0)),"")</f>
        <v>Yes</v>
      </c>
      <c r="P882" s="119">
        <f t="shared" si="26"/>
        <v>0</v>
      </c>
      <c r="Q882" s="60"/>
      <c r="R882" s="64" t="s">
        <v>75</v>
      </c>
      <c r="S882" s="64" t="s">
        <v>1888</v>
      </c>
    </row>
    <row r="883" spans="1:19" ht="21.95" customHeight="1">
      <c r="A883" s="66" t="s">
        <v>1889</v>
      </c>
      <c r="B883" s="64"/>
      <c r="C883" s="65"/>
      <c r="D883" s="64"/>
      <c r="E883" s="64"/>
      <c r="F883" s="60"/>
      <c r="G883" s="60" t="s">
        <v>88</v>
      </c>
      <c r="H883" s="60" t="str">
        <f>IFERROR(INDEX('Docketed Comments'!C:C,MATCH(A883,'Docketed Comments'!H:H,0))&amp;", "&amp;INDEX('Docketed Comments'!B:B,MATCH(A883,'Docketed Comments'!H:H,0)),"")</f>
        <v>Joseph, Huizenga</v>
      </c>
      <c r="I883" s="60" t="str">
        <f>IFERROR(INDEX('Docketed Comments'!D:D,MATCH(A883,'Docketed Comments'!H:H,0)),"")</f>
        <v>Phoenix</v>
      </c>
      <c r="J883" s="60" t="str">
        <f>IFERROR(INDEX('Docketed Comments'!I:I,MATCH(A883,'Docketed Comments'!H:H,0)),"")</f>
        <v>RTOUE47</v>
      </c>
      <c r="K883" s="60" t="str">
        <f t="shared" si="27"/>
        <v>✅ On Best Plan</v>
      </c>
      <c r="L883" s="60" t="str">
        <f>IFERROR(INDEX('Docketed Comments'!F:F,MATCH(A883,'Docketed Comments'!H:H,0)),"")</f>
        <v>Spend money within their means as opposed to growing the grid to prepare for future growth at the expense of the sonsumer. I invested in solar... costs continue to grow.</v>
      </c>
      <c r="M883" s="120" t="str">
        <f>IFERROR(INDEX('Docketed Comments'!G:G,MATCH(A883,'Docketed Comments'!H:H,0)),"")</f>
        <v>https://docket.images.azcc.gov/E000048819.pdf</v>
      </c>
      <c r="N883" s="118" t="str">
        <f>IFERROR(INDEX('Docketed Comments'!N:N,MATCH(A883,'Docketed Comments'!H:H,0)),"")</f>
        <v>No</v>
      </c>
      <c r="O883" s="118" t="str">
        <f>IFERROR(INDEX('Docketed Comments'!L:L,MATCH(A883,'Docketed Comments'!H:H,0)),"")</f>
        <v>Yes</v>
      </c>
      <c r="P883" s="119">
        <f t="shared" si="26"/>
        <v>0</v>
      </c>
      <c r="Q883" s="60"/>
      <c r="R883" s="64" t="s">
        <v>75</v>
      </c>
      <c r="S883" s="64" t="s">
        <v>1890</v>
      </c>
    </row>
    <row r="884" spans="1:19" ht="21.95" customHeight="1">
      <c r="A884" s="66" t="s">
        <v>1891</v>
      </c>
      <c r="B884" s="64"/>
      <c r="C884" s="65"/>
      <c r="D884" s="64"/>
      <c r="E884" s="64"/>
      <c r="F884" s="60"/>
      <c r="G884" s="60" t="s">
        <v>88</v>
      </c>
      <c r="H884" s="60" t="str">
        <f>IFERROR(INDEX('Docketed Comments'!C:C,MATCH(A884,'Docketed Comments'!H:H,0))&amp;", "&amp;INDEX('Docketed Comments'!B:B,MATCH(A884,'Docketed Comments'!H:H,0)),"")</f>
        <v>Heather, Pillsbury</v>
      </c>
      <c r="I884" s="60" t="str">
        <f>IFERROR(INDEX('Docketed Comments'!D:D,MATCH(A884,'Docketed Comments'!H:H,0)),"")</f>
        <v>Phoenix</v>
      </c>
      <c r="J884" s="60" t="str">
        <f>IFERROR(INDEX('Docketed Comments'!I:I,MATCH(A884,'Docketed Comments'!H:H,0)),"")</f>
        <v>R-XS</v>
      </c>
      <c r="K884" s="60" t="str">
        <f t="shared" si="27"/>
        <v>✅ On Best Plan</v>
      </c>
      <c r="L884" s="60" t="str">
        <f>IFERROR(INDEX('Docketed Comments'!F:F,MATCH(A884,'Docketed Comments'!H:H,0)),"")</f>
        <v>No more rate hikes! Already increased 8% last year! I oppose the 14% proposed increase!</v>
      </c>
      <c r="M884" s="120" t="str">
        <f>IFERROR(INDEX('Docketed Comments'!G:G,MATCH(A884,'Docketed Comments'!H:H,0)),"")</f>
        <v>https://docket.images.azcc.gov/E000048819.pdf</v>
      </c>
      <c r="N884" s="118" t="str">
        <f>IFERROR(INDEX('Docketed Comments'!N:N,MATCH(A884,'Docketed Comments'!H:H,0)),"")</f>
        <v>No</v>
      </c>
      <c r="O884" s="118" t="str">
        <f>IFERROR(INDEX('Docketed Comments'!L:L,MATCH(A884,'Docketed Comments'!H:H,0)),"")</f>
        <v>Yes</v>
      </c>
      <c r="P884" s="119">
        <f t="shared" si="26"/>
        <v>0</v>
      </c>
      <c r="Q884" s="60"/>
      <c r="R884" s="64" t="s">
        <v>75</v>
      </c>
      <c r="S884" s="64" t="s">
        <v>1892</v>
      </c>
    </row>
    <row r="885" spans="1:19" ht="21.95" customHeight="1">
      <c r="A885" s="66" t="s">
        <v>1893</v>
      </c>
      <c r="B885" s="64"/>
      <c r="C885" s="65"/>
      <c r="D885" s="64"/>
      <c r="E885" s="64"/>
      <c r="F885" s="60"/>
      <c r="G885" s="60" t="s">
        <v>88</v>
      </c>
      <c r="H885" s="60" t="str">
        <f>IFERROR(INDEX('Docketed Comments'!C:C,MATCH(A885,'Docketed Comments'!H:H,0))&amp;", "&amp;INDEX('Docketed Comments'!B:B,MATCH(A885,'Docketed Comments'!H:H,0)),"")</f>
        <v>Jasim, Sukhera</v>
      </c>
      <c r="I885" s="60" t="str">
        <f>IFERROR(INDEX('Docketed Comments'!D:D,MATCH(A885,'Docketed Comments'!H:H,0)),"")</f>
        <v>Phoenix</v>
      </c>
      <c r="J885" s="60" t="str">
        <f>IFERROR(INDEX('Docketed Comments'!I:I,MATCH(A885,'Docketed Comments'!H:H,0)),"")</f>
        <v>R-XS</v>
      </c>
      <c r="K885" s="60" t="str">
        <f t="shared" si="27"/>
        <v>✅ On Best Plan</v>
      </c>
      <c r="L885" s="60" t="str">
        <f>IFERROR(INDEX('Docketed Comments'!F:F,MATCH(A885,'Docketed Comments'!H:H,0)),"")</f>
        <v>a resident of Phoenix AZ oppose the 14% utilities rate increase</v>
      </c>
      <c r="M885" s="120" t="str">
        <f>IFERROR(INDEX('Docketed Comments'!G:G,MATCH(A885,'Docketed Comments'!H:H,0)),"")</f>
        <v>https://docket.images.azcc.gov/E000048819.pdf</v>
      </c>
      <c r="N885" s="118" t="str">
        <f>IFERROR(INDEX('Docketed Comments'!N:N,MATCH(A885,'Docketed Comments'!H:H,0)),"")</f>
        <v>No</v>
      </c>
      <c r="O885" s="118" t="str">
        <f>IFERROR(INDEX('Docketed Comments'!L:L,MATCH(A885,'Docketed Comments'!H:H,0)),"")</f>
        <v>Yes</v>
      </c>
      <c r="P885" s="119">
        <f t="shared" si="26"/>
        <v>0</v>
      </c>
      <c r="Q885" s="60"/>
      <c r="R885" s="64" t="s">
        <v>75</v>
      </c>
      <c r="S885" s="64" t="s">
        <v>1894</v>
      </c>
    </row>
    <row r="886" spans="1:19" ht="21.95" customHeight="1">
      <c r="A886" s="66" t="s">
        <v>1895</v>
      </c>
      <c r="B886" s="64"/>
      <c r="C886" s="65"/>
      <c r="D886" s="64"/>
      <c r="E886" s="64"/>
      <c r="F886" s="60"/>
      <c r="G886" s="60" t="s">
        <v>88</v>
      </c>
      <c r="H886" s="60" t="str">
        <f>IFERROR(INDEX('Docketed Comments'!C:C,MATCH(A886,'Docketed Comments'!H:H,0))&amp;", "&amp;INDEX('Docketed Comments'!B:B,MATCH(A886,'Docketed Comments'!H:H,0)),"")</f>
        <v>Brindle, Mahoney</v>
      </c>
      <c r="I886" s="60" t="str">
        <f>IFERROR(INDEX('Docketed Comments'!D:D,MATCH(A886,'Docketed Comments'!H:H,0)),"")</f>
        <v>Sun City West</v>
      </c>
      <c r="J886" s="60" t="str">
        <f>IFERROR(INDEX('Docketed Comments'!I:I,MATCH(A886,'Docketed Comments'!H:H,0)),"")</f>
        <v>R-XS</v>
      </c>
      <c r="K886" s="60" t="str">
        <f t="shared" si="27"/>
        <v>✅ On Best Plan</v>
      </c>
      <c r="L886" s="60" t="str">
        <f>IFERROR(INDEX('Docketed Comments'!F:F,MATCH(A886,'Docketed Comments'!H:H,0)),"")</f>
        <v xml:space="preserve">Newly widowed, disabled snior. Half the time I don't even use the utilities because I can barely afford them. </v>
      </c>
      <c r="M886" s="120" t="str">
        <f>IFERROR(INDEX('Docketed Comments'!G:G,MATCH(A886,'Docketed Comments'!H:H,0)),"")</f>
        <v>https://docket.images.azcc.gov/E000048819.pdf</v>
      </c>
      <c r="N886" s="118" t="str">
        <f>IFERROR(INDEX('Docketed Comments'!N:N,MATCH(A886,'Docketed Comments'!H:H,0)),"")</f>
        <v>No</v>
      </c>
      <c r="O886" s="118" t="str">
        <f>IFERROR(INDEX('Docketed Comments'!L:L,MATCH(A886,'Docketed Comments'!H:H,0)),"")</f>
        <v>Yes</v>
      </c>
      <c r="P886" s="119">
        <f t="shared" si="26"/>
        <v>0</v>
      </c>
      <c r="Q886" s="60"/>
      <c r="R886" s="64" t="s">
        <v>75</v>
      </c>
      <c r="S886" s="64" t="s">
        <v>1896</v>
      </c>
    </row>
    <row r="887" spans="1:19" ht="21.95" customHeight="1">
      <c r="A887" s="66" t="s">
        <v>1897</v>
      </c>
      <c r="B887" s="64"/>
      <c r="C887" s="65"/>
      <c r="D887" s="64"/>
      <c r="E887" s="64"/>
      <c r="F887" s="60"/>
      <c r="G887" s="60" t="s">
        <v>88</v>
      </c>
      <c r="H887" s="60" t="str">
        <f>IFERROR(INDEX('Docketed Comments'!C:C,MATCH(A887,'Docketed Comments'!H:H,0))&amp;", "&amp;INDEX('Docketed Comments'!B:B,MATCH(A887,'Docketed Comments'!H:H,0)),"")</f>
        <v>Tessa, Arias</v>
      </c>
      <c r="I887" s="60" t="str">
        <f>IFERROR(INDEX('Docketed Comments'!D:D,MATCH(A887,'Docketed Comments'!H:H,0)),"")</f>
        <v>Phoenix</v>
      </c>
      <c r="J887" s="60" t="str">
        <f>IFERROR(INDEX('Docketed Comments'!I:I,MATCH(A887,'Docketed Comments'!H:H,0)),"")</f>
        <v>RTOUE47</v>
      </c>
      <c r="K887" s="60" t="str">
        <f t="shared" si="27"/>
        <v>✅ On Best Plan</v>
      </c>
      <c r="L887" s="60" t="str">
        <f>IFERROR(INDEX('Docketed Comments'!F:F,MATCH(A887,'Docketed Comments'!H:H,0)),"")</f>
        <v>Double the price I paid in SRP territory. Troubled by the proposal for FRM</v>
      </c>
      <c r="M887" s="120" t="str">
        <f>IFERROR(INDEX('Docketed Comments'!G:G,MATCH(A887,'Docketed Comments'!H:H,0)),"")</f>
        <v>https://docket.images.azcc.gov/E000048819.pdf</v>
      </c>
      <c r="N887" s="118" t="str">
        <f>IFERROR(INDEX('Docketed Comments'!N:N,MATCH(A887,'Docketed Comments'!H:H,0)),"")</f>
        <v>No</v>
      </c>
      <c r="O887" s="118" t="str">
        <f>IFERROR(INDEX('Docketed Comments'!L:L,MATCH(A887,'Docketed Comments'!H:H,0)),"")</f>
        <v>Yes</v>
      </c>
      <c r="P887" s="119">
        <f t="shared" si="26"/>
        <v>0</v>
      </c>
      <c r="Q887" s="60"/>
      <c r="R887" s="64" t="s">
        <v>75</v>
      </c>
      <c r="S887" s="64" t="s">
        <v>1898</v>
      </c>
    </row>
    <row r="888" spans="1:19" ht="21.95" customHeight="1">
      <c r="A888" s="66" t="s">
        <v>1899</v>
      </c>
      <c r="B888" s="64"/>
      <c r="C888" s="65"/>
      <c r="D888" s="64"/>
      <c r="E888" s="64"/>
      <c r="F888" s="60"/>
      <c r="G888" s="60" t="s">
        <v>88</v>
      </c>
      <c r="H888" s="60" t="str">
        <f>IFERROR(INDEX('Docketed Comments'!C:C,MATCH(A888,'Docketed Comments'!H:H,0))&amp;", "&amp;INDEX('Docketed Comments'!B:B,MATCH(A888,'Docketed Comments'!H:H,0)),"")</f>
        <v>Donald, Currie</v>
      </c>
      <c r="I888" s="60" t="str">
        <f>IFERROR(INDEX('Docketed Comments'!D:D,MATCH(A888,'Docketed Comments'!H:H,0)),"")</f>
        <v>Glendale</v>
      </c>
      <c r="J888" s="60" t="str">
        <f>IFERROR(INDEX('Docketed Comments'!I:I,MATCH(A888,'Docketed Comments'!H:H,0)),"")</f>
        <v>RCPw/RTOUE47</v>
      </c>
      <c r="K888" s="60" t="str">
        <f t="shared" si="27"/>
        <v>✅ On Best Plan</v>
      </c>
      <c r="L888" s="60" t="str">
        <f>IFERROR(INDEX('Docketed Comments'!F:F,MATCH(A888,'Docketed Comments'!H:H,0)),"")</f>
        <v xml:space="preserve">Solar customers got solar to help sustain the grid and keep our price stable. We paid for these panels. We should not be fee'd to death. Inrease data center even more. </v>
      </c>
      <c r="M888" s="120" t="str">
        <f>IFERROR(INDEX('Docketed Comments'!G:G,MATCH(A888,'Docketed Comments'!H:H,0)),"")</f>
        <v>https://docket.images.azcc.gov/E000048819.pdf</v>
      </c>
      <c r="N888" s="118" t="str">
        <f>IFERROR(INDEX('Docketed Comments'!N:N,MATCH(A888,'Docketed Comments'!H:H,0)),"")</f>
        <v>No</v>
      </c>
      <c r="O888" s="118" t="str">
        <f>IFERROR(INDEX('Docketed Comments'!L:L,MATCH(A888,'Docketed Comments'!H:H,0)),"")</f>
        <v>Yes</v>
      </c>
      <c r="P888" s="119">
        <f t="shared" si="26"/>
        <v>0</v>
      </c>
      <c r="Q888" s="60"/>
      <c r="R888" s="64" t="s">
        <v>75</v>
      </c>
      <c r="S888" s="64" t="s">
        <v>1900</v>
      </c>
    </row>
    <row r="889" spans="1:19" ht="21.95" customHeight="1">
      <c r="A889" s="66" t="s">
        <v>1901</v>
      </c>
      <c r="B889" s="64"/>
      <c r="C889" s="65"/>
      <c r="D889" s="64"/>
      <c r="E889" s="64"/>
      <c r="F889" s="60"/>
      <c r="G889" s="60" t="s">
        <v>88</v>
      </c>
      <c r="H889" s="60" t="str">
        <f>IFERROR(INDEX('Docketed Comments'!C:C,MATCH(A889,'Docketed Comments'!H:H,0))&amp;", "&amp;INDEX('Docketed Comments'!B:B,MATCH(A889,'Docketed Comments'!H:H,0)),"")</f>
        <v>Stacy, Murton</v>
      </c>
      <c r="I889" s="60" t="str">
        <f>IFERROR(INDEX('Docketed Comments'!D:D,MATCH(A889,'Docketed Comments'!H:H,0)),"")</f>
        <v>Sun City</v>
      </c>
      <c r="J889" s="60" t="str">
        <f>IFERROR(INDEX('Docketed Comments'!I:I,MATCH(A889,'Docketed Comments'!H:H,0)),"")</f>
        <v>EPR6w/ET-2</v>
      </c>
      <c r="K889" s="60" t="str">
        <f t="shared" si="27"/>
        <v>⚠ Frozen Rate</v>
      </c>
      <c r="L889" s="60" t="str">
        <f>IFERROR(INDEX('Docketed Comments'!F:F,MATCH(A889,'Docketed Comments'!H:H,0)),"")</f>
        <v>OPPOSE the proposed 14% rate increase by APS. Coming on the heels of an 8% increase just last year.</v>
      </c>
      <c r="M889" s="120" t="str">
        <f>IFERROR(INDEX('Docketed Comments'!G:G,MATCH(A889,'Docketed Comments'!H:H,0)),"")</f>
        <v>https://docket.images.azcc.gov/E000048819.pdf</v>
      </c>
      <c r="N889" s="118" t="str">
        <f>IFERROR(INDEX('Docketed Comments'!N:N,MATCH(A889,'Docketed Comments'!H:H,0)),"")</f>
        <v>No</v>
      </c>
      <c r="O889" s="118" t="str">
        <f>IFERROR(INDEX('Docketed Comments'!L:L,MATCH(A889,'Docketed Comments'!H:H,0)),"")</f>
        <v>Frozen Rate</v>
      </c>
      <c r="P889" s="119">
        <f t="shared" si="26"/>
        <v>0</v>
      </c>
      <c r="Q889" s="60"/>
      <c r="R889" s="64" t="s">
        <v>75</v>
      </c>
      <c r="S889" s="64" t="s">
        <v>1902</v>
      </c>
    </row>
    <row r="890" spans="1:19" ht="21.95" customHeight="1">
      <c r="A890" s="66" t="s">
        <v>1903</v>
      </c>
      <c r="B890" s="64"/>
      <c r="C890" s="65"/>
      <c r="D890" s="64"/>
      <c r="E890" s="64"/>
      <c r="F890" s="60"/>
      <c r="G890" s="60" t="s">
        <v>88</v>
      </c>
      <c r="H890" s="60" t="str">
        <f>IFERROR(INDEX('Docketed Comments'!C:C,MATCH(A890,'Docketed Comments'!H:H,0))&amp;", "&amp;INDEX('Docketed Comments'!B:B,MATCH(A890,'Docketed Comments'!H:H,0)),"")</f>
        <v>Alyssa, Waddell</v>
      </c>
      <c r="I890" s="60" t="str">
        <f>IFERROR(INDEX('Docketed Comments'!D:D,MATCH(A890,'Docketed Comments'!H:H,0)),"")</f>
        <v>Florence</v>
      </c>
      <c r="J890" s="60" t="str">
        <f>IFERROR(INDEX('Docketed Comments'!I:I,MATCH(A890,'Docketed Comments'!H:H,0)),"")</f>
        <v>RCPw/TOUE47</v>
      </c>
      <c r="K890" s="60" t="str">
        <f t="shared" si="27"/>
        <v>✅ On Best Plan</v>
      </c>
      <c r="L890" s="60" t="str">
        <f>IFERROR(INDEX('Docketed Comments'!F:F,MATCH(A890,'Docketed Comments'!H:H,0)),"")</f>
        <v>Oppose -rate was just increased less than 2 years ago</v>
      </c>
      <c r="M890" s="120" t="str">
        <f>IFERROR(INDEX('Docketed Comments'!G:G,MATCH(A890,'Docketed Comments'!H:H,0)),"")</f>
        <v>https://docket.images.azcc.gov/E000048819.pdf</v>
      </c>
      <c r="N890" s="118" t="str">
        <f>IFERROR(INDEX('Docketed Comments'!N:N,MATCH(A890,'Docketed Comments'!H:H,0)),"")</f>
        <v>No</v>
      </c>
      <c r="O890" s="118" t="str">
        <f>IFERROR(INDEX('Docketed Comments'!L:L,MATCH(A890,'Docketed Comments'!H:H,0)),"")</f>
        <v>Yes</v>
      </c>
      <c r="P890" s="119">
        <f t="shared" si="26"/>
        <v>0</v>
      </c>
      <c r="Q890" s="60"/>
      <c r="R890" s="64" t="s">
        <v>75</v>
      </c>
      <c r="S890" s="64" t="s">
        <v>1904</v>
      </c>
    </row>
    <row r="891" spans="1:19" ht="21.95" customHeight="1">
      <c r="A891" s="66" t="s">
        <v>1905</v>
      </c>
      <c r="B891" s="64"/>
      <c r="C891" s="65"/>
      <c r="D891" s="64"/>
      <c r="E891" s="64"/>
      <c r="F891" s="60"/>
      <c r="G891" s="60" t="s">
        <v>88</v>
      </c>
      <c r="H891" s="60" t="str">
        <f>IFERROR(INDEX('Docketed Comments'!C:C,MATCH(A891,'Docketed Comments'!H:H,0))&amp;", "&amp;INDEX('Docketed Comments'!B:B,MATCH(A891,'Docketed Comments'!H:H,0)),"")</f>
        <v>Stephen, Pendergraft</v>
      </c>
      <c r="I891" s="60" t="str">
        <f>IFERROR(INDEX('Docketed Comments'!D:D,MATCH(A891,'Docketed Comments'!H:H,0)),"")</f>
        <v>Phoenix</v>
      </c>
      <c r="J891" s="60" t="str">
        <f>IFERROR(INDEX('Docketed Comments'!I:I,MATCH(A891,'Docketed Comments'!H:H,0)),"")</f>
        <v>EPR6w/ET-1</v>
      </c>
      <c r="K891" s="60" t="str">
        <f t="shared" si="27"/>
        <v>⚠ Frozen Rate</v>
      </c>
      <c r="L891" s="60" t="str">
        <f>IFERROR(INDEX('Docketed Comments'!F:F,MATCH(A891,'Docketed Comments'!H:H,0)),"")</f>
        <v xml:space="preserve">It is unreasonable to expect Arizona families to shoulder another significant iincrease. Quotes APS  mission statement on 'About Us' page. </v>
      </c>
      <c r="M891" s="120" t="str">
        <f>IFERROR(INDEX('Docketed Comments'!G:G,MATCH(A891,'Docketed Comments'!H:H,0)),"")</f>
        <v>https://docket.images.azcc.gov/E000048819.pdf</v>
      </c>
      <c r="N891" s="118" t="str">
        <f>IFERROR(INDEX('Docketed Comments'!N:N,MATCH(A891,'Docketed Comments'!H:H,0)),"")</f>
        <v>No</v>
      </c>
      <c r="O891" s="118" t="str">
        <f>IFERROR(INDEX('Docketed Comments'!L:L,MATCH(A891,'Docketed Comments'!H:H,0)),"")</f>
        <v>Frozen Rate</v>
      </c>
      <c r="P891" s="119">
        <f t="shared" si="26"/>
        <v>0</v>
      </c>
      <c r="Q891" s="60"/>
      <c r="R891" s="64" t="s">
        <v>75</v>
      </c>
      <c r="S891" s="64" t="s">
        <v>1906</v>
      </c>
    </row>
    <row r="892" spans="1:19" ht="21.95" customHeight="1">
      <c r="A892" s="66" t="s">
        <v>1907</v>
      </c>
      <c r="B892" s="64"/>
      <c r="C892" s="65"/>
      <c r="D892" s="64"/>
      <c r="E892" s="64"/>
      <c r="F892" s="60"/>
      <c r="G892" s="60" t="s">
        <v>88</v>
      </c>
      <c r="H892" s="60" t="str">
        <f>IFERROR(INDEX('Docketed Comments'!C:C,MATCH(A892,'Docketed Comments'!H:H,0))&amp;", "&amp;INDEX('Docketed Comments'!B:B,MATCH(A892,'Docketed Comments'!H:H,0)),"")</f>
        <v>Shannon, Mueller</v>
      </c>
      <c r="I892" s="60" t="str">
        <f>IFERROR(INDEX('Docketed Comments'!D:D,MATCH(A892,'Docketed Comments'!H:H,0)),"")</f>
        <v>Surprise</v>
      </c>
      <c r="J892" s="60" t="str">
        <f>IFERROR(INDEX('Docketed Comments'!I:I,MATCH(A892,'Docketed Comments'!H:H,0)),"")</f>
        <v>R3-47</v>
      </c>
      <c r="K892" s="60" t="str">
        <f t="shared" si="27"/>
        <v>✅ On Best Plan</v>
      </c>
      <c r="L892" s="60" t="str">
        <f>IFERROR(INDEX('Docketed Comments'!F:F,MATCH(A892,'Docketed Comments'!H:H,0)),"")</f>
        <v xml:space="preserve">Why do they need YET ANOTHER INCREASE? APS is already charging WAAAAY more than SRP. </v>
      </c>
      <c r="M892" s="120" t="str">
        <f>IFERROR(INDEX('Docketed Comments'!G:G,MATCH(A892,'Docketed Comments'!H:H,0)),"")</f>
        <v>https://docket.images.azcc.gov/E000048819.pdf</v>
      </c>
      <c r="N892" s="118" t="str">
        <f>IFERROR(INDEX('Docketed Comments'!N:N,MATCH(A892,'Docketed Comments'!H:H,0)),"")</f>
        <v>No</v>
      </c>
      <c r="O892" s="118" t="str">
        <f>IFERROR(INDEX('Docketed Comments'!L:L,MATCH(A892,'Docketed Comments'!H:H,0)),"")</f>
        <v>Yes</v>
      </c>
      <c r="P892" s="119">
        <f t="shared" si="26"/>
        <v>0</v>
      </c>
      <c r="Q892" s="60"/>
      <c r="R892" s="64" t="s">
        <v>75</v>
      </c>
      <c r="S892" s="64" t="s">
        <v>1908</v>
      </c>
    </row>
    <row r="893" spans="1:19" ht="21.95" customHeight="1">
      <c r="A893" s="66" t="s">
        <v>1909</v>
      </c>
      <c r="B893" s="64"/>
      <c r="C893" s="65"/>
      <c r="D893" s="64"/>
      <c r="E893" s="64"/>
      <c r="F893" s="60"/>
      <c r="G893" s="60" t="s">
        <v>88</v>
      </c>
      <c r="H893" s="60" t="str">
        <f>IFERROR(INDEX('Docketed Comments'!C:C,MATCH(A893,'Docketed Comments'!H:H,0))&amp;", "&amp;INDEX('Docketed Comments'!B:B,MATCH(A893,'Docketed Comments'!H:H,0)),"")</f>
        <v>Dave, McKee</v>
      </c>
      <c r="I893" s="60" t="str">
        <f>IFERROR(INDEX('Docketed Comments'!D:D,MATCH(A893,'Docketed Comments'!H:H,0)),"")</f>
        <v>Tempe</v>
      </c>
      <c r="J893" s="60" t="str">
        <f>IFERROR(INDEX('Docketed Comments'!I:I,MATCH(A893,'Docketed Comments'!H:H,0)),"")</f>
        <v>R3-47</v>
      </c>
      <c r="K893" s="60" t="str">
        <f t="shared" si="27"/>
        <v>✅ On Best Plan</v>
      </c>
      <c r="L893" s="60" t="str">
        <f>IFERROR(INDEX('Docketed Comments'!F:F,MATCH(A893,'Docketed Comments'!H:H,0)),"")</f>
        <v xml:space="preserve">It is unfathomable that they would request yet another rate hike, especially considering the outrageous amount the APS officers are taking in sompensation. </v>
      </c>
      <c r="M893" s="120" t="str">
        <f>IFERROR(INDEX('Docketed Comments'!G:G,MATCH(A893,'Docketed Comments'!H:H,0)),"")</f>
        <v>https://docket.images.azcc.gov/E000048828.pdf</v>
      </c>
      <c r="N893" s="118" t="str">
        <f>IFERROR(INDEX('Docketed Comments'!N:N,MATCH(A893,'Docketed Comments'!H:H,0)),"")</f>
        <v>No</v>
      </c>
      <c r="O893" s="118" t="str">
        <f>IFERROR(INDEX('Docketed Comments'!L:L,MATCH(A893,'Docketed Comments'!H:H,0)),"")</f>
        <v>Yes</v>
      </c>
      <c r="P893" s="119">
        <f t="shared" si="26"/>
        <v>0</v>
      </c>
      <c r="Q893" s="60"/>
      <c r="R893" s="64" t="s">
        <v>75</v>
      </c>
      <c r="S893" s="64" t="s">
        <v>1910</v>
      </c>
    </row>
    <row r="894" spans="1:19" ht="21.95" customHeight="1">
      <c r="A894" s="66" t="s">
        <v>1911</v>
      </c>
      <c r="B894" s="64"/>
      <c r="C894" s="65"/>
      <c r="D894" s="64"/>
      <c r="E894" s="64"/>
      <c r="F894" s="60"/>
      <c r="G894" s="60" t="s">
        <v>88</v>
      </c>
      <c r="H894" s="60" t="str">
        <f>IFERROR(INDEX('Docketed Comments'!C:C,MATCH(A894,'Docketed Comments'!H:H,0))&amp;", "&amp;INDEX('Docketed Comments'!B:B,MATCH(A894,'Docketed Comments'!H:H,0)),"")</f>
        <v>Diane, Devlin</v>
      </c>
      <c r="I894" s="60" t="str">
        <f>IFERROR(INDEX('Docketed Comments'!D:D,MATCH(A894,'Docketed Comments'!H:H,0)),"")</f>
        <v>Scottsdale</v>
      </c>
      <c r="J894" s="60" t="str">
        <f>IFERROR(INDEX('Docketed Comments'!I:I,MATCH(A894,'Docketed Comments'!H:H,0)),"")</f>
        <v>EPR6w/ET-2</v>
      </c>
      <c r="K894" s="60" t="str">
        <f t="shared" si="27"/>
        <v>⚠ Frozen Rate</v>
      </c>
      <c r="L894" s="60" t="str">
        <f>IFERROR(INDEX('Docketed Comments'!F:F,MATCH(A894,'Docketed Comments'!H:H,0)),"")</f>
        <v>difficult to enjoy my retirement from hard work for 50 years. My family consistently tries to conserve but it seems like large businesses are not pulling their weight.</v>
      </c>
      <c r="M894" s="120" t="str">
        <f>IFERROR(INDEX('Docketed Comments'!G:G,MATCH(A894,'Docketed Comments'!H:H,0)),"")</f>
        <v>https://docket.images.azcc.gov/E000048828.pdf</v>
      </c>
      <c r="N894" s="118" t="str">
        <f>IFERROR(INDEX('Docketed Comments'!N:N,MATCH(A894,'Docketed Comments'!H:H,0)),"")</f>
        <v>No</v>
      </c>
      <c r="O894" s="118" t="str">
        <f>IFERROR(INDEX('Docketed Comments'!L:L,MATCH(A894,'Docketed Comments'!H:H,0)),"")</f>
        <v>Frozen Rate</v>
      </c>
      <c r="P894" s="119">
        <f t="shared" si="26"/>
        <v>0</v>
      </c>
      <c r="Q894" s="60"/>
      <c r="R894" s="64" t="s">
        <v>75</v>
      </c>
      <c r="S894" s="64" t="s">
        <v>1912</v>
      </c>
    </row>
    <row r="895" spans="1:19" ht="21.95" customHeight="1">
      <c r="A895" s="66" t="s">
        <v>1913</v>
      </c>
      <c r="B895" s="64"/>
      <c r="C895" s="65"/>
      <c r="D895" s="64"/>
      <c r="E895" s="64"/>
      <c r="F895" s="60"/>
      <c r="G895" s="60" t="s">
        <v>88</v>
      </c>
      <c r="H895" s="60" t="str">
        <f>IFERROR(INDEX('Docketed Comments'!C:C,MATCH(A895,'Docketed Comments'!H:H,0))&amp;", "&amp;INDEX('Docketed Comments'!B:B,MATCH(A895,'Docketed Comments'!H:H,0)),"")</f>
        <v>Michael, Keliher</v>
      </c>
      <c r="I895" s="60" t="str">
        <f>IFERROR(INDEX('Docketed Comments'!D:D,MATCH(A895,'Docketed Comments'!H:H,0)),"")</f>
        <v>Mayer</v>
      </c>
      <c r="J895" s="60" t="str">
        <f>IFERROR(INDEX('Docketed Comments'!I:I,MATCH(A895,'Docketed Comments'!H:H,0)),"")</f>
        <v>R-XS</v>
      </c>
      <c r="K895" s="60" t="str">
        <f t="shared" si="27"/>
        <v>✅ On Best Plan</v>
      </c>
      <c r="L895" s="60" t="str">
        <f>IFERROR(INDEX('Docketed Comments'!F:F,MATCH(A895,'Docketed Comments'!H:H,0)),"")</f>
        <v>Prices at the grocery store and it has tripled the cost per month that we pay for food. This has really out into our budget.</v>
      </c>
      <c r="M895" s="120" t="str">
        <f>IFERROR(INDEX('Docketed Comments'!G:G,MATCH(A895,'Docketed Comments'!H:H,0)),"")</f>
        <v>https://docket.images.azcc.gov/E000048860.pdf</v>
      </c>
      <c r="N895" s="118" t="str">
        <f>IFERROR(INDEX('Docketed Comments'!N:N,MATCH(A895,'Docketed Comments'!H:H,0)),"")</f>
        <v>No</v>
      </c>
      <c r="O895" s="118" t="str">
        <f>IFERROR(INDEX('Docketed Comments'!L:L,MATCH(A895,'Docketed Comments'!H:H,0)),"")</f>
        <v>Yes</v>
      </c>
      <c r="P895" s="119">
        <f t="shared" si="26"/>
        <v>0</v>
      </c>
      <c r="Q895" s="60"/>
      <c r="R895" s="64" t="s">
        <v>75</v>
      </c>
      <c r="S895" s="64" t="s">
        <v>1914</v>
      </c>
    </row>
    <row r="896" spans="1:19" ht="21.95" customHeight="1">
      <c r="A896" s="66" t="s">
        <v>1915</v>
      </c>
      <c r="B896" s="64"/>
      <c r="C896" s="65"/>
      <c r="D896" s="64"/>
      <c r="E896" s="64"/>
      <c r="F896" s="60"/>
      <c r="G896" s="60" t="s">
        <v>88</v>
      </c>
      <c r="H896" s="60" t="str">
        <f>IFERROR(INDEX('Docketed Comments'!C:C,MATCH(A896,'Docketed Comments'!H:H,0))&amp;", "&amp;INDEX('Docketed Comments'!B:B,MATCH(A896,'Docketed Comments'!H:H,0)),"")</f>
        <v>Mark, Dapcedich</v>
      </c>
      <c r="I896" s="60" t="str">
        <f>IFERROR(INDEX('Docketed Comments'!D:D,MATCH(A896,'Docketed Comments'!H:H,0)),"")</f>
        <v>New River</v>
      </c>
      <c r="J896" s="60" t="str">
        <f>IFERROR(INDEX('Docketed Comments'!I:I,MATCH(A896,'Docketed Comments'!H:H,0)),"")</f>
        <v>R-2</v>
      </c>
      <c r="K896" s="60" t="str">
        <f t="shared" si="27"/>
        <v>⚠ Frozen Rate</v>
      </c>
      <c r="L896" s="60" t="str">
        <f>IFERROR(INDEX('Docketed Comments'!F:F,MATCH(A896,'Docketed Comments'!H:H,0)),"")</f>
        <v>A 16%+ increase is unreasonable and unjustified. APS has made little improvements to their infrastructure compared to the increased amount of customers and revenue.</v>
      </c>
      <c r="M896" s="120" t="str">
        <f>IFERROR(INDEX('Docketed Comments'!G:G,MATCH(A896,'Docketed Comments'!H:H,0)),"")</f>
        <v>https://docket.images.azcc.gov/E000048844.pdf</v>
      </c>
      <c r="N896" s="118" t="str">
        <f>IFERROR(INDEX('Docketed Comments'!N:N,MATCH(A896,'Docketed Comments'!H:H,0)),"")</f>
        <v>No</v>
      </c>
      <c r="O896" s="118" t="str">
        <f>IFERROR(INDEX('Docketed Comments'!L:L,MATCH(A896,'Docketed Comments'!H:H,0)),"")</f>
        <v>Frozen Rate</v>
      </c>
      <c r="P896" s="119">
        <f t="shared" si="26"/>
        <v>0</v>
      </c>
      <c r="Q896" s="60"/>
      <c r="R896" s="64" t="s">
        <v>75</v>
      </c>
      <c r="S896" s="64" t="s">
        <v>1916</v>
      </c>
    </row>
    <row r="897" spans="1:19" ht="21.95" customHeight="1">
      <c r="A897" s="66" t="s">
        <v>1917</v>
      </c>
      <c r="B897" s="64"/>
      <c r="C897" s="65"/>
      <c r="D897" s="64"/>
      <c r="E897" s="64"/>
      <c r="F897" s="60"/>
      <c r="G897" s="60" t="s">
        <v>88</v>
      </c>
      <c r="H897" s="60" t="str">
        <f>IFERROR(INDEX('Docketed Comments'!C:C,MATCH(A897,'Docketed Comments'!H:H,0))&amp;", "&amp;INDEX('Docketed Comments'!B:B,MATCH(A897,'Docketed Comments'!H:H,0)),"")</f>
        <v>Jovada, Triggs</v>
      </c>
      <c r="I897" s="60" t="str">
        <f>IFERROR(INDEX('Docketed Comments'!D:D,MATCH(A897,'Docketed Comments'!H:H,0)),"")</f>
        <v>Phoenix</v>
      </c>
      <c r="J897" s="60" t="str">
        <f>IFERROR(INDEX('Docketed Comments'!I:I,MATCH(A897,'Docketed Comments'!H:H,0)),"")</f>
        <v>R-2</v>
      </c>
      <c r="K897" s="60" t="str">
        <f t="shared" si="27"/>
        <v>⚠ Frozen Rate</v>
      </c>
      <c r="L897" s="60" t="str">
        <f>IFERROR(INDEX('Docketed Comments'!F:F,MATCH(A897,'Docketed Comments'!H:H,0)),"")</f>
        <v>Live with my daughter and am on a fixed income. Even with a discounted plan, I am still paying over $100 per month. I can't afford another increase. This is unfair</v>
      </c>
      <c r="M897" s="120" t="str">
        <f>IFERROR(INDEX('Docketed Comments'!G:G,MATCH(A897,'Docketed Comments'!H:H,0)),"")</f>
        <v>https://docket.images.azcc.gov/E000048847.pdf</v>
      </c>
      <c r="N897" s="118" t="str">
        <f>IFERROR(INDEX('Docketed Comments'!N:N,MATCH(A897,'Docketed Comments'!H:H,0)),"")</f>
        <v>No</v>
      </c>
      <c r="O897" s="118" t="str">
        <f>IFERROR(INDEX('Docketed Comments'!L:L,MATCH(A897,'Docketed Comments'!H:H,0)),"")</f>
        <v>Frozen Rate</v>
      </c>
      <c r="P897" s="119">
        <f t="shared" si="26"/>
        <v>0</v>
      </c>
      <c r="Q897" s="60"/>
      <c r="R897" s="64" t="s">
        <v>75</v>
      </c>
      <c r="S897" s="64" t="s">
        <v>1918</v>
      </c>
    </row>
    <row r="898" spans="1:19" ht="21.95" customHeight="1">
      <c r="A898" s="66" t="s">
        <v>1919</v>
      </c>
      <c r="B898" s="64"/>
      <c r="C898" s="65"/>
      <c r="D898" s="64"/>
      <c r="E898" s="64"/>
      <c r="F898" s="60"/>
      <c r="G898" s="60" t="s">
        <v>88</v>
      </c>
      <c r="H898" s="60" t="str">
        <f>IFERROR(INDEX('Docketed Comments'!C:C,MATCH(A898,'Docketed Comments'!H:H,0))&amp;", "&amp;INDEX('Docketed Comments'!B:B,MATCH(A898,'Docketed Comments'!H:H,0)),"")</f>
        <v>Kathleen, Gaydos</v>
      </c>
      <c r="I898" s="60" t="str">
        <f>IFERROR(INDEX('Docketed Comments'!D:D,MATCH(A898,'Docketed Comments'!H:H,0)),"")</f>
        <v>Scottsdale</v>
      </c>
      <c r="J898" s="60" t="str">
        <f>IFERROR(INDEX('Docketed Comments'!I:I,MATCH(A898,'Docketed Comments'!H:H,0)),"")</f>
        <v>R-XS</v>
      </c>
      <c r="K898" s="60" t="str">
        <f t="shared" si="27"/>
        <v>✅ On Best Plan</v>
      </c>
      <c r="L898" s="60" t="str">
        <f>IFERROR(INDEX('Docketed Comments'!F:F,MATCH(A898,'Docketed Comments'!H:H,0)),"")</f>
        <v>I worry about our schools. It should be the developers building that should be paying for the expansion and infrastructure to support our power grid.</v>
      </c>
      <c r="M898" s="120" t="str">
        <f>IFERROR(INDEX('Docketed Comments'!G:G,MATCH(A898,'Docketed Comments'!H:H,0)),"")</f>
        <v>https://docket.images.azcc.gov/E000048847.pdf</v>
      </c>
      <c r="N898" s="118" t="str">
        <f>IFERROR(INDEX('Docketed Comments'!N:N,MATCH(A898,'Docketed Comments'!H:H,0)),"")</f>
        <v>No</v>
      </c>
      <c r="O898" s="118" t="str">
        <f>IFERROR(INDEX('Docketed Comments'!L:L,MATCH(A898,'Docketed Comments'!H:H,0)),"")</f>
        <v>Yes</v>
      </c>
      <c r="P898" s="119">
        <f t="shared" ref="P898:P961" si="28">IFERROR(IF(ISNUMBER(SEARCH("$",O898)),VALUE(SUBSTITUTE(SUBSTITUTE(MID(O898,FIND("$",O898)+1,FIND(")",O898)-FIND("$",O898)-1),",","")," ","")),VALUE(SUBSTITUTE(SUBSTITUTE(MID(O898,FIND("(",O898)+1,FIND(")",O898)-FIND("(",O898)-1),",","")," ",""))),0)</f>
        <v>0</v>
      </c>
      <c r="Q898" s="60"/>
      <c r="R898" s="64" t="s">
        <v>75</v>
      </c>
      <c r="S898" s="64" t="s">
        <v>1920</v>
      </c>
    </row>
    <row r="899" spans="1:19" ht="21.95" customHeight="1">
      <c r="A899" s="66" t="s">
        <v>1921</v>
      </c>
      <c r="B899" s="64"/>
      <c r="C899" s="65"/>
      <c r="D899" s="64"/>
      <c r="E899" s="64"/>
      <c r="F899" s="60"/>
      <c r="G899" s="60" t="s">
        <v>88</v>
      </c>
      <c r="H899" s="60" t="str">
        <f>IFERROR(INDEX('Docketed Comments'!C:C,MATCH(A899,'Docketed Comments'!H:H,0))&amp;", "&amp;INDEX('Docketed Comments'!B:B,MATCH(A899,'Docketed Comments'!H:H,0)),"")</f>
        <v>Nora, Tuggle</v>
      </c>
      <c r="I899" s="60" t="str">
        <f>IFERROR(INDEX('Docketed Comments'!D:D,MATCH(A899,'Docketed Comments'!H:H,0)),"")</f>
        <v>Prescott</v>
      </c>
      <c r="J899" s="60" t="str">
        <f>IFERROR(INDEX('Docketed Comments'!I:I,MATCH(A899,'Docketed Comments'!H:H,0)),"")</f>
        <v>R-BASIC</v>
      </c>
      <c r="K899" s="60" t="str">
        <f t="shared" ref="K899:K962" si="29">IFERROR(IF(OR(LEFT(O899,2)="No",LEFT(O899,3)="Not"),"❌ Not on Best Plan",IF(OR(O899="Yes",O899="Y",O899="Yes "),"✅ On Best Plan","⚠ "&amp;O899)),"")</f>
        <v>✅ On Best Plan</v>
      </c>
      <c r="L899" s="60" t="str">
        <f>IFERROR(INDEX('Docketed Comments'!F:F,MATCH(A899,'Docketed Comments'!H:H,0)),"")</f>
        <v xml:space="preserve">I am 72 years old, a disabled veteran on a fixed income. I am left questiong what options are available to me. </v>
      </c>
      <c r="M899" s="120" t="str">
        <f>IFERROR(INDEX('Docketed Comments'!G:G,MATCH(A899,'Docketed Comments'!H:H,0)),"")</f>
        <v>https://docket.images.azcc.gov/E000048888.pdf</v>
      </c>
      <c r="N899" s="118" t="str">
        <f>IFERROR(INDEX('Docketed Comments'!N:N,MATCH(A899,'Docketed Comments'!H:H,0)),"")</f>
        <v>No</v>
      </c>
      <c r="O899" s="118" t="str">
        <f>IFERROR(INDEX('Docketed Comments'!L:L,MATCH(A899,'Docketed Comments'!H:H,0)),"")</f>
        <v>Yes</v>
      </c>
      <c r="P899" s="119">
        <f t="shared" si="28"/>
        <v>0</v>
      </c>
      <c r="Q899" s="60"/>
      <c r="R899" s="64" t="s">
        <v>75</v>
      </c>
      <c r="S899" s="64" t="s">
        <v>1922</v>
      </c>
    </row>
    <row r="900" spans="1:19" ht="21.95" customHeight="1">
      <c r="A900" s="66" t="s">
        <v>1090</v>
      </c>
      <c r="B900" s="64"/>
      <c r="C900" s="65"/>
      <c r="D900" s="64"/>
      <c r="E900" s="64"/>
      <c r="F900" s="60"/>
      <c r="G900" s="60" t="s">
        <v>88</v>
      </c>
      <c r="H900" s="60" t="str">
        <f>IFERROR(INDEX('Docketed Comments'!C:C,MATCH(A900,'Docketed Comments'!H:H,0))&amp;", "&amp;INDEX('Docketed Comments'!B:B,MATCH(A900,'Docketed Comments'!H:H,0)),"")</f>
        <v>Loren, Carson</v>
      </c>
      <c r="I900" s="60" t="str">
        <f>IFERROR(INDEX('Docketed Comments'!D:D,MATCH(A900,'Docketed Comments'!H:H,0)),"")</f>
        <v>Phoenix</v>
      </c>
      <c r="J900" s="60" t="str">
        <f>IFERROR(INDEX('Docketed Comments'!I:I,MATCH(A900,'Docketed Comments'!H:H,0)),"")</f>
        <v>RCPw/RTOUE47</v>
      </c>
      <c r="K900" s="60" t="str">
        <f t="shared" si="29"/>
        <v>✅ On Best Plan</v>
      </c>
      <c r="L900" s="60" t="str">
        <f>IFERROR(INDEX('Docketed Comments'!F:F,MATCH(A900,'Docketed Comments'!H:H,0)),"")</f>
        <v>Opposed, already paying grid access</v>
      </c>
      <c r="M900" s="120" t="str">
        <f>IFERROR(INDEX('Docketed Comments'!G:G,MATCH(A900,'Docketed Comments'!H:H,0)),"")</f>
        <v>https://images.edocket.azcc.gov/docketpdf/E000046230.pdf</v>
      </c>
      <c r="N900" s="118" t="str">
        <f>IFERROR(INDEX('Docketed Comments'!N:N,MATCH(A900,'Docketed Comments'!H:H,0)),"")</f>
        <v>No</v>
      </c>
      <c r="O900" s="118" t="str">
        <f>IFERROR(INDEX('Docketed Comments'!L:L,MATCH(A900,'Docketed Comments'!H:H,0)),"")</f>
        <v>Yes</v>
      </c>
      <c r="P900" s="119">
        <f t="shared" si="28"/>
        <v>0</v>
      </c>
      <c r="Q900" s="60"/>
      <c r="R900" s="64" t="s">
        <v>75</v>
      </c>
      <c r="S900" s="64" t="s">
        <v>1923</v>
      </c>
    </row>
    <row r="901" spans="1:19" ht="21.95" customHeight="1">
      <c r="A901" s="66" t="s">
        <v>337</v>
      </c>
      <c r="B901" s="64"/>
      <c r="C901" s="65"/>
      <c r="D901" s="64"/>
      <c r="E901" s="64"/>
      <c r="F901" s="60"/>
      <c r="G901" s="60" t="s">
        <v>492</v>
      </c>
      <c r="H901" s="60" t="str">
        <f>IFERROR(INDEX('Docketed Comments'!C:C,MATCH(A901,'Docketed Comments'!H:H,0))&amp;", "&amp;INDEX('Docketed Comments'!B:B,MATCH(A901,'Docketed Comments'!H:H,0)),"")</f>
        <v>Nicole, Talbott</v>
      </c>
      <c r="I901" s="60" t="str">
        <f>IFERROR(INDEX('Docketed Comments'!D:D,MATCH(A901,'Docketed Comments'!H:H,0)),"")</f>
        <v>Glendale</v>
      </c>
      <c r="J901" s="60" t="str">
        <f>IFERROR(INDEX('Docketed Comments'!I:I,MATCH(A901,'Docketed Comments'!H:H,0)),"")</f>
        <v>RTOUE47</v>
      </c>
      <c r="K901" s="60" t="str">
        <f t="shared" si="29"/>
        <v>❌ Not on Best Plan</v>
      </c>
      <c r="L901" s="60" t="str">
        <f>IFERROR(INDEX('Docketed Comments'!F:F,MATCH(A901,'Docketed Comments'!H:H,0)),"")</f>
        <v>Cut the fat</v>
      </c>
      <c r="M901" s="120" t="str">
        <f>IFERROR(INDEX('Docketed Comments'!G:G,MATCH(A901,'Docketed Comments'!H:H,0)),"")</f>
        <v>https://docket.images.azcc.gov/E000046266.pdf</v>
      </c>
      <c r="N901" s="118" t="str">
        <f>IFERROR(INDEX('Docketed Comments'!N:N,MATCH(A901,'Docketed Comments'!H:H,0)),"")</f>
        <v>No</v>
      </c>
      <c r="O901" s="118" t="str">
        <f>IFERROR(INDEX('Docketed Comments'!L:L,MATCH(A901,'Docketed Comments'!H:H,0)),"")</f>
        <v>No MEP R3-47($235.10)</v>
      </c>
      <c r="P901" s="119">
        <f t="shared" si="28"/>
        <v>235.1</v>
      </c>
      <c r="Q901" s="60"/>
      <c r="R901" s="64" t="s">
        <v>75</v>
      </c>
      <c r="S901" s="64" t="s">
        <v>1924</v>
      </c>
    </row>
    <row r="902" spans="1:19" ht="21.95" customHeight="1">
      <c r="A902" s="66" t="s">
        <v>1925</v>
      </c>
      <c r="B902" s="64"/>
      <c r="C902" s="65"/>
      <c r="D902" s="64"/>
      <c r="E902" s="64"/>
      <c r="F902" s="60"/>
      <c r="G902" s="60" t="s">
        <v>88</v>
      </c>
      <c r="H902" s="60" t="str">
        <f>IFERROR(INDEX('Docketed Comments'!C:C,MATCH(A902,'Docketed Comments'!H:H,0))&amp;", "&amp;INDEX('Docketed Comments'!B:B,MATCH(A902,'Docketed Comments'!H:H,0)),"")</f>
        <v>Barbara, Chettle</v>
      </c>
      <c r="I902" s="60" t="str">
        <f>IFERROR(INDEX('Docketed Comments'!D:D,MATCH(A902,'Docketed Comments'!H:H,0)),"")</f>
        <v>Cave Creek</v>
      </c>
      <c r="J902" s="60" t="str">
        <f>IFERROR(INDEX('Docketed Comments'!I:I,MATCH(A902,'Docketed Comments'!H:H,0)),"")</f>
        <v>R-2</v>
      </c>
      <c r="K902" s="60" t="str">
        <f t="shared" si="29"/>
        <v>⚠ Frozen Rate</v>
      </c>
      <c r="L902" s="60" t="str">
        <f>IFERROR(INDEX('Docketed Comments'!F:F,MATCH(A902,'Docketed Comments'!H:H,0)),"")</f>
        <v>We are opposed to the proposed rate increase of 14% in 2026</v>
      </c>
      <c r="M902" s="120" t="str">
        <f>IFERROR(INDEX('Docketed Comments'!G:G,MATCH(A902,'Docketed Comments'!H:H,0)),"")</f>
        <v>https://docket.images.azcc.gov/E000048866.pdf</v>
      </c>
      <c r="N902" s="118" t="str">
        <f>IFERROR(INDEX('Docketed Comments'!N:N,MATCH(A902,'Docketed Comments'!H:H,0)),"")</f>
        <v>No</v>
      </c>
      <c r="O902" s="118" t="str">
        <f>IFERROR(INDEX('Docketed Comments'!L:L,MATCH(A902,'Docketed Comments'!H:H,0)),"")</f>
        <v>Frozen Rate</v>
      </c>
      <c r="P902" s="119">
        <f t="shared" si="28"/>
        <v>0</v>
      </c>
      <c r="Q902" s="60"/>
      <c r="R902" s="64" t="s">
        <v>75</v>
      </c>
      <c r="S902" s="64" t="s">
        <v>1926</v>
      </c>
    </row>
    <row r="903" spans="1:19" ht="21.95" customHeight="1">
      <c r="A903" s="66" t="s">
        <v>1927</v>
      </c>
      <c r="B903" s="64"/>
      <c r="C903" s="65"/>
      <c r="D903" s="64"/>
      <c r="E903" s="64"/>
      <c r="F903" s="60"/>
      <c r="G903" s="60" t="s">
        <v>88</v>
      </c>
      <c r="H903" s="60" t="str">
        <f>IFERROR(INDEX('Docketed Comments'!C:C,MATCH(A903,'Docketed Comments'!H:H,0))&amp;", "&amp;INDEX('Docketed Comments'!B:B,MATCH(A903,'Docketed Comments'!H:H,0)),"")</f>
        <v>Larry, Hamrick</v>
      </c>
      <c r="I903" s="60" t="str">
        <f>IFERROR(INDEX('Docketed Comments'!D:D,MATCH(A903,'Docketed Comments'!H:H,0)),"")</f>
        <v>Phoenix</v>
      </c>
      <c r="J903" s="60" t="str">
        <f>IFERROR(INDEX('Docketed Comments'!I:I,MATCH(A903,'Docketed Comments'!H:H,0)),"")</f>
        <v>R-BASIC</v>
      </c>
      <c r="K903" s="60" t="str">
        <f t="shared" si="29"/>
        <v>✅ On Best Plan</v>
      </c>
      <c r="L903" s="60" t="str">
        <f>IFERROR(INDEX('Docketed Comments'!F:F,MATCH(A903,'Docketed Comments'!H:H,0)),"")</f>
        <v>Trying get help because every year my rent goes up</v>
      </c>
      <c r="M903" s="120" t="str">
        <f>IFERROR(INDEX('Docketed Comments'!G:G,MATCH(A903,'Docketed Comments'!H:H,0)),"")</f>
        <v>https://docket.images.azcc.gov/E000048917.pdf</v>
      </c>
      <c r="N903" s="118" t="str">
        <f>IFERROR(INDEX('Docketed Comments'!N:N,MATCH(A903,'Docketed Comments'!H:H,0)),"")</f>
        <v>No</v>
      </c>
      <c r="O903" s="118" t="str">
        <f>IFERROR(INDEX('Docketed Comments'!L:L,MATCH(A903,'Docketed Comments'!H:H,0)),"")</f>
        <v>Yes</v>
      </c>
      <c r="P903" s="119">
        <f t="shared" si="28"/>
        <v>0</v>
      </c>
      <c r="Q903" s="60"/>
      <c r="R903" s="64" t="s">
        <v>75</v>
      </c>
      <c r="S903" s="64" t="s">
        <v>1928</v>
      </c>
    </row>
    <row r="904" spans="1:19" ht="21.95" customHeight="1">
      <c r="A904" s="66" t="s">
        <v>1698</v>
      </c>
      <c r="B904" s="64"/>
      <c r="C904" s="65"/>
      <c r="D904" s="64"/>
      <c r="E904" s="64"/>
      <c r="F904" s="60"/>
      <c r="G904" s="60" t="s">
        <v>88</v>
      </c>
      <c r="H904" s="60" t="str">
        <f>IFERROR(INDEX('Docketed Comments'!C:C,MATCH(A904,'Docketed Comments'!H:H,0))&amp;", "&amp;INDEX('Docketed Comments'!B:B,MATCH(A904,'Docketed Comments'!H:H,0)),"")</f>
        <v>Carol, Stines</v>
      </c>
      <c r="I904" s="60" t="str">
        <f>IFERROR(INDEX('Docketed Comments'!D:D,MATCH(A904,'Docketed Comments'!H:H,0)),"")</f>
        <v>Unknown</v>
      </c>
      <c r="J904" s="60" t="str">
        <f>IFERROR(INDEX('Docketed Comments'!I:I,MATCH(A904,'Docketed Comments'!H:H,0)),"")</f>
        <v>R-BASIC</v>
      </c>
      <c r="K904" s="60" t="str">
        <f t="shared" si="29"/>
        <v>✅ On Best Plan</v>
      </c>
      <c r="L904" s="60" t="str">
        <f>IFERROR(INDEX('Docketed Comments'!F:F,MATCH(A904,'Docketed Comments'!H:H,0)),"")</f>
        <v>Stop net zero plans</v>
      </c>
      <c r="M904" s="120" t="str">
        <f>IFERROR(INDEX('Docketed Comments'!G:G,MATCH(A904,'Docketed Comments'!H:H,0)),"")</f>
        <v>https://docket.images.azcc.gov/E000047338.pdf</v>
      </c>
      <c r="N904" s="118" t="str">
        <f>IFERROR(INDEX('Docketed Comments'!N:N,MATCH(A904,'Docketed Comments'!H:H,0)),"")</f>
        <v>No</v>
      </c>
      <c r="O904" s="118" t="str">
        <f>IFERROR(INDEX('Docketed Comments'!L:L,MATCH(A904,'Docketed Comments'!H:H,0)),"")</f>
        <v>Yes</v>
      </c>
      <c r="P904" s="119">
        <f t="shared" si="28"/>
        <v>0</v>
      </c>
      <c r="Q904" s="60"/>
      <c r="R904" s="64" t="s">
        <v>75</v>
      </c>
      <c r="S904" s="124" t="s">
        <v>1929</v>
      </c>
    </row>
    <row r="905" spans="1:19" ht="21.95" customHeight="1">
      <c r="A905" s="66" t="s">
        <v>1930</v>
      </c>
      <c r="B905" s="64"/>
      <c r="C905" s="65"/>
      <c r="D905" s="64"/>
      <c r="E905" s="64"/>
      <c r="F905" s="60"/>
      <c r="G905" s="60" t="s">
        <v>88</v>
      </c>
      <c r="H905" s="60" t="str">
        <f>IFERROR(INDEX('Docketed Comments'!C:C,MATCH(A905,'Docketed Comments'!H:H,0))&amp;", "&amp;INDEX('Docketed Comments'!B:B,MATCH(A905,'Docketed Comments'!H:H,0)),"")</f>
        <v>Stephen, Cook</v>
      </c>
      <c r="I905" s="60" t="str">
        <f>IFERROR(INDEX('Docketed Comments'!D:D,MATCH(A905,'Docketed Comments'!H:H,0)),"")</f>
        <v>Prescott</v>
      </c>
      <c r="J905" s="60" t="str">
        <f>IFERROR(INDEX('Docketed Comments'!I:I,MATCH(A905,'Docketed Comments'!H:H,0)),"")</f>
        <v>R-XS</v>
      </c>
      <c r="K905" s="60" t="str">
        <f t="shared" si="29"/>
        <v>✅ On Best Plan</v>
      </c>
      <c r="L905" s="60" t="str">
        <f>IFERROR(INDEX('Docketed Comments'!F:F,MATCH(A905,'Docketed Comments'!H:H,0)),"")</f>
        <v>$5 billion scheme to build a pipeline to bring gas from Texas, they're moving Arizona away from a clean energy future</v>
      </c>
      <c r="M905" s="120" t="str">
        <f>IFERROR(INDEX('Docketed Comments'!G:G,MATCH(A905,'Docketed Comments'!H:H,0)),"")</f>
        <v>https://docket.images.azcc.gov/E000048958.pdf</v>
      </c>
      <c r="N905" s="118" t="str">
        <f>IFERROR(INDEX('Docketed Comments'!N:N,MATCH(A905,'Docketed Comments'!H:H,0)),"")</f>
        <v>No</v>
      </c>
      <c r="O905" s="118" t="str">
        <f>IFERROR(INDEX('Docketed Comments'!L:L,MATCH(A905,'Docketed Comments'!H:H,0)),"")</f>
        <v>Yes</v>
      </c>
      <c r="P905" s="119">
        <f t="shared" si="28"/>
        <v>0</v>
      </c>
      <c r="Q905" s="60"/>
      <c r="R905" s="64" t="s">
        <v>75</v>
      </c>
      <c r="S905" s="64" t="s">
        <v>1931</v>
      </c>
    </row>
    <row r="906" spans="1:19" ht="21.95" customHeight="1">
      <c r="A906" s="66" t="s">
        <v>1932</v>
      </c>
      <c r="B906" s="64"/>
      <c r="C906" s="65"/>
      <c r="D906" s="64"/>
      <c r="E906" s="64"/>
      <c r="F906" s="60"/>
      <c r="G906" s="60" t="s">
        <v>88</v>
      </c>
      <c r="H906" s="60" t="str">
        <f>IFERROR(INDEX('Docketed Comments'!C:C,MATCH(A906,'Docketed Comments'!H:H,0))&amp;", "&amp;INDEX('Docketed Comments'!B:B,MATCH(A906,'Docketed Comments'!H:H,0)),"")</f>
        <v>Mark, Gerheauser</v>
      </c>
      <c r="I906" s="60" t="str">
        <f>IFERROR(INDEX('Docketed Comments'!D:D,MATCH(A906,'Docketed Comments'!H:H,0)),"")</f>
        <v>Wickenburg</v>
      </c>
      <c r="J906" s="60" t="str">
        <f>IFERROR(INDEX('Docketed Comments'!I:I,MATCH(A906,'Docketed Comments'!H:H,0)),"")</f>
        <v>R-XS</v>
      </c>
      <c r="K906" s="60" t="str">
        <f t="shared" si="29"/>
        <v>✅ On Best Plan</v>
      </c>
      <c r="L906" s="60" t="str">
        <f>IFERROR(INDEX('Docketed Comments'!F:F,MATCH(A906,'Docketed Comments'!H:H,0)),"")</f>
        <v>Why aren't savings from the alternate sources applied to customers, or invested in more alternate sources?</v>
      </c>
      <c r="M906" s="120" t="str">
        <f>IFERROR(INDEX('Docketed Comments'!G:G,MATCH(A906,'Docketed Comments'!H:H,0)),"")</f>
        <v>https://docket.images.azcc.gov/E000048958.pdf</v>
      </c>
      <c r="N906" s="118" t="str">
        <f>IFERROR(INDEX('Docketed Comments'!N:N,MATCH(A906,'Docketed Comments'!H:H,0)),"")</f>
        <v>No</v>
      </c>
      <c r="O906" s="118" t="str">
        <f>IFERROR(INDEX('Docketed Comments'!L:L,MATCH(A906,'Docketed Comments'!H:H,0)),"")</f>
        <v>Yes</v>
      </c>
      <c r="P906" s="119">
        <f t="shared" si="28"/>
        <v>0</v>
      </c>
      <c r="Q906" s="60"/>
      <c r="R906" s="64" t="s">
        <v>75</v>
      </c>
      <c r="S906" s="64" t="s">
        <v>1933</v>
      </c>
    </row>
    <row r="907" spans="1:19" ht="21.95" customHeight="1">
      <c r="A907" s="66" t="s">
        <v>1934</v>
      </c>
      <c r="B907" s="64"/>
      <c r="C907" s="65"/>
      <c r="D907" s="64"/>
      <c r="E907" s="64"/>
      <c r="F907" s="60"/>
      <c r="G907" s="60" t="s">
        <v>88</v>
      </c>
      <c r="H907" s="60" t="str">
        <f>IFERROR(INDEX('Docketed Comments'!C:C,MATCH(A907,'Docketed Comments'!H:H,0))&amp;", "&amp;INDEX('Docketed Comments'!B:B,MATCH(A907,'Docketed Comments'!H:H,0)),"")</f>
        <v>Jeana, Johnson</v>
      </c>
      <c r="I907" s="60" t="str">
        <f>IFERROR(INDEX('Docketed Comments'!D:D,MATCH(A907,'Docketed Comments'!H:H,0)),"")</f>
        <v>Wickenburg</v>
      </c>
      <c r="J907" s="60" t="str">
        <f>IFERROR(INDEX('Docketed Comments'!I:I,MATCH(A907,'Docketed Comments'!H:H,0)),"")</f>
        <v>R3-47</v>
      </c>
      <c r="K907" s="60" t="str">
        <f t="shared" si="29"/>
        <v>✅ On Best Plan</v>
      </c>
      <c r="L907" s="60" t="str">
        <f>IFERROR(INDEX('Docketed Comments'!F:F,MATCH(A907,'Docketed Comments'!H:H,0)),"")</f>
        <v xml:space="preserve">Over the past 12 months our electricy expenses have totaled under $5,000 for a family of five, despite having no major electricity draws or unusually high usage. </v>
      </c>
      <c r="M907" s="120" t="str">
        <f>IFERROR(INDEX('Docketed Comments'!G:G,MATCH(A907,'Docketed Comments'!H:H,0)),"")</f>
        <v>https://docket.images.azcc.gov/E000048958.pdf</v>
      </c>
      <c r="N907" s="118" t="str">
        <f>IFERROR(INDEX('Docketed Comments'!N:N,MATCH(A907,'Docketed Comments'!H:H,0)),"")</f>
        <v>No</v>
      </c>
      <c r="O907" s="118" t="str">
        <f>IFERROR(INDEX('Docketed Comments'!L:L,MATCH(A907,'Docketed Comments'!H:H,0)),"")</f>
        <v>Yes</v>
      </c>
      <c r="P907" s="119">
        <f t="shared" si="28"/>
        <v>0</v>
      </c>
      <c r="Q907" s="60"/>
      <c r="R907" s="64" t="s">
        <v>75</v>
      </c>
      <c r="S907" s="64" t="s">
        <v>1935</v>
      </c>
    </row>
    <row r="908" spans="1:19" ht="21.95" customHeight="1">
      <c r="A908" s="66" t="s">
        <v>1936</v>
      </c>
      <c r="B908" s="64"/>
      <c r="C908" s="65"/>
      <c r="D908" s="64"/>
      <c r="E908" s="64"/>
      <c r="F908" s="60"/>
      <c r="G908" s="60" t="s">
        <v>88</v>
      </c>
      <c r="H908" s="60" t="str">
        <f>IFERROR(INDEX('Docketed Comments'!C:C,MATCH(A908,'Docketed Comments'!H:H,0))&amp;", "&amp;INDEX('Docketed Comments'!B:B,MATCH(A908,'Docketed Comments'!H:H,0)),"")</f>
        <v>Louis, Gardella</v>
      </c>
      <c r="I908" s="60" t="str">
        <f>IFERROR(INDEX('Docketed Comments'!D:D,MATCH(A908,'Docketed Comments'!H:H,0)),"")</f>
        <v>Sun City</v>
      </c>
      <c r="J908" s="60" t="str">
        <f>IFERROR(INDEX('Docketed Comments'!I:I,MATCH(A908,'Docketed Comments'!H:H,0)),"")</f>
        <v>R3-47</v>
      </c>
      <c r="K908" s="60" t="str">
        <f t="shared" si="29"/>
        <v>✅ On Best Plan</v>
      </c>
      <c r="L908" s="60" t="str">
        <f>IFERROR(INDEX('Docketed Comments'!F:F,MATCH(A908,'Docketed Comments'!H:H,0)),"")</f>
        <v>An average of $20 being added to simmer until bill will make it almost unmanageable for residents on a fixed income.</v>
      </c>
      <c r="M908" s="120" t="str">
        <f>IFERROR(INDEX('Docketed Comments'!G:G,MATCH(A908,'Docketed Comments'!H:H,0)),"")</f>
        <v>https://docket.images.azcc.gov/E000048995.pdf</v>
      </c>
      <c r="N908" s="118" t="str">
        <f>IFERROR(INDEX('Docketed Comments'!N:N,MATCH(A908,'Docketed Comments'!H:H,0)),"")</f>
        <v>No</v>
      </c>
      <c r="O908" s="118" t="str">
        <f>IFERROR(INDEX('Docketed Comments'!L:L,MATCH(A908,'Docketed Comments'!H:H,0)),"")</f>
        <v>Yes</v>
      </c>
      <c r="P908" s="119">
        <f t="shared" si="28"/>
        <v>0</v>
      </c>
      <c r="Q908" s="60"/>
      <c r="R908" s="64" t="s">
        <v>75</v>
      </c>
      <c r="S908" s="64" t="s">
        <v>1937</v>
      </c>
    </row>
    <row r="909" spans="1:19" ht="21.95" customHeight="1">
      <c r="A909" s="66" t="s">
        <v>1938</v>
      </c>
      <c r="B909" s="64"/>
      <c r="C909" s="65"/>
      <c r="D909" s="64"/>
      <c r="E909" s="64"/>
      <c r="F909" s="60"/>
      <c r="G909" s="60" t="s">
        <v>88</v>
      </c>
      <c r="H909" s="60" t="str">
        <f>IFERROR(INDEX('Docketed Comments'!C:C,MATCH(A909,'Docketed Comments'!H:H,0))&amp;", "&amp;INDEX('Docketed Comments'!B:B,MATCH(A909,'Docketed Comments'!H:H,0)),"")</f>
        <v>Jeannette, Zamora</v>
      </c>
      <c r="I909" s="60" t="str">
        <f>IFERROR(INDEX('Docketed Comments'!D:D,MATCH(A909,'Docketed Comments'!H:H,0)),"")</f>
        <v>Prescott Valley</v>
      </c>
      <c r="J909" s="60" t="str">
        <f>IFERROR(INDEX('Docketed Comments'!I:I,MATCH(A909,'Docketed Comments'!H:H,0)),"")</f>
        <v>RCPw/TOUE47</v>
      </c>
      <c r="K909" s="60" t="str">
        <f t="shared" si="29"/>
        <v>✅ On Best Plan</v>
      </c>
      <c r="L909" s="60" t="str">
        <f>IFERROR(INDEX('Docketed Comments'!F:F,MATCH(A909,'Docketed Comments'!H:H,0)),"")</f>
        <v>I am a retired individual who really can't afford the rate hikes that you continue to add. Tell the good people of Arizona why the hikes are so high</v>
      </c>
      <c r="M909" s="120" t="str">
        <f>IFERROR(INDEX('Docketed Comments'!G:G,MATCH(A909,'Docketed Comments'!H:H,0)),"")</f>
        <v>https://docket.images.azcc.gov/E000048995.pdf</v>
      </c>
      <c r="N909" s="118" t="str">
        <f>IFERROR(INDEX('Docketed Comments'!N:N,MATCH(A909,'Docketed Comments'!H:H,0)),"")</f>
        <v>No</v>
      </c>
      <c r="O909" s="118" t="str">
        <f>IFERROR(INDEX('Docketed Comments'!L:L,MATCH(A909,'Docketed Comments'!H:H,0)),"")</f>
        <v>Yes</v>
      </c>
      <c r="P909" s="119">
        <f t="shared" si="28"/>
        <v>0</v>
      </c>
      <c r="Q909" s="60"/>
      <c r="R909" s="64" t="s">
        <v>75</v>
      </c>
      <c r="S909" s="64" t="s">
        <v>1939</v>
      </c>
    </row>
    <row r="910" spans="1:19" ht="21.95" customHeight="1">
      <c r="A910" s="66" t="s">
        <v>1940</v>
      </c>
      <c r="B910" s="64"/>
      <c r="C910" s="65"/>
      <c r="D910" s="64"/>
      <c r="E910" s="64"/>
      <c r="F910" s="60"/>
      <c r="G910" s="60" t="s">
        <v>88</v>
      </c>
      <c r="H910" s="60" t="str">
        <f>IFERROR(INDEX('Docketed Comments'!C:C,MATCH(A910,'Docketed Comments'!H:H,0))&amp;", "&amp;INDEX('Docketed Comments'!B:B,MATCH(A910,'Docketed Comments'!H:H,0)),"")</f>
        <v>Adena, Franklin</v>
      </c>
      <c r="I910" s="60" t="str">
        <f>IFERROR(INDEX('Docketed Comments'!D:D,MATCH(A910,'Docketed Comments'!H:H,0)),"")</f>
        <v>Peoria</v>
      </c>
      <c r="J910" s="60" t="str">
        <f>IFERROR(INDEX('Docketed Comments'!I:I,MATCH(A910,'Docketed Comments'!H:H,0)),"")</f>
        <v>R3-47</v>
      </c>
      <c r="K910" s="60" t="str">
        <f t="shared" si="29"/>
        <v>✅ On Best Plan</v>
      </c>
      <c r="L910" s="60" t="str">
        <f>IFERROR(INDEX('Docketed Comments'!F:F,MATCH(A910,'Docketed Comments'!H:H,0)),"")</f>
        <v>I live on a fixed income. Take care of an 82-year-old man you continuously increase these rates. I am unable to sustain payments so consider this my hardship letter if rates go up.</v>
      </c>
      <c r="M910" s="120" t="str">
        <f>IFERROR(INDEX('Docketed Comments'!G:G,MATCH(A910,'Docketed Comments'!H:H,0)),"")</f>
        <v>https://docket.images.azcc.gov/E000048995.pdf</v>
      </c>
      <c r="N910" s="118" t="str">
        <f>IFERROR(INDEX('Docketed Comments'!N:N,MATCH(A910,'Docketed Comments'!H:H,0)),"")</f>
        <v>No</v>
      </c>
      <c r="O910" s="118" t="str">
        <f>IFERROR(INDEX('Docketed Comments'!L:L,MATCH(A910,'Docketed Comments'!H:H,0)),"")</f>
        <v>Yes</v>
      </c>
      <c r="P910" s="119">
        <f t="shared" si="28"/>
        <v>0</v>
      </c>
      <c r="Q910" s="60"/>
      <c r="R910" s="64" t="s">
        <v>75</v>
      </c>
      <c r="S910" s="64" t="s">
        <v>1941</v>
      </c>
    </row>
    <row r="911" spans="1:19" ht="21.95" customHeight="1">
      <c r="A911" s="66" t="s">
        <v>1942</v>
      </c>
      <c r="B911" s="64"/>
      <c r="C911" s="65"/>
      <c r="D911" s="64"/>
      <c r="E911" s="64"/>
      <c r="F911" s="60"/>
      <c r="G911" s="60" t="s">
        <v>88</v>
      </c>
      <c r="H911" s="60" t="str">
        <f>IFERROR(INDEX('Docketed Comments'!C:C,MATCH(A911,'Docketed Comments'!H:H,0))&amp;", "&amp;INDEX('Docketed Comments'!B:B,MATCH(A911,'Docketed Comments'!H:H,0)),"")</f>
        <v>Louis, Raggio</v>
      </c>
      <c r="I911" s="60" t="str">
        <f>IFERROR(INDEX('Docketed Comments'!D:D,MATCH(A911,'Docketed Comments'!H:H,0)),"")</f>
        <v>Scottsdale</v>
      </c>
      <c r="J911" s="60" t="str">
        <f>IFERROR(INDEX('Docketed Comments'!I:I,MATCH(A911,'Docketed Comments'!H:H,0)),"")</f>
        <v>R3-47</v>
      </c>
      <c r="K911" s="60" t="str">
        <f t="shared" si="29"/>
        <v>✅ On Best Plan</v>
      </c>
      <c r="L911" s="60" t="str">
        <f>IFERROR(INDEX('Docketed Comments'!F:F,MATCH(A911,'Docketed Comments'!H:H,0)),"")</f>
        <v xml:space="preserve">Family of 6... I've already seen enough increases over the years that l'm constantly having to decide how to move my budget around to adjust for rising power costs. </v>
      </c>
      <c r="M911" s="120" t="str">
        <f>IFERROR(INDEX('Docketed Comments'!G:G,MATCH(A911,'Docketed Comments'!H:H,0)),"")</f>
        <v>https://docket.images.azcc.gov/E000048963.pdf</v>
      </c>
      <c r="N911" s="118" t="str">
        <f>IFERROR(INDEX('Docketed Comments'!N:N,MATCH(A911,'Docketed Comments'!H:H,0)),"")</f>
        <v>No</v>
      </c>
      <c r="O911" s="118" t="str">
        <f>IFERROR(INDEX('Docketed Comments'!L:L,MATCH(A911,'Docketed Comments'!H:H,0)),"")</f>
        <v>Yes</v>
      </c>
      <c r="P911" s="119">
        <f t="shared" si="28"/>
        <v>0</v>
      </c>
      <c r="Q911" s="60"/>
      <c r="R911" s="64" t="s">
        <v>75</v>
      </c>
      <c r="S911" s="64" t="s">
        <v>1943</v>
      </c>
    </row>
    <row r="912" spans="1:19" ht="21.95" customHeight="1">
      <c r="A912" s="66" t="s">
        <v>1944</v>
      </c>
      <c r="B912" s="64"/>
      <c r="C912" s="65"/>
      <c r="D912" s="64"/>
      <c r="E912" s="64"/>
      <c r="F912" s="60"/>
      <c r="G912" s="60" t="s">
        <v>88</v>
      </c>
      <c r="H912" s="60" t="str">
        <f>IFERROR(INDEX('Docketed Comments'!C:C,MATCH(A912,'Docketed Comments'!H:H,0))&amp;", "&amp;INDEX('Docketed Comments'!B:B,MATCH(A912,'Docketed Comments'!H:H,0)),"")</f>
        <v>Lori, Vitagliano</v>
      </c>
      <c r="I912" s="60" t="str">
        <f>IFERROR(INDEX('Docketed Comments'!D:D,MATCH(A912,'Docketed Comments'!H:H,0)),"")</f>
        <v>Scottsdale</v>
      </c>
      <c r="J912" s="60" t="str">
        <f>IFERROR(INDEX('Docketed Comments'!I:I,MATCH(A912,'Docketed Comments'!H:H,0)),"")</f>
        <v>R3-47</v>
      </c>
      <c r="K912" s="60" t="str">
        <f t="shared" si="29"/>
        <v>✅ On Best Plan</v>
      </c>
      <c r="L912" s="60" t="str">
        <f>IFERROR(INDEX('Docketed Comments'!F:F,MATCH(A912,'Docketed Comments'!H:H,0)),"")</f>
        <v>As a teacher I can barely afford the costs of electricity as is let alone with a 14% increase.</v>
      </c>
      <c r="M912" s="120" t="str">
        <f>IFERROR(INDEX('Docketed Comments'!G:G,MATCH(A912,'Docketed Comments'!H:H,0)),"")</f>
        <v>https://images.edocket.azcc.gov/docketpdf/E000049005.pdf</v>
      </c>
      <c r="N912" s="118" t="str">
        <f>IFERROR(INDEX('Docketed Comments'!N:N,MATCH(A912,'Docketed Comments'!H:H,0)),"")</f>
        <v>No</v>
      </c>
      <c r="O912" s="118" t="str">
        <f>IFERROR(INDEX('Docketed Comments'!L:L,MATCH(A912,'Docketed Comments'!H:H,0)),"")</f>
        <v>Yes</v>
      </c>
      <c r="P912" s="119">
        <f t="shared" si="28"/>
        <v>0</v>
      </c>
      <c r="Q912" s="60"/>
      <c r="R912" s="64" t="s">
        <v>75</v>
      </c>
      <c r="S912" s="64" t="s">
        <v>1945</v>
      </c>
    </row>
    <row r="913" spans="1:19" ht="21.95" customHeight="1">
      <c r="A913" s="66" t="s">
        <v>1946</v>
      </c>
      <c r="B913" s="64"/>
      <c r="C913" s="65"/>
      <c r="D913" s="64"/>
      <c r="E913" s="64"/>
      <c r="F913" s="60"/>
      <c r="G913" s="60" t="s">
        <v>88</v>
      </c>
      <c r="H913" s="60" t="str">
        <f>IFERROR(INDEX('Docketed Comments'!C:C,MATCH(A913,'Docketed Comments'!H:H,0))&amp;", "&amp;INDEX('Docketed Comments'!B:B,MATCH(A913,'Docketed Comments'!H:H,0)),"")</f>
        <v>Phil, Parkhurst</v>
      </c>
      <c r="I913" s="60" t="str">
        <f>IFERROR(INDEX('Docketed Comments'!D:D,MATCH(A913,'Docketed Comments'!H:H,0)),"")</f>
        <v>Phoenix</v>
      </c>
      <c r="J913" s="60" t="str">
        <f>IFERROR(INDEX('Docketed Comments'!I:I,MATCH(A913,'Docketed Comments'!H:H,0)),"")</f>
        <v>R3-47</v>
      </c>
      <c r="K913" s="60" t="str">
        <f t="shared" si="29"/>
        <v>✅ On Best Plan</v>
      </c>
      <c r="L913" s="60" t="str">
        <f>IFERROR(INDEX('Docketed Comments'!F:F,MATCH(A913,'Docketed Comments'!H:H,0)),"")</f>
        <v>APS's Continued quest for rate increases must be stopped.either they are guilty of outlandish greed or are incredibly inefficient</v>
      </c>
      <c r="M913" s="120" t="str">
        <f>IFERROR(INDEX('Docketed Comments'!G:G,MATCH(A913,'Docketed Comments'!H:H,0)),"")</f>
        <v>https://docket.images.azcc.gov/E000048921.pdf</v>
      </c>
      <c r="N913" s="118" t="str">
        <f>IFERROR(INDEX('Docketed Comments'!N:N,MATCH(A913,'Docketed Comments'!H:H,0)),"")</f>
        <v>No</v>
      </c>
      <c r="O913" s="118" t="str">
        <f>IFERROR(INDEX('Docketed Comments'!L:L,MATCH(A913,'Docketed Comments'!H:H,0)),"")</f>
        <v>Yes</v>
      </c>
      <c r="P913" s="119">
        <f t="shared" si="28"/>
        <v>0</v>
      </c>
      <c r="Q913" s="60"/>
      <c r="R913" s="64" t="s">
        <v>75</v>
      </c>
      <c r="S913" s="64" t="s">
        <v>1947</v>
      </c>
    </row>
    <row r="914" spans="1:19" ht="21.95" customHeight="1">
      <c r="A914" s="66" t="s">
        <v>1948</v>
      </c>
      <c r="B914" s="64"/>
      <c r="C914" s="65"/>
      <c r="D914" s="64"/>
      <c r="E914" s="64"/>
      <c r="F914" s="60"/>
      <c r="G914" s="60" t="s">
        <v>88</v>
      </c>
      <c r="H914" s="60" t="str">
        <f>IFERROR(INDEX('Docketed Comments'!C:C,MATCH(A914,'Docketed Comments'!H:H,0))&amp;", "&amp;INDEX('Docketed Comments'!B:B,MATCH(A914,'Docketed Comments'!H:H,0)),"")</f>
        <v>Andrew, Holmes</v>
      </c>
      <c r="I914" s="60" t="str">
        <f>IFERROR(INDEX('Docketed Comments'!D:D,MATCH(A914,'Docketed Comments'!H:H,0)),"")</f>
        <v>Prescott Valley</v>
      </c>
      <c r="J914" s="60" t="str">
        <f>IFERROR(INDEX('Docketed Comments'!I:I,MATCH(A914,'Docketed Comments'!H:H,0)),"")</f>
        <v>R-BASIC</v>
      </c>
      <c r="K914" s="60" t="str">
        <f t="shared" si="29"/>
        <v>✅ On Best Plan</v>
      </c>
      <c r="L914" s="60" t="str">
        <f>IFERROR(INDEX('Docketed Comments'!F:F,MATCH(A914,'Docketed Comments'!H:H,0)),"")</f>
        <v>They are selling there power to California at a profit. They should be cost conscious of the people of AZ!</v>
      </c>
      <c r="M914" s="120" t="str">
        <f>IFERROR(INDEX('Docketed Comments'!G:G,MATCH(A914,'Docketed Comments'!H:H,0)),"")</f>
        <v>https://docket.images.azcc.gov/E000048921.pdf</v>
      </c>
      <c r="N914" s="118" t="str">
        <f>IFERROR(INDEX('Docketed Comments'!N:N,MATCH(A914,'Docketed Comments'!H:H,0)),"")</f>
        <v>No</v>
      </c>
      <c r="O914" s="118" t="str">
        <f>IFERROR(INDEX('Docketed Comments'!L:L,MATCH(A914,'Docketed Comments'!H:H,0)),"")</f>
        <v>Yes</v>
      </c>
      <c r="P914" s="119">
        <f t="shared" si="28"/>
        <v>0</v>
      </c>
      <c r="Q914" s="60"/>
      <c r="R914" s="64" t="s">
        <v>75</v>
      </c>
      <c r="S914" s="64" t="s">
        <v>1949</v>
      </c>
    </row>
    <row r="915" spans="1:19" ht="21.95" customHeight="1">
      <c r="A915" s="66" t="s">
        <v>1950</v>
      </c>
      <c r="B915" s="64"/>
      <c r="C915" s="65"/>
      <c r="D915" s="64"/>
      <c r="E915" s="64"/>
      <c r="F915" s="60"/>
      <c r="G915" s="60" t="s">
        <v>88</v>
      </c>
      <c r="H915" s="60" t="str">
        <f>IFERROR(INDEX('Docketed Comments'!C:C,MATCH(A915,'Docketed Comments'!H:H,0))&amp;", "&amp;INDEX('Docketed Comments'!B:B,MATCH(A915,'Docketed Comments'!H:H,0)),"")</f>
        <v>Erica, Palomino</v>
      </c>
      <c r="I915" s="60" t="str">
        <f>IFERROR(INDEX('Docketed Comments'!D:D,MATCH(A915,'Docketed Comments'!H:H,0)),"")</f>
        <v>Phoenix</v>
      </c>
      <c r="J915" s="60" t="str">
        <f>IFERROR(INDEX('Docketed Comments'!I:I,MATCH(A915,'Docketed Comments'!H:H,0)),"")</f>
        <v>RCPw/RTOUE47</v>
      </c>
      <c r="K915" s="60" t="str">
        <f t="shared" si="29"/>
        <v>✅ On Best Plan</v>
      </c>
      <c r="L915" s="60" t="str">
        <f>IFERROR(INDEX('Docketed Comments'!F:F,MATCH(A915,'Docketed Comments'!H:H,0)),"")</f>
        <v>The service is expensive.</v>
      </c>
      <c r="M915" s="120" t="str">
        <f>IFERROR(INDEX('Docketed Comments'!G:G,MATCH(A915,'Docketed Comments'!H:H,0)),"")</f>
        <v>https://docket.images.azcc.gov/E000048921.pdf</v>
      </c>
      <c r="N915" s="118" t="str">
        <f>IFERROR(INDEX('Docketed Comments'!N:N,MATCH(A915,'Docketed Comments'!H:H,0)),"")</f>
        <v>No</v>
      </c>
      <c r="O915" s="118" t="str">
        <f>IFERROR(INDEX('Docketed Comments'!L:L,MATCH(A915,'Docketed Comments'!H:H,0)),"")</f>
        <v>Yes</v>
      </c>
      <c r="P915" s="119">
        <f t="shared" si="28"/>
        <v>0</v>
      </c>
      <c r="Q915" s="60"/>
      <c r="R915" s="64" t="s">
        <v>75</v>
      </c>
      <c r="S915" s="64" t="s">
        <v>1951</v>
      </c>
    </row>
    <row r="916" spans="1:19" ht="21.95" customHeight="1">
      <c r="A916" s="66" t="s">
        <v>1952</v>
      </c>
      <c r="B916" s="64"/>
      <c r="C916" s="65"/>
      <c r="D916" s="64"/>
      <c r="E916" s="64"/>
      <c r="F916" s="60"/>
      <c r="G916" s="60" t="s">
        <v>88</v>
      </c>
      <c r="H916" s="60" t="str">
        <f>IFERROR(INDEX('Docketed Comments'!C:C,MATCH(A916,'Docketed Comments'!H:H,0))&amp;", "&amp;INDEX('Docketed Comments'!B:B,MATCH(A916,'Docketed Comments'!H:H,0)),"")</f>
        <v>Laurie, Alexander</v>
      </c>
      <c r="I916" s="60" t="str">
        <f>IFERROR(INDEX('Docketed Comments'!D:D,MATCH(A916,'Docketed Comments'!H:H,0)),"")</f>
        <v>Surprise</v>
      </c>
      <c r="J916" s="60" t="str">
        <f>IFERROR(INDEX('Docketed Comments'!I:I,MATCH(A916,'Docketed Comments'!H:H,0)),"")</f>
        <v>R-XS</v>
      </c>
      <c r="K916" s="60" t="str">
        <f t="shared" si="29"/>
        <v>✅ On Best Plan</v>
      </c>
      <c r="L916" s="60" t="str">
        <f>IFERROR(INDEX('Docketed Comments'!F:F,MATCH(A916,'Docketed Comments'!H:H,0)),"")</f>
        <v xml:space="preserve">I worked for a water company at for 27 years in California... people are flocking to AZ which creates huge amounts of revenue. </v>
      </c>
      <c r="M916" s="120" t="str">
        <f>IFERROR(INDEX('Docketed Comments'!G:G,MATCH(A916,'Docketed Comments'!H:H,0)),"")</f>
        <v>https://docket.images.azcc.gov/E000048921.pdf</v>
      </c>
      <c r="N916" s="118" t="str">
        <f>IFERROR(INDEX('Docketed Comments'!N:N,MATCH(A916,'Docketed Comments'!H:H,0)),"")</f>
        <v>No</v>
      </c>
      <c r="O916" s="118" t="str">
        <f>IFERROR(INDEX('Docketed Comments'!L:L,MATCH(A916,'Docketed Comments'!H:H,0)),"")</f>
        <v>Yes</v>
      </c>
      <c r="P916" s="119">
        <f t="shared" si="28"/>
        <v>0</v>
      </c>
      <c r="Q916" s="60"/>
      <c r="R916" s="64" t="s">
        <v>75</v>
      </c>
      <c r="S916" s="64" t="s">
        <v>1953</v>
      </c>
    </row>
    <row r="917" spans="1:19" ht="21.95" customHeight="1">
      <c r="A917" s="66" t="s">
        <v>1954</v>
      </c>
      <c r="B917" s="64"/>
      <c r="C917" s="65"/>
      <c r="D917" s="64"/>
      <c r="E917" s="64"/>
      <c r="F917" s="60"/>
      <c r="G917" s="60" t="s">
        <v>88</v>
      </c>
      <c r="H917" s="60" t="str">
        <f>IFERROR(INDEX('Docketed Comments'!C:C,MATCH(A917,'Docketed Comments'!H:H,0))&amp;", "&amp;INDEX('Docketed Comments'!B:B,MATCH(A917,'Docketed Comments'!H:H,0)),"")</f>
        <v>Ann, Miller</v>
      </c>
      <c r="I917" s="60" t="str">
        <f>IFERROR(INDEX('Docketed Comments'!D:D,MATCH(A917,'Docketed Comments'!H:H,0)),"")</f>
        <v>Peoria</v>
      </c>
      <c r="J917" s="60" t="str">
        <f>IFERROR(INDEX('Docketed Comments'!I:I,MATCH(A917,'Docketed Comments'!H:H,0)),"")</f>
        <v>R-BASIC</v>
      </c>
      <c r="K917" s="60" t="str">
        <f t="shared" si="29"/>
        <v>✅ On Best Plan</v>
      </c>
      <c r="L917" s="60" t="str">
        <f>IFERROR(INDEX('Docketed Comments'!F:F,MATCH(A917,'Docketed Comments'!H:H,0)),"")</f>
        <v xml:space="preserve">As a senior citizen on a very fixed income; aware of help services but qualify for none. I haven't been able to afford red meat for 3 years. </v>
      </c>
      <c r="M917" s="120" t="str">
        <f>IFERROR(INDEX('Docketed Comments'!G:G,MATCH(A917,'Docketed Comments'!H:H,0)),"")</f>
        <v>https://docket.images.azcc.gov/E000048921.pdf</v>
      </c>
      <c r="N917" s="118" t="str">
        <f>IFERROR(INDEX('Docketed Comments'!N:N,MATCH(A917,'Docketed Comments'!H:H,0)),"")</f>
        <v>No</v>
      </c>
      <c r="O917" s="118" t="str">
        <f>IFERROR(INDEX('Docketed Comments'!L:L,MATCH(A917,'Docketed Comments'!H:H,0)),"")</f>
        <v>Yes</v>
      </c>
      <c r="P917" s="119">
        <f t="shared" si="28"/>
        <v>0</v>
      </c>
      <c r="Q917" s="60"/>
      <c r="R917" s="64" t="s">
        <v>75</v>
      </c>
      <c r="S917" s="64" t="s">
        <v>1955</v>
      </c>
    </row>
    <row r="918" spans="1:19" ht="21.95" customHeight="1">
      <c r="A918" s="66" t="s">
        <v>1956</v>
      </c>
      <c r="B918" s="64"/>
      <c r="C918" s="65"/>
      <c r="D918" s="64"/>
      <c r="E918" s="64"/>
      <c r="F918" s="60"/>
      <c r="G918" s="60" t="s">
        <v>88</v>
      </c>
      <c r="H918" s="60" t="str">
        <f>IFERROR(INDEX('Docketed Comments'!C:C,MATCH(A918,'Docketed Comments'!H:H,0))&amp;", "&amp;INDEX('Docketed Comments'!B:B,MATCH(A918,'Docketed Comments'!H:H,0)),"")</f>
        <v>Betty, Crnich</v>
      </c>
      <c r="I918" s="60" t="str">
        <f>IFERROR(INDEX('Docketed Comments'!D:D,MATCH(A918,'Docketed Comments'!H:H,0)),"")</f>
        <v>Arizona City</v>
      </c>
      <c r="J918" s="60" t="str">
        <f>IFERROR(INDEX('Docketed Comments'!I:I,MATCH(A918,'Docketed Comments'!H:H,0)),"")</f>
        <v>RCPw/TOUE47</v>
      </c>
      <c r="K918" s="60" t="str">
        <f t="shared" si="29"/>
        <v>✅ On Best Plan</v>
      </c>
      <c r="L918" s="60" t="str">
        <f>IFERROR(INDEX('Docketed Comments'!F:F,MATCH(A918,'Docketed Comments'!H:H,0)),"")</f>
        <v>everyone keep raising prices and the increase they give each year doesn't even begin to help us on cost of living</v>
      </c>
      <c r="M918" s="120" t="str">
        <f>IFERROR(INDEX('Docketed Comments'!G:G,MATCH(A918,'Docketed Comments'!H:H,0)),"")</f>
        <v>https://docket.images.azcc.gov/E000048921.pdf</v>
      </c>
      <c r="N918" s="118" t="str">
        <f>IFERROR(INDEX('Docketed Comments'!N:N,MATCH(A918,'Docketed Comments'!H:H,0)),"")</f>
        <v>No</v>
      </c>
      <c r="O918" s="118" t="str">
        <f>IFERROR(INDEX('Docketed Comments'!L:L,MATCH(A918,'Docketed Comments'!H:H,0)),"")</f>
        <v>Yes</v>
      </c>
      <c r="P918" s="119">
        <f t="shared" si="28"/>
        <v>0</v>
      </c>
      <c r="Q918" s="60"/>
      <c r="R918" s="64" t="s">
        <v>75</v>
      </c>
      <c r="S918" s="64" t="s">
        <v>1957</v>
      </c>
    </row>
    <row r="919" spans="1:19" ht="21.95" customHeight="1">
      <c r="A919" s="66" t="s">
        <v>1958</v>
      </c>
      <c r="B919" s="64"/>
      <c r="C919" s="65"/>
      <c r="D919" s="64"/>
      <c r="E919" s="64"/>
      <c r="F919" s="60"/>
      <c r="G919" s="60" t="s">
        <v>88</v>
      </c>
      <c r="H919" s="60" t="str">
        <f>IFERROR(INDEX('Docketed Comments'!C:C,MATCH(A919,'Docketed Comments'!H:H,0))&amp;", "&amp;INDEX('Docketed Comments'!B:B,MATCH(A919,'Docketed Comments'!H:H,0)),"")</f>
        <v>Klaus, Richter</v>
      </c>
      <c r="I919" s="60" t="str">
        <f>IFERROR(INDEX('Docketed Comments'!D:D,MATCH(A919,'Docketed Comments'!H:H,0)),"")</f>
        <v>Litchfield Park</v>
      </c>
      <c r="J919" s="60" t="str">
        <f>IFERROR(INDEX('Docketed Comments'!I:I,MATCH(A919,'Docketed Comments'!H:H,0)),"")</f>
        <v>EPR6w/ET</v>
      </c>
      <c r="K919" s="60" t="str">
        <f t="shared" si="29"/>
        <v>⚠ Frozen Plan</v>
      </c>
      <c r="L919" s="60" t="str">
        <f>IFERROR(INDEX('Docketed Comments'!F:F,MATCH(A919,'Docketed Comments'!H:H,0)),"")</f>
        <v>I am against the increase APS is planning</v>
      </c>
      <c r="M919" s="120" t="str">
        <f>IFERROR(INDEX('Docketed Comments'!G:G,MATCH(A919,'Docketed Comments'!H:H,0)),"")</f>
        <v>https://docket.images.azcc.gov/E000048921.pdf</v>
      </c>
      <c r="N919" s="118" t="str">
        <f>IFERROR(INDEX('Docketed Comments'!N:N,MATCH(A919,'Docketed Comments'!H:H,0)),"")</f>
        <v>No</v>
      </c>
      <c r="O919" s="118" t="str">
        <f>IFERROR(INDEX('Docketed Comments'!L:L,MATCH(A919,'Docketed Comments'!H:H,0)),"")</f>
        <v>Frozen Plan</v>
      </c>
      <c r="P919" s="119">
        <f t="shared" si="28"/>
        <v>0</v>
      </c>
      <c r="Q919" s="60"/>
      <c r="R919" s="64" t="s">
        <v>75</v>
      </c>
      <c r="S919" s="64" t="s">
        <v>1959</v>
      </c>
    </row>
    <row r="920" spans="1:19" ht="21.95" customHeight="1">
      <c r="A920" s="66" t="s">
        <v>1960</v>
      </c>
      <c r="B920" s="64"/>
      <c r="C920" s="65"/>
      <c r="D920" s="64"/>
      <c r="E920" s="64"/>
      <c r="F920" s="60"/>
      <c r="G920" s="60" t="s">
        <v>88</v>
      </c>
      <c r="H920" s="60" t="str">
        <f>IFERROR(INDEX('Docketed Comments'!C:C,MATCH(A920,'Docketed Comments'!H:H,0))&amp;", "&amp;INDEX('Docketed Comments'!B:B,MATCH(A920,'Docketed Comments'!H:H,0)),"")</f>
        <v>David, Reis</v>
      </c>
      <c r="I920" s="60" t="str">
        <f>IFERROR(INDEX('Docketed Comments'!D:D,MATCH(A920,'Docketed Comments'!H:H,0)),"")</f>
        <v>Surprise</v>
      </c>
      <c r="J920" s="60" t="str">
        <f>IFERROR(INDEX('Docketed Comments'!I:I,MATCH(A920,'Docketed Comments'!H:H,0)),"")</f>
        <v>RTOUE47</v>
      </c>
      <c r="K920" s="60" t="str">
        <f t="shared" si="29"/>
        <v>✅ On Best Plan</v>
      </c>
      <c r="L920" s="60" t="str">
        <f>IFERROR(INDEX('Docketed Comments'!F:F,MATCH(A920,'Docketed Comments'!H:H,0)),"")</f>
        <v>I am apposed to APS rate hike stop using the inefficient green energy and get more of the power from the PV plant</v>
      </c>
      <c r="M920" s="120" t="str">
        <f>IFERROR(INDEX('Docketed Comments'!G:G,MATCH(A920,'Docketed Comments'!H:H,0)),"")</f>
        <v>https://docket.images.azcc.gov/E000048921.pdf</v>
      </c>
      <c r="N920" s="118" t="str">
        <f>IFERROR(INDEX('Docketed Comments'!N:N,MATCH(A920,'Docketed Comments'!H:H,0)),"")</f>
        <v>No</v>
      </c>
      <c r="O920" s="118" t="str">
        <f>IFERROR(INDEX('Docketed Comments'!L:L,MATCH(A920,'Docketed Comments'!H:H,0)),"")</f>
        <v>Yes</v>
      </c>
      <c r="P920" s="119">
        <f t="shared" si="28"/>
        <v>0</v>
      </c>
      <c r="Q920" s="60"/>
      <c r="R920" s="64" t="s">
        <v>75</v>
      </c>
      <c r="S920" s="64" t="s">
        <v>1961</v>
      </c>
    </row>
    <row r="921" spans="1:19" ht="21.95" customHeight="1">
      <c r="A921" s="66" t="s">
        <v>1962</v>
      </c>
      <c r="B921" s="64"/>
      <c r="C921" s="65"/>
      <c r="D921" s="64"/>
      <c r="E921" s="64"/>
      <c r="F921" s="60"/>
      <c r="G921" s="60" t="s">
        <v>88</v>
      </c>
      <c r="H921" s="60" t="str">
        <f>IFERROR(INDEX('Docketed Comments'!C:C,MATCH(A921,'Docketed Comments'!H:H,0))&amp;", "&amp;INDEX('Docketed Comments'!B:B,MATCH(A921,'Docketed Comments'!H:H,0)),"")</f>
        <v>Geordanny, Velasquez</v>
      </c>
      <c r="I921" s="60" t="str">
        <f>IFERROR(INDEX('Docketed Comments'!D:D,MATCH(A921,'Docketed Comments'!H:H,0)),"")</f>
        <v>Phoenix</v>
      </c>
      <c r="J921" s="60" t="str">
        <f>IFERROR(INDEX('Docketed Comments'!I:I,MATCH(A921,'Docketed Comments'!H:H,0)),"")</f>
        <v>RTOUE47</v>
      </c>
      <c r="K921" s="60" t="str">
        <f t="shared" si="29"/>
        <v>✅ On Best Plan</v>
      </c>
      <c r="L921" s="60" t="str">
        <f>IFERROR(INDEX('Docketed Comments'!F:F,MATCH(A921,'Docketed Comments'!H:H,0)),"")</f>
        <v>APS already earns substantial profits, and raising rates again would place an unfair burden on Arizona households</v>
      </c>
      <c r="M921" s="120" t="str">
        <f>IFERROR(INDEX('Docketed Comments'!G:G,MATCH(A921,'Docketed Comments'!H:H,0)),"")</f>
        <v>https://docket.images.azcc.gov/E000048921.pdf</v>
      </c>
      <c r="N921" s="118" t="str">
        <f>IFERROR(INDEX('Docketed Comments'!N:N,MATCH(A921,'Docketed Comments'!H:H,0)),"")</f>
        <v>No</v>
      </c>
      <c r="O921" s="118" t="str">
        <f>IFERROR(INDEX('Docketed Comments'!L:L,MATCH(A921,'Docketed Comments'!H:H,0)),"")</f>
        <v>Yes</v>
      </c>
      <c r="P921" s="119">
        <f t="shared" si="28"/>
        <v>0</v>
      </c>
      <c r="Q921" s="60"/>
      <c r="R921" s="64" t="s">
        <v>75</v>
      </c>
      <c r="S921" s="64" t="s">
        <v>1963</v>
      </c>
    </row>
    <row r="922" spans="1:19" ht="21.95" customHeight="1">
      <c r="A922" s="66" t="s">
        <v>1964</v>
      </c>
      <c r="B922" s="64"/>
      <c r="C922" s="65"/>
      <c r="D922" s="64"/>
      <c r="E922" s="64"/>
      <c r="F922" s="60"/>
      <c r="G922" s="60" t="s">
        <v>88</v>
      </c>
      <c r="H922" s="60" t="str">
        <f>IFERROR(INDEX('Docketed Comments'!C:C,MATCH(A922,'Docketed Comments'!H:H,0))&amp;", "&amp;INDEX('Docketed Comments'!B:B,MATCH(A922,'Docketed Comments'!H:H,0)),"")</f>
        <v>Danyial, Merriam</v>
      </c>
      <c r="I922" s="60" t="str">
        <f>IFERROR(INDEX('Docketed Comments'!D:D,MATCH(A922,'Docketed Comments'!H:H,0)),"")</f>
        <v>Waddell</v>
      </c>
      <c r="J922" s="60" t="str">
        <f>IFERROR(INDEX('Docketed Comments'!I:I,MATCH(A922,'Docketed Comments'!H:H,0)),"")</f>
        <v>R3-47</v>
      </c>
      <c r="K922" s="60" t="str">
        <f t="shared" si="29"/>
        <v>✅ On Best Plan</v>
      </c>
      <c r="L922" s="60" t="str">
        <f>IFERROR(INDEX('Docketed Comments'!F:F,MATCH(A922,'Docketed Comments'!H:H,0)),"")</f>
        <v>When you have to decide to cool your home so your babies wont die, or to buy food something is terribly wrong.</v>
      </c>
      <c r="M922" s="120" t="str">
        <f>IFERROR(INDEX('Docketed Comments'!G:G,MATCH(A922,'Docketed Comments'!H:H,0)),"")</f>
        <v>https://docket.images.azcc.gov/E000048921.pdf</v>
      </c>
      <c r="N922" s="118" t="str">
        <f>IFERROR(INDEX('Docketed Comments'!N:N,MATCH(A922,'Docketed Comments'!H:H,0)),"")</f>
        <v>No</v>
      </c>
      <c r="O922" s="118" t="str">
        <f>IFERROR(INDEX('Docketed Comments'!L:L,MATCH(A922,'Docketed Comments'!H:H,0)),"")</f>
        <v>Yes</v>
      </c>
      <c r="P922" s="119">
        <f t="shared" si="28"/>
        <v>0</v>
      </c>
      <c r="Q922" s="60"/>
      <c r="R922" s="64" t="s">
        <v>75</v>
      </c>
      <c r="S922" s="64" t="s">
        <v>1965</v>
      </c>
    </row>
    <row r="923" spans="1:19" ht="21.95" customHeight="1">
      <c r="A923" s="66" t="s">
        <v>1966</v>
      </c>
      <c r="B923" s="64"/>
      <c r="C923" s="65"/>
      <c r="D923" s="64"/>
      <c r="E923" s="64"/>
      <c r="F923" s="60"/>
      <c r="G923" s="60" t="s">
        <v>88</v>
      </c>
      <c r="H923" s="60" t="str">
        <f>IFERROR(INDEX('Docketed Comments'!C:C,MATCH(A923,'Docketed Comments'!H:H,0))&amp;", "&amp;INDEX('Docketed Comments'!B:B,MATCH(A923,'Docketed Comments'!H:H,0)),"")</f>
        <v>Sheri, Avery</v>
      </c>
      <c r="I923" s="60" t="str">
        <f>IFERROR(INDEX('Docketed Comments'!D:D,MATCH(A923,'Docketed Comments'!H:H,0)),"")</f>
        <v>Phoenix</v>
      </c>
      <c r="J923" s="60" t="str">
        <f>IFERROR(INDEX('Docketed Comments'!I:I,MATCH(A923,'Docketed Comments'!H:H,0)),"")</f>
        <v>R3-47</v>
      </c>
      <c r="K923" s="60" t="str">
        <f t="shared" si="29"/>
        <v>✅ On Best Plan</v>
      </c>
      <c r="L923" s="60" t="str">
        <f>IFERROR(INDEX('Docketed Comments'!F:F,MATCH(A923,'Docketed Comments'!H:H,0)),"")</f>
        <v>Some of us are barely making ends meet as it is already! Please vote NO to APS!!</v>
      </c>
      <c r="M923" s="120" t="str">
        <f>IFERROR(INDEX('Docketed Comments'!G:G,MATCH(A923,'Docketed Comments'!H:H,0)),"")</f>
        <v>https://docket.images.azcc.gov/E000048921.pdf</v>
      </c>
      <c r="N923" s="118" t="str">
        <f>IFERROR(INDEX('Docketed Comments'!N:N,MATCH(A923,'Docketed Comments'!H:H,0)),"")</f>
        <v>No</v>
      </c>
      <c r="O923" s="118" t="str">
        <f>IFERROR(INDEX('Docketed Comments'!L:L,MATCH(A923,'Docketed Comments'!H:H,0)),"")</f>
        <v>Yes</v>
      </c>
      <c r="P923" s="119">
        <f t="shared" si="28"/>
        <v>0</v>
      </c>
      <c r="Q923" s="60"/>
      <c r="R923" s="64" t="s">
        <v>75</v>
      </c>
      <c r="S923" s="64" t="s">
        <v>1967</v>
      </c>
    </row>
    <row r="924" spans="1:19" ht="21.95" customHeight="1">
      <c r="A924" s="66" t="s">
        <v>1968</v>
      </c>
      <c r="B924" s="64"/>
      <c r="C924" s="65"/>
      <c r="D924" s="64"/>
      <c r="E924" s="64"/>
      <c r="F924" s="60"/>
      <c r="G924" s="60" t="s">
        <v>88</v>
      </c>
      <c r="H924" s="60" t="str">
        <f>IFERROR(INDEX('Docketed Comments'!C:C,MATCH(A924,'Docketed Comments'!H:H,0))&amp;", "&amp;INDEX('Docketed Comments'!B:B,MATCH(A924,'Docketed Comments'!H:H,0)),"")</f>
        <v>Debra, Parks</v>
      </c>
      <c r="I924" s="60" t="str">
        <f>IFERROR(INDEX('Docketed Comments'!D:D,MATCH(A924,'Docketed Comments'!H:H,0)),"")</f>
        <v>Peoria</v>
      </c>
      <c r="J924" s="60" t="str">
        <f>IFERROR(INDEX('Docketed Comments'!I:I,MATCH(A924,'Docketed Comments'!H:H,0)),"")</f>
        <v>R3-47</v>
      </c>
      <c r="K924" s="60" t="str">
        <f t="shared" si="29"/>
        <v>✅ On Best Plan</v>
      </c>
      <c r="L924" s="60" t="str">
        <f>IFERROR(INDEX('Docketed Comments'!F:F,MATCH(A924,'Docketed Comments'!H:H,0)),"")</f>
        <v>Drop some of your expensive sponsorships that benefit few of us and keep your rates the same.</v>
      </c>
      <c r="M924" s="120" t="str">
        <f>IFERROR(INDEX('Docketed Comments'!G:G,MATCH(A924,'Docketed Comments'!H:H,0)),"")</f>
        <v>https://docket.images.azcc.gov/E000048921.pdf</v>
      </c>
      <c r="N924" s="118" t="str">
        <f>IFERROR(INDEX('Docketed Comments'!N:N,MATCH(A924,'Docketed Comments'!H:H,0)),"")</f>
        <v>No</v>
      </c>
      <c r="O924" s="118" t="str">
        <f>IFERROR(INDEX('Docketed Comments'!L:L,MATCH(A924,'Docketed Comments'!H:H,0)),"")</f>
        <v>Yes</v>
      </c>
      <c r="P924" s="119">
        <f t="shared" si="28"/>
        <v>0</v>
      </c>
      <c r="Q924" s="60"/>
      <c r="R924" s="64" t="s">
        <v>75</v>
      </c>
      <c r="S924" s="64" t="s">
        <v>1969</v>
      </c>
    </row>
    <row r="925" spans="1:19" ht="21.95" customHeight="1">
      <c r="A925" s="66" t="s">
        <v>1970</v>
      </c>
      <c r="B925" s="64"/>
      <c r="C925" s="65"/>
      <c r="D925" s="64"/>
      <c r="E925" s="64"/>
      <c r="F925" s="60"/>
      <c r="G925" s="60" t="s">
        <v>88</v>
      </c>
      <c r="H925" s="60" t="str">
        <f>IFERROR(INDEX('Docketed Comments'!C:C,MATCH(A925,'Docketed Comments'!H:H,0))&amp;", "&amp;INDEX('Docketed Comments'!B:B,MATCH(A925,'Docketed Comments'!H:H,0)),"")</f>
        <v>Sherrie, Hubler</v>
      </c>
      <c r="I925" s="60" t="str">
        <f>IFERROR(INDEX('Docketed Comments'!D:D,MATCH(A925,'Docketed Comments'!H:H,0)),"")</f>
        <v>Phoenix</v>
      </c>
      <c r="J925" s="60" t="str">
        <f>IFERROR(INDEX('Docketed Comments'!I:I,MATCH(A925,'Docketed Comments'!H:H,0)),"")</f>
        <v>R3-47</v>
      </c>
      <c r="K925" s="60" t="str">
        <f t="shared" si="29"/>
        <v>✅ On Best Plan</v>
      </c>
      <c r="L925" s="60" t="str">
        <f>IFERROR(INDEX('Docketed Comments'!F:F,MATCH(A925,'Docketed Comments'!H:H,0)),"")</f>
        <v xml:space="preserve">Notes company revenue, executive order to re-open Cholla, donations to Katie Hobbs and Kari Lake. </v>
      </c>
      <c r="M925" s="120" t="str">
        <f>IFERROR(INDEX('Docketed Comments'!G:G,MATCH(A925,'Docketed Comments'!H:H,0)),"")</f>
        <v>https://docket.images.azcc.gov/E000048921.pdf</v>
      </c>
      <c r="N925" s="118" t="str">
        <f>IFERROR(INDEX('Docketed Comments'!N:N,MATCH(A925,'Docketed Comments'!H:H,0)),"")</f>
        <v>No</v>
      </c>
      <c r="O925" s="118" t="str">
        <f>IFERROR(INDEX('Docketed Comments'!L:L,MATCH(A925,'Docketed Comments'!H:H,0)),"")</f>
        <v>Yes</v>
      </c>
      <c r="P925" s="119">
        <f t="shared" si="28"/>
        <v>0</v>
      </c>
      <c r="Q925" s="60"/>
      <c r="R925" s="64" t="s">
        <v>75</v>
      </c>
      <c r="S925" s="64" t="s">
        <v>1971</v>
      </c>
    </row>
    <row r="926" spans="1:19" ht="21.95" customHeight="1">
      <c r="A926" s="66" t="s">
        <v>1972</v>
      </c>
      <c r="B926" s="64"/>
      <c r="C926" s="65"/>
      <c r="D926" s="64"/>
      <c r="E926" s="64"/>
      <c r="F926" s="60"/>
      <c r="G926" s="60" t="s">
        <v>88</v>
      </c>
      <c r="H926" s="60" t="str">
        <f>IFERROR(INDEX('Docketed Comments'!C:C,MATCH(A926,'Docketed Comments'!H:H,0))&amp;", "&amp;INDEX('Docketed Comments'!B:B,MATCH(A926,'Docketed Comments'!H:H,0)),"")</f>
        <v>Susan, Amaro</v>
      </c>
      <c r="I926" s="60" t="str">
        <f>IFERROR(INDEX('Docketed Comments'!D:D,MATCH(A926,'Docketed Comments'!H:H,0)),"")</f>
        <v>Peoria</v>
      </c>
      <c r="J926" s="60" t="str">
        <f>IFERROR(INDEX('Docketed Comments'!I:I,MATCH(A926,'Docketed Comments'!H:H,0)),"")</f>
        <v>R-XS</v>
      </c>
      <c r="K926" s="60" t="str">
        <f t="shared" si="29"/>
        <v>✅ On Best Plan</v>
      </c>
      <c r="L926" s="60" t="str">
        <f>IFERROR(INDEX('Docketed Comments'!F:F,MATCH(A926,'Docketed Comments'!H:H,0)),"")</f>
        <v>I have only one limited income to keep my home warm in the winter and especiall cooler in the hot hot summer months</v>
      </c>
      <c r="M926" s="120" t="str">
        <f>IFERROR(INDEX('Docketed Comments'!G:G,MATCH(A926,'Docketed Comments'!H:H,0)),"")</f>
        <v>https://docket.images.azcc.gov/E000048921.pdf</v>
      </c>
      <c r="N926" s="118" t="str">
        <f>IFERROR(INDEX('Docketed Comments'!N:N,MATCH(A926,'Docketed Comments'!H:H,0)),"")</f>
        <v>No</v>
      </c>
      <c r="O926" s="118" t="str">
        <f>IFERROR(INDEX('Docketed Comments'!L:L,MATCH(A926,'Docketed Comments'!H:H,0)),"")</f>
        <v>Yes</v>
      </c>
      <c r="P926" s="119">
        <f t="shared" si="28"/>
        <v>0</v>
      </c>
      <c r="Q926" s="60"/>
      <c r="R926" s="64" t="s">
        <v>75</v>
      </c>
      <c r="S926" s="64" t="s">
        <v>1973</v>
      </c>
    </row>
    <row r="927" spans="1:19" ht="21.95" customHeight="1">
      <c r="A927" s="66" t="s">
        <v>1974</v>
      </c>
      <c r="B927" s="64"/>
      <c r="C927" s="65"/>
      <c r="D927" s="64"/>
      <c r="E927" s="64"/>
      <c r="F927" s="60"/>
      <c r="G927" s="60" t="s">
        <v>88</v>
      </c>
      <c r="H927" s="60" t="str">
        <f>IFERROR(INDEX('Docketed Comments'!C:C,MATCH(A927,'Docketed Comments'!H:H,0))&amp;", "&amp;INDEX('Docketed Comments'!B:B,MATCH(A927,'Docketed Comments'!H:H,0)),"")</f>
        <v>Wyndy, Harris</v>
      </c>
      <c r="I927" s="60" t="str">
        <f>IFERROR(INDEX('Docketed Comments'!D:D,MATCH(A927,'Docketed Comments'!H:H,0)),"")</f>
        <v>Camp Verde</v>
      </c>
      <c r="J927" s="60" t="str">
        <f>IFERROR(INDEX('Docketed Comments'!I:I,MATCH(A927,'Docketed Comments'!H:H,0)),"")</f>
        <v>RCPw/RTOUE47</v>
      </c>
      <c r="K927" s="60" t="str">
        <f t="shared" si="29"/>
        <v>✅ On Best Plan</v>
      </c>
      <c r="L927" s="60" t="str">
        <f>IFERROR(INDEX('Docketed Comments'!F:F,MATCH(A927,'Docketed Comments'!H:H,0)),"")</f>
        <v>Enough is enough. People are at the limit, trying to make ends meet.</v>
      </c>
      <c r="M927" s="120" t="str">
        <f>IFERROR(INDEX('Docketed Comments'!G:G,MATCH(A927,'Docketed Comments'!H:H,0)),"")</f>
        <v>https://docket.images.azcc.gov/E000048921.pdf</v>
      </c>
      <c r="N927" s="118" t="str">
        <f>IFERROR(INDEX('Docketed Comments'!N:N,MATCH(A927,'Docketed Comments'!H:H,0)),"")</f>
        <v>No</v>
      </c>
      <c r="O927" s="118" t="str">
        <f>IFERROR(INDEX('Docketed Comments'!L:L,MATCH(A927,'Docketed Comments'!H:H,0)),"")</f>
        <v>Yes</v>
      </c>
      <c r="P927" s="119">
        <f t="shared" si="28"/>
        <v>0</v>
      </c>
      <c r="Q927" s="60"/>
      <c r="R927" s="64" t="s">
        <v>75</v>
      </c>
      <c r="S927" s="64" t="s">
        <v>1975</v>
      </c>
    </row>
    <row r="928" spans="1:19" ht="21.95" customHeight="1">
      <c r="A928" s="66" t="s">
        <v>1976</v>
      </c>
      <c r="B928" s="64"/>
      <c r="C928" s="65"/>
      <c r="D928" s="64"/>
      <c r="E928" s="64"/>
      <c r="F928" s="60"/>
      <c r="G928" s="60" t="s">
        <v>88</v>
      </c>
      <c r="H928" s="60" t="str">
        <f>IFERROR(INDEX('Docketed Comments'!C:C,MATCH(A928,'Docketed Comments'!H:H,0))&amp;", "&amp;INDEX('Docketed Comments'!B:B,MATCH(A928,'Docketed Comments'!H:H,0)),"")</f>
        <v>Anthony, Sadolfo</v>
      </c>
      <c r="I928" s="60" t="str">
        <f>IFERROR(INDEX('Docketed Comments'!D:D,MATCH(A928,'Docketed Comments'!H:H,0)),"")</f>
        <v>Phoenix</v>
      </c>
      <c r="J928" s="60" t="str">
        <f>IFERROR(INDEX('Docketed Comments'!I:I,MATCH(A928,'Docketed Comments'!H:H,0)),"")</f>
        <v>EPR6w/ET-2</v>
      </c>
      <c r="K928" s="60" t="str">
        <f t="shared" si="29"/>
        <v>⚠ Frozen Plan</v>
      </c>
      <c r="L928" s="60" t="str">
        <f>IFERROR(INDEX('Docketed Comments'!F:F,MATCH(A928,'Docketed Comments'!H:H,0)),"")</f>
        <v>As a military veteran and current government employee, we only received a 1% raise for 2026</v>
      </c>
      <c r="M928" s="120" t="str">
        <f>IFERROR(INDEX('Docketed Comments'!G:G,MATCH(A928,'Docketed Comments'!H:H,0)),"")</f>
        <v>https://docket.images.azcc.gov/E000048921.pdf</v>
      </c>
      <c r="N928" s="118" t="str">
        <f>IFERROR(INDEX('Docketed Comments'!N:N,MATCH(A928,'Docketed Comments'!H:H,0)),"")</f>
        <v>No</v>
      </c>
      <c r="O928" s="118" t="str">
        <f>IFERROR(INDEX('Docketed Comments'!L:L,MATCH(A928,'Docketed Comments'!H:H,0)),"")</f>
        <v>Frozen Plan</v>
      </c>
      <c r="P928" s="119">
        <f t="shared" si="28"/>
        <v>0</v>
      </c>
      <c r="Q928" s="60"/>
      <c r="R928" s="64" t="s">
        <v>75</v>
      </c>
      <c r="S928" s="64" t="s">
        <v>1977</v>
      </c>
    </row>
    <row r="929" spans="1:19" ht="21.95" customHeight="1">
      <c r="A929" s="66" t="s">
        <v>1978</v>
      </c>
      <c r="B929" s="64"/>
      <c r="C929" s="65"/>
      <c r="D929" s="64"/>
      <c r="E929" s="64"/>
      <c r="F929" s="60"/>
      <c r="G929" s="60" t="s">
        <v>88</v>
      </c>
      <c r="H929" s="60" t="str">
        <f>IFERROR(INDEX('Docketed Comments'!C:C,MATCH(A929,'Docketed Comments'!H:H,0))&amp;", "&amp;INDEX('Docketed Comments'!B:B,MATCH(A929,'Docketed Comments'!H:H,0)),"")</f>
        <v>Eric, Busby</v>
      </c>
      <c r="I929" s="60" t="str">
        <f>IFERROR(INDEX('Docketed Comments'!D:D,MATCH(A929,'Docketed Comments'!H:H,0)),"")</f>
        <v>Phoenix</v>
      </c>
      <c r="J929" s="60" t="str">
        <f>IFERROR(INDEX('Docketed Comments'!I:I,MATCH(A929,'Docketed Comments'!H:H,0)),"")</f>
        <v>R3-47</v>
      </c>
      <c r="K929" s="60" t="str">
        <f t="shared" si="29"/>
        <v>✅ On Best Plan</v>
      </c>
      <c r="L929" s="60" t="str">
        <f>IFERROR(INDEX('Docketed Comments'!F:F,MATCH(A929,'Docketed Comments'!H:H,0)),"")</f>
        <v>Public utilities along with a mortgage and food are necessities. Controlling the cost of these things is a must.</v>
      </c>
      <c r="M929" s="120" t="str">
        <f>IFERROR(INDEX('Docketed Comments'!G:G,MATCH(A929,'Docketed Comments'!H:H,0)),"")</f>
        <v>https://docket.images.azcc.gov/E000048921.pdf</v>
      </c>
      <c r="N929" s="118" t="str">
        <f>IFERROR(INDEX('Docketed Comments'!N:N,MATCH(A929,'Docketed Comments'!H:H,0)),"")</f>
        <v>No</v>
      </c>
      <c r="O929" s="118" t="str">
        <f>IFERROR(INDEX('Docketed Comments'!L:L,MATCH(A929,'Docketed Comments'!H:H,0)),"")</f>
        <v>Yes</v>
      </c>
      <c r="P929" s="119">
        <f t="shared" si="28"/>
        <v>0</v>
      </c>
      <c r="Q929" s="60"/>
      <c r="R929" s="64" t="s">
        <v>75</v>
      </c>
      <c r="S929" s="64" t="s">
        <v>1979</v>
      </c>
    </row>
    <row r="930" spans="1:19" ht="21.95" customHeight="1">
      <c r="A930" s="66" t="s">
        <v>1980</v>
      </c>
      <c r="B930" s="64"/>
      <c r="C930" s="65"/>
      <c r="D930" s="64"/>
      <c r="E930" s="64"/>
      <c r="F930" s="60"/>
      <c r="G930" s="60" t="s">
        <v>88</v>
      </c>
      <c r="H930" s="60" t="str">
        <f>IFERROR(INDEX('Docketed Comments'!C:C,MATCH(A930,'Docketed Comments'!H:H,0))&amp;", "&amp;INDEX('Docketed Comments'!B:B,MATCH(A930,'Docketed Comments'!H:H,0)),"")</f>
        <v>Steven, Young</v>
      </c>
      <c r="I930" s="60" t="str">
        <f>IFERROR(INDEX('Docketed Comments'!D:D,MATCH(A930,'Docketed Comments'!H:H,0)),"")</f>
        <v>Surprise</v>
      </c>
      <c r="J930" s="60" t="str">
        <f>IFERROR(INDEX('Docketed Comments'!I:I,MATCH(A930,'Docketed Comments'!H:H,0)),"")</f>
        <v>R-XS</v>
      </c>
      <c r="K930" s="60" t="str">
        <f t="shared" si="29"/>
        <v>✅ On Best Plan</v>
      </c>
      <c r="L930" s="60" t="str">
        <f>IFERROR(INDEX('Docketed Comments'!F:F,MATCH(A930,'Docketed Comments'!H:H,0)),"")</f>
        <v>The 14% rate hike your company is asking for is uncalled for. You raised your rate last year.</v>
      </c>
      <c r="M930" s="120" t="str">
        <f>IFERROR(INDEX('Docketed Comments'!G:G,MATCH(A930,'Docketed Comments'!H:H,0)),"")</f>
        <v>https://docket.images.azcc.gov/E000048921.pdf</v>
      </c>
      <c r="N930" s="118" t="str">
        <f>IFERROR(INDEX('Docketed Comments'!N:N,MATCH(A930,'Docketed Comments'!H:H,0)),"")</f>
        <v>No</v>
      </c>
      <c r="O930" s="118" t="str">
        <f>IFERROR(INDEX('Docketed Comments'!L:L,MATCH(A930,'Docketed Comments'!H:H,0)),"")</f>
        <v>Yes</v>
      </c>
      <c r="P930" s="119">
        <f t="shared" si="28"/>
        <v>0</v>
      </c>
      <c r="Q930" s="60"/>
      <c r="R930" s="64" t="s">
        <v>75</v>
      </c>
      <c r="S930" s="64" t="s">
        <v>1981</v>
      </c>
    </row>
    <row r="931" spans="1:19" ht="21.95" customHeight="1">
      <c r="A931" s="66" t="s">
        <v>1982</v>
      </c>
      <c r="B931" s="64"/>
      <c r="C931" s="65"/>
      <c r="D931" s="64"/>
      <c r="E931" s="64"/>
      <c r="F931" s="60"/>
      <c r="G931" s="60" t="s">
        <v>88</v>
      </c>
      <c r="H931" s="60" t="str">
        <f>IFERROR(INDEX('Docketed Comments'!C:C,MATCH(A931,'Docketed Comments'!H:H,0))&amp;", "&amp;INDEX('Docketed Comments'!B:B,MATCH(A931,'Docketed Comments'!H:H,0)),"")</f>
        <v>Jay, Helie</v>
      </c>
      <c r="I931" s="60" t="str">
        <f>IFERROR(INDEX('Docketed Comments'!D:D,MATCH(A931,'Docketed Comments'!H:H,0)),"")</f>
        <v>Seligman</v>
      </c>
      <c r="J931" s="60" t="str">
        <f>IFERROR(INDEX('Docketed Comments'!I:I,MATCH(A931,'Docketed Comments'!H:H,0)),"")</f>
        <v>R3-47</v>
      </c>
      <c r="K931" s="60" t="str">
        <f t="shared" si="29"/>
        <v>✅ On Best Plan</v>
      </c>
      <c r="L931" s="60" t="str">
        <f>IFERROR(INDEX('Docketed Comments'!F:F,MATCH(A931,'Docketed Comments'!H:H,0)),"")</f>
        <v>Who in there right mind would vote Democrat and higher rates, there isn't any God nor the people in these price gougers</v>
      </c>
      <c r="M931" s="120" t="str">
        <f>IFERROR(INDEX('Docketed Comments'!G:G,MATCH(A931,'Docketed Comments'!H:H,0)),"")</f>
        <v>https://docket.images.azcc.gov/E000048921.pdf</v>
      </c>
      <c r="N931" s="118" t="str">
        <f>IFERROR(INDEX('Docketed Comments'!N:N,MATCH(A931,'Docketed Comments'!H:H,0)),"")</f>
        <v>No</v>
      </c>
      <c r="O931" s="118" t="str">
        <f>IFERROR(INDEX('Docketed Comments'!L:L,MATCH(A931,'Docketed Comments'!H:H,0)),"")</f>
        <v>Yes</v>
      </c>
      <c r="P931" s="119">
        <f t="shared" si="28"/>
        <v>0</v>
      </c>
      <c r="Q931" s="60"/>
      <c r="R931" s="64" t="s">
        <v>75</v>
      </c>
      <c r="S931" s="64" t="s">
        <v>1983</v>
      </c>
    </row>
    <row r="932" spans="1:19" ht="21.95" customHeight="1">
      <c r="A932" s="66" t="s">
        <v>1984</v>
      </c>
      <c r="B932" s="64"/>
      <c r="C932" s="65"/>
      <c r="D932" s="64"/>
      <c r="E932" s="64"/>
      <c r="F932" s="60"/>
      <c r="G932" s="60" t="s">
        <v>88</v>
      </c>
      <c r="H932" s="60" t="str">
        <f>IFERROR(INDEX('Docketed Comments'!C:C,MATCH(A932,'Docketed Comments'!H:H,0))&amp;", "&amp;INDEX('Docketed Comments'!B:B,MATCH(A932,'Docketed Comments'!H:H,0)),"")</f>
        <v>Debra, Hanlon</v>
      </c>
      <c r="I932" s="60" t="str">
        <f>IFERROR(INDEX('Docketed Comments'!D:D,MATCH(A932,'Docketed Comments'!H:H,0)),"")</f>
        <v>Rimrock</v>
      </c>
      <c r="J932" s="60" t="str">
        <f>IFERROR(INDEX('Docketed Comments'!I:I,MATCH(A932,'Docketed Comments'!H:H,0)),"")</f>
        <v>R-XS</v>
      </c>
      <c r="K932" s="60" t="str">
        <f t="shared" si="29"/>
        <v>✅ On Best Plan</v>
      </c>
      <c r="L932" s="60" t="str">
        <f>IFERROR(INDEX('Docketed Comments'!F:F,MATCH(A932,'Docketed Comments'!H:H,0)),"")</f>
        <v>I am a 71 year old senior and my Social security is $956.00 a month. I am having trouble keeping my electric bill paid now</v>
      </c>
      <c r="M932" s="120" t="str">
        <f>IFERROR(INDEX('Docketed Comments'!G:G,MATCH(A932,'Docketed Comments'!H:H,0)),"")</f>
        <v>https://docket.images.azcc.gov/E000048921.pdf</v>
      </c>
      <c r="N932" s="118" t="str">
        <f>IFERROR(INDEX('Docketed Comments'!N:N,MATCH(A932,'Docketed Comments'!H:H,0)),"")</f>
        <v>No</v>
      </c>
      <c r="O932" s="118" t="str">
        <f>IFERROR(INDEX('Docketed Comments'!L:L,MATCH(A932,'Docketed Comments'!H:H,0)),"")</f>
        <v>Yes</v>
      </c>
      <c r="P932" s="119">
        <f t="shared" si="28"/>
        <v>0</v>
      </c>
      <c r="Q932" s="60"/>
      <c r="R932" s="64" t="s">
        <v>75</v>
      </c>
      <c r="S932" s="64" t="s">
        <v>1985</v>
      </c>
    </row>
    <row r="933" spans="1:19" ht="21.95" customHeight="1">
      <c r="A933" s="66" t="s">
        <v>1986</v>
      </c>
      <c r="B933" s="64"/>
      <c r="C933" s="65"/>
      <c r="D933" s="64"/>
      <c r="E933" s="64"/>
      <c r="F933" s="60"/>
      <c r="G933" s="60" t="s">
        <v>88</v>
      </c>
      <c r="H933" s="60" t="str">
        <f>IFERROR(INDEX('Docketed Comments'!C:C,MATCH(A933,'Docketed Comments'!H:H,0))&amp;", "&amp;INDEX('Docketed Comments'!B:B,MATCH(A933,'Docketed Comments'!H:H,0)),"")</f>
        <v>Lawrence, Chester</v>
      </c>
      <c r="I933" s="60" t="str">
        <f>IFERROR(INDEX('Docketed Comments'!D:D,MATCH(A933,'Docketed Comments'!H:H,0)),"")</f>
        <v>Goodyear</v>
      </c>
      <c r="J933" s="60" t="str">
        <f>IFERROR(INDEX('Docketed Comments'!I:I,MATCH(A933,'Docketed Comments'!H:H,0)),"")</f>
        <v>EPR6w/ECT-2</v>
      </c>
      <c r="K933" s="60" t="str">
        <f t="shared" si="29"/>
        <v>⚠ Frozen Plan</v>
      </c>
      <c r="L933" s="60" t="str">
        <f>IFERROR(INDEX('Docketed Comments'!F:F,MATCH(A933,'Docketed Comments'!H:H,0)),"")</f>
        <v>When is enough enough ? The price is already at an all time high. No more increase</v>
      </c>
      <c r="M933" s="120" t="str">
        <f>IFERROR(INDEX('Docketed Comments'!G:G,MATCH(A933,'Docketed Comments'!H:H,0)),"")</f>
        <v>https://docket.images.azcc.gov/E000048921.pdf</v>
      </c>
      <c r="N933" s="118" t="str">
        <f>IFERROR(INDEX('Docketed Comments'!N:N,MATCH(A933,'Docketed Comments'!H:H,0)),"")</f>
        <v>No</v>
      </c>
      <c r="O933" s="118" t="str">
        <f>IFERROR(INDEX('Docketed Comments'!L:L,MATCH(A933,'Docketed Comments'!H:H,0)),"")</f>
        <v>Frozen Plan</v>
      </c>
      <c r="P933" s="119">
        <f t="shared" si="28"/>
        <v>0</v>
      </c>
      <c r="Q933" s="60"/>
      <c r="R933" s="64" t="s">
        <v>75</v>
      </c>
      <c r="S933" s="64" t="s">
        <v>1987</v>
      </c>
    </row>
    <row r="934" spans="1:19" ht="21.95" customHeight="1">
      <c r="A934" s="66" t="s">
        <v>1988</v>
      </c>
      <c r="B934" s="64"/>
      <c r="C934" s="65"/>
      <c r="D934" s="64"/>
      <c r="E934" s="64"/>
      <c r="F934" s="60"/>
      <c r="G934" s="60" t="s">
        <v>88</v>
      </c>
      <c r="H934" s="60" t="str">
        <f>IFERROR(INDEX('Docketed Comments'!C:C,MATCH(A934,'Docketed Comments'!H:H,0))&amp;", "&amp;INDEX('Docketed Comments'!B:B,MATCH(A934,'Docketed Comments'!H:H,0)),"")</f>
        <v>Andrea, Davis</v>
      </c>
      <c r="I934" s="60" t="str">
        <f>IFERROR(INDEX('Docketed Comments'!D:D,MATCH(A934,'Docketed Comments'!H:H,0)),"")</f>
        <v>Surprise</v>
      </c>
      <c r="J934" s="60" t="str">
        <f>IFERROR(INDEX('Docketed Comments'!I:I,MATCH(A934,'Docketed Comments'!H:H,0)),"")</f>
        <v>EPR6w/ECT-2</v>
      </c>
      <c r="K934" s="60" t="str">
        <f t="shared" si="29"/>
        <v>⚠ Frozen Plan</v>
      </c>
      <c r="L934" s="60" t="str">
        <f>IFERROR(INDEX('Docketed Comments'!F:F,MATCH(A934,'Docketed Comments'!H:H,0)),"")</f>
        <v xml:space="preserve">we cannot lower the A/C enough to stay cool in the summer. Sleeping in temps above 70 are not optimal for our health and well being and feeling rested. </v>
      </c>
      <c r="M934" s="120" t="str">
        <f>IFERROR(INDEX('Docketed Comments'!G:G,MATCH(A934,'Docketed Comments'!H:H,0)),"")</f>
        <v>https://docket.images.azcc.gov/E000048921.pdf</v>
      </c>
      <c r="N934" s="118" t="str">
        <f>IFERROR(INDEX('Docketed Comments'!N:N,MATCH(A934,'Docketed Comments'!H:H,0)),"")</f>
        <v>No</v>
      </c>
      <c r="O934" s="118" t="str">
        <f>IFERROR(INDEX('Docketed Comments'!L:L,MATCH(A934,'Docketed Comments'!H:H,0)),"")</f>
        <v>Frozen Plan</v>
      </c>
      <c r="P934" s="119">
        <f t="shared" si="28"/>
        <v>0</v>
      </c>
      <c r="Q934" s="60"/>
      <c r="R934" s="64" t="s">
        <v>75</v>
      </c>
      <c r="S934" s="64" t="s">
        <v>1989</v>
      </c>
    </row>
    <row r="935" spans="1:19" ht="21.95" customHeight="1">
      <c r="A935" s="66" t="s">
        <v>1990</v>
      </c>
      <c r="B935" s="64"/>
      <c r="C935" s="65"/>
      <c r="D935" s="64"/>
      <c r="E935" s="64"/>
      <c r="F935" s="60"/>
      <c r="G935" s="60" t="s">
        <v>88</v>
      </c>
      <c r="H935" s="60" t="str">
        <f>IFERROR(INDEX('Docketed Comments'!C:C,MATCH(A935,'Docketed Comments'!H:H,0))&amp;", "&amp;INDEX('Docketed Comments'!B:B,MATCH(A935,'Docketed Comments'!H:H,0)),"")</f>
        <v>David S, Vallejo</v>
      </c>
      <c r="I935" s="60" t="str">
        <f>IFERROR(INDEX('Docketed Comments'!D:D,MATCH(A935,'Docketed Comments'!H:H,0)),"")</f>
        <v>Yuma</v>
      </c>
      <c r="J935" s="60" t="str">
        <f>IFERROR(INDEX('Docketed Comments'!I:I,MATCH(A935,'Docketed Comments'!H:H,0)),"")</f>
        <v>RCPw/R3-47</v>
      </c>
      <c r="K935" s="60" t="str">
        <f t="shared" si="29"/>
        <v>✅ On Best Plan</v>
      </c>
      <c r="L935" s="60" t="str">
        <f>IFERROR(INDEX('Docketed Comments'!F:F,MATCH(A935,'Docketed Comments'!H:H,0)),"")</f>
        <v>I could agree to a rate increase if the salaries of the highest paid were lessened and bonuses across the board were eliminated.</v>
      </c>
      <c r="M935" s="120" t="str">
        <f>IFERROR(INDEX('Docketed Comments'!G:G,MATCH(A935,'Docketed Comments'!H:H,0)),"")</f>
        <v>https://docket.images.azcc.gov/E000048921.pdf</v>
      </c>
      <c r="N935" s="118" t="str">
        <f>IFERROR(INDEX('Docketed Comments'!N:N,MATCH(A935,'Docketed Comments'!H:H,0)),"")</f>
        <v>No</v>
      </c>
      <c r="O935" s="118" t="str">
        <f>IFERROR(INDEX('Docketed Comments'!L:L,MATCH(A935,'Docketed Comments'!H:H,0)),"")</f>
        <v>Yes</v>
      </c>
      <c r="P935" s="119">
        <f t="shared" si="28"/>
        <v>0</v>
      </c>
      <c r="Q935" s="60"/>
      <c r="R935" s="64" t="s">
        <v>75</v>
      </c>
      <c r="S935" s="64" t="s">
        <v>1991</v>
      </c>
    </row>
    <row r="936" spans="1:19" ht="21.95" customHeight="1">
      <c r="A936" s="66" t="s">
        <v>1992</v>
      </c>
      <c r="B936" s="64"/>
      <c r="C936" s="65"/>
      <c r="D936" s="64"/>
      <c r="E936" s="64"/>
      <c r="F936" s="60"/>
      <c r="G936" s="60" t="s">
        <v>88</v>
      </c>
      <c r="H936" s="60" t="str">
        <f>IFERROR(INDEX('Docketed Comments'!C:C,MATCH(A936,'Docketed Comments'!H:H,0))&amp;", "&amp;INDEX('Docketed Comments'!B:B,MATCH(A936,'Docketed Comments'!H:H,0)),"")</f>
        <v>Robert E, Benge</v>
      </c>
      <c r="I936" s="60" t="str">
        <f>IFERROR(INDEX('Docketed Comments'!D:D,MATCH(A936,'Docketed Comments'!H:H,0)),"")</f>
        <v>Surprise</v>
      </c>
      <c r="J936" s="60" t="str">
        <f>IFERROR(INDEX('Docketed Comments'!I:I,MATCH(A936,'Docketed Comments'!H:H,0)),"")</f>
        <v>R3-47</v>
      </c>
      <c r="K936" s="60" t="str">
        <f t="shared" si="29"/>
        <v>✅ On Best Plan</v>
      </c>
      <c r="L936" s="60" t="str">
        <f>IFERROR(INDEX('Docketed Comments'!F:F,MATCH(A936,'Docketed Comments'!H:H,0)),"")</f>
        <v>Power is hi enough</v>
      </c>
      <c r="M936" s="120" t="str">
        <f>IFERROR(INDEX('Docketed Comments'!G:G,MATCH(A936,'Docketed Comments'!H:H,0)),"")</f>
        <v>https://docket.images.azcc.gov/E000048921.pdf</v>
      </c>
      <c r="N936" s="118" t="str">
        <f>IFERROR(INDEX('Docketed Comments'!N:N,MATCH(A936,'Docketed Comments'!H:H,0)),"")</f>
        <v>No</v>
      </c>
      <c r="O936" s="118" t="str">
        <f>IFERROR(INDEX('Docketed Comments'!L:L,MATCH(A936,'Docketed Comments'!H:H,0)),"")</f>
        <v>Yes</v>
      </c>
      <c r="P936" s="119">
        <f t="shared" si="28"/>
        <v>0</v>
      </c>
      <c r="Q936" s="60"/>
      <c r="R936" s="64" t="s">
        <v>75</v>
      </c>
      <c r="S936" s="64" t="s">
        <v>1993</v>
      </c>
    </row>
    <row r="937" spans="1:19" ht="21.95" customHeight="1">
      <c r="A937" s="66" t="s">
        <v>1994</v>
      </c>
      <c r="B937" s="64"/>
      <c r="C937" s="65"/>
      <c r="D937" s="64"/>
      <c r="E937" s="64"/>
      <c r="F937" s="60"/>
      <c r="G937" s="60" t="s">
        <v>88</v>
      </c>
      <c r="H937" s="60" t="str">
        <f>IFERROR(INDEX('Docketed Comments'!C:C,MATCH(A937,'Docketed Comments'!H:H,0))&amp;", "&amp;INDEX('Docketed Comments'!B:B,MATCH(A937,'Docketed Comments'!H:H,0)),"")</f>
        <v>Debra, Gonzales</v>
      </c>
      <c r="I937" s="60" t="str">
        <f>IFERROR(INDEX('Docketed Comments'!D:D,MATCH(A937,'Docketed Comments'!H:H,0)),"")</f>
        <v>Glendale</v>
      </c>
      <c r="J937" s="60" t="str">
        <f>IFERROR(INDEX('Docketed Comments'!I:I,MATCH(A937,'Docketed Comments'!H:H,0)),"")</f>
        <v>RCPw/RTOUE</v>
      </c>
      <c r="K937" s="60" t="str">
        <f t="shared" si="29"/>
        <v>✅ On Best Plan</v>
      </c>
      <c r="L937" s="60" t="str">
        <f>IFERROR(INDEX('Docketed Comments'!F:F,MATCH(A937,'Docketed Comments'!H:H,0)),"")</f>
        <v>Senior on a fixed income... I will petition to not pass the rate hike. How much more do you need? Will blood be enough?</v>
      </c>
      <c r="M937" s="120" t="str">
        <f>IFERROR(INDEX('Docketed Comments'!G:G,MATCH(A937,'Docketed Comments'!H:H,0)),"")</f>
        <v>https://docket.images.azcc.gov/E000048921.pdf</v>
      </c>
      <c r="N937" s="118" t="str">
        <f>IFERROR(INDEX('Docketed Comments'!N:N,MATCH(A937,'Docketed Comments'!H:H,0)),"")</f>
        <v>No</v>
      </c>
      <c r="O937" s="118" t="str">
        <f>IFERROR(INDEX('Docketed Comments'!L:L,MATCH(A937,'Docketed Comments'!H:H,0)),"")</f>
        <v>Yes</v>
      </c>
      <c r="P937" s="119">
        <f t="shared" si="28"/>
        <v>0</v>
      </c>
      <c r="Q937" s="60"/>
      <c r="R937" s="64" t="s">
        <v>75</v>
      </c>
      <c r="S937" s="64" t="s">
        <v>1995</v>
      </c>
    </row>
    <row r="938" spans="1:19" ht="21.95" customHeight="1">
      <c r="A938" s="66" t="s">
        <v>1996</v>
      </c>
      <c r="B938" s="64"/>
      <c r="C938" s="65"/>
      <c r="D938" s="64"/>
      <c r="E938" s="64"/>
      <c r="F938" s="60"/>
      <c r="G938" s="60" t="s">
        <v>88</v>
      </c>
      <c r="H938" s="60" t="str">
        <f>IFERROR(INDEX('Docketed Comments'!C:C,MATCH(A938,'Docketed Comments'!H:H,0))&amp;", "&amp;INDEX('Docketed Comments'!B:B,MATCH(A938,'Docketed Comments'!H:H,0)),"")</f>
        <v>Carol, Krukovsky</v>
      </c>
      <c r="I938" s="60" t="str">
        <f>IFERROR(INDEX('Docketed Comments'!D:D,MATCH(A938,'Docketed Comments'!H:H,0)),"")</f>
        <v>Show Low</v>
      </c>
      <c r="J938" s="60" t="str">
        <f>IFERROR(INDEX('Docketed Comments'!I:I,MATCH(A938,'Docketed Comments'!H:H,0)),"")</f>
        <v>R3-47</v>
      </c>
      <c r="K938" s="60" t="str">
        <f t="shared" si="29"/>
        <v>✅ On Best Plan</v>
      </c>
      <c r="L938" s="60" t="str">
        <f>IFERROR(INDEX('Docketed Comments'!F:F,MATCH(A938,'Docketed Comments'!H:H,0)),"")</f>
        <v xml:space="preserve">Aps has raised our bills enough they need to be stopped people on social security can't afford it </v>
      </c>
      <c r="M938" s="120" t="str">
        <f>IFERROR(INDEX('Docketed Comments'!G:G,MATCH(A938,'Docketed Comments'!H:H,0)),"")</f>
        <v>https://docket.images.azcc.gov/E000048921.pdf</v>
      </c>
      <c r="N938" s="118" t="str">
        <f>IFERROR(INDEX('Docketed Comments'!N:N,MATCH(A938,'Docketed Comments'!H:H,0)),"")</f>
        <v>No</v>
      </c>
      <c r="O938" s="118" t="str">
        <f>IFERROR(INDEX('Docketed Comments'!L:L,MATCH(A938,'Docketed Comments'!H:H,0)),"")</f>
        <v>Yes</v>
      </c>
      <c r="P938" s="119">
        <f t="shared" si="28"/>
        <v>0</v>
      </c>
      <c r="Q938" s="60"/>
      <c r="R938" s="64" t="s">
        <v>75</v>
      </c>
      <c r="S938" s="64" t="s">
        <v>1997</v>
      </c>
    </row>
    <row r="939" spans="1:19" ht="21.95" customHeight="1">
      <c r="A939" s="66" t="s">
        <v>1998</v>
      </c>
      <c r="B939" s="64"/>
      <c r="C939" s="65"/>
      <c r="D939" s="64"/>
      <c r="E939" s="64"/>
      <c r="F939" s="60"/>
      <c r="G939" s="60" t="s">
        <v>88</v>
      </c>
      <c r="H939" s="60" t="str">
        <f>IFERROR(INDEX('Docketed Comments'!C:C,MATCH(A939,'Docketed Comments'!H:H,0))&amp;", "&amp;INDEX('Docketed Comments'!B:B,MATCH(A939,'Docketed Comments'!H:H,0)),"")</f>
        <v>Danica, Taylor</v>
      </c>
      <c r="I939" s="60" t="str">
        <f>IFERROR(INDEX('Docketed Comments'!D:D,MATCH(A939,'Docketed Comments'!H:H,0)),"")</f>
        <v>Surprise</v>
      </c>
      <c r="J939" s="60" t="str">
        <f>IFERROR(INDEX('Docketed Comments'!I:I,MATCH(A939,'Docketed Comments'!H:H,0)),"")</f>
        <v>R3-47</v>
      </c>
      <c r="K939" s="60" t="str">
        <f t="shared" si="29"/>
        <v>✅ On Best Plan</v>
      </c>
      <c r="L939" s="60" t="str">
        <f>IFERROR(INDEX('Docketed Comments'!F:F,MATCH(A939,'Docketed Comments'!H:H,0)),"")</f>
        <v>Utility prices are high enough and your profit margin is also high enough.</v>
      </c>
      <c r="M939" s="120" t="str">
        <f>IFERROR(INDEX('Docketed Comments'!G:G,MATCH(A939,'Docketed Comments'!H:H,0)),"")</f>
        <v>https://docket.images.azcc.gov/E000048921.pdf</v>
      </c>
      <c r="N939" s="118" t="str">
        <f>IFERROR(INDEX('Docketed Comments'!N:N,MATCH(A939,'Docketed Comments'!H:H,0)),"")</f>
        <v>No</v>
      </c>
      <c r="O939" s="118" t="str">
        <f>IFERROR(INDEX('Docketed Comments'!L:L,MATCH(A939,'Docketed Comments'!H:H,0)),"")</f>
        <v>Yes</v>
      </c>
      <c r="P939" s="119">
        <f t="shared" si="28"/>
        <v>0</v>
      </c>
      <c r="Q939" s="60"/>
      <c r="R939" s="64" t="s">
        <v>75</v>
      </c>
      <c r="S939" s="64" t="s">
        <v>1999</v>
      </c>
    </row>
    <row r="940" spans="1:19" ht="21.95" customHeight="1">
      <c r="A940" s="66" t="s">
        <v>2000</v>
      </c>
      <c r="B940" s="64"/>
      <c r="C940" s="65"/>
      <c r="D940" s="64"/>
      <c r="E940" s="64"/>
      <c r="F940" s="60"/>
      <c r="G940" s="60" t="s">
        <v>88</v>
      </c>
      <c r="H940" s="60" t="str">
        <f>IFERROR(INDEX('Docketed Comments'!C:C,MATCH(A940,'Docketed Comments'!H:H,0))&amp;", "&amp;INDEX('Docketed Comments'!B:B,MATCH(A940,'Docketed Comments'!H:H,0)),"")</f>
        <v>William, Foutch</v>
      </c>
      <c r="I940" s="60" t="str">
        <f>IFERROR(INDEX('Docketed Comments'!D:D,MATCH(A940,'Docketed Comments'!H:H,0)),"")</f>
        <v>Glendale</v>
      </c>
      <c r="J940" s="60" t="str">
        <f>IFERROR(INDEX('Docketed Comments'!I:I,MATCH(A940,'Docketed Comments'!H:H,0)),"")</f>
        <v>R3-47</v>
      </c>
      <c r="K940" s="60" t="str">
        <f t="shared" si="29"/>
        <v>✅ On Best Plan</v>
      </c>
      <c r="L940" s="60" t="str">
        <f>IFERROR(INDEX('Docketed Comments'!F:F,MATCH(A940,'Docketed Comments'!H:H,0)),"")</f>
        <v xml:space="preserve"> Everytime we turn around our rates go up. Enough is enough</v>
      </c>
      <c r="M940" s="120" t="str">
        <f>IFERROR(INDEX('Docketed Comments'!G:G,MATCH(A940,'Docketed Comments'!H:H,0)),"")</f>
        <v>https://docket.images.azcc.gov/E000048921.pdf</v>
      </c>
      <c r="N940" s="118" t="str">
        <f>IFERROR(INDEX('Docketed Comments'!N:N,MATCH(A940,'Docketed Comments'!H:H,0)),"")</f>
        <v>No</v>
      </c>
      <c r="O940" s="118" t="str">
        <f>IFERROR(INDEX('Docketed Comments'!L:L,MATCH(A940,'Docketed Comments'!H:H,0)),"")</f>
        <v>Yes</v>
      </c>
      <c r="P940" s="119">
        <f t="shared" si="28"/>
        <v>0</v>
      </c>
      <c r="Q940" s="60"/>
      <c r="R940" s="64" t="s">
        <v>75</v>
      </c>
      <c r="S940" s="64" t="s">
        <v>2001</v>
      </c>
    </row>
    <row r="941" spans="1:19" ht="21.95" customHeight="1">
      <c r="A941" s="66" t="s">
        <v>2002</v>
      </c>
      <c r="B941" s="64"/>
      <c r="C941" s="65"/>
      <c r="D941" s="64"/>
      <c r="E941" s="64"/>
      <c r="F941" s="60"/>
      <c r="G941" s="60" t="s">
        <v>88</v>
      </c>
      <c r="H941" s="60" t="str">
        <f>IFERROR(INDEX('Docketed Comments'!C:C,MATCH(A941,'Docketed Comments'!H:H,0))&amp;", "&amp;INDEX('Docketed Comments'!B:B,MATCH(A941,'Docketed Comments'!H:H,0)),"")</f>
        <v>Wayne, Klaus</v>
      </c>
      <c r="I941" s="60" t="str">
        <f>IFERROR(INDEX('Docketed Comments'!D:D,MATCH(A941,'Docketed Comments'!H:H,0)),"")</f>
        <v>Sun City</v>
      </c>
      <c r="J941" s="60" t="str">
        <f>IFERROR(INDEX('Docketed Comments'!I:I,MATCH(A941,'Docketed Comments'!H:H,0)),"")</f>
        <v>R-2</v>
      </c>
      <c r="K941" s="60" t="str">
        <f t="shared" si="29"/>
        <v>⚠ Frozen Plan</v>
      </c>
      <c r="L941" s="60" t="str">
        <f>IFERROR(INDEX('Docketed Comments'!F:F,MATCH(A941,'Docketed Comments'!H:H,0)),"")</f>
        <v>Don't raise rates!</v>
      </c>
      <c r="M941" s="120" t="str">
        <f>IFERROR(INDEX('Docketed Comments'!G:G,MATCH(A941,'Docketed Comments'!H:H,0)),"")</f>
        <v>https://docket.images.azcc.gov/E000048921.pdf</v>
      </c>
      <c r="N941" s="118" t="str">
        <f>IFERROR(INDEX('Docketed Comments'!N:N,MATCH(A941,'Docketed Comments'!H:H,0)),"")</f>
        <v>No</v>
      </c>
      <c r="O941" s="118" t="str">
        <f>IFERROR(INDEX('Docketed Comments'!L:L,MATCH(A941,'Docketed Comments'!H:H,0)),"")</f>
        <v>Frozen Plan</v>
      </c>
      <c r="P941" s="119">
        <f t="shared" si="28"/>
        <v>0</v>
      </c>
      <c r="Q941" s="60"/>
      <c r="R941" s="64" t="s">
        <v>75</v>
      </c>
      <c r="S941" s="64" t="s">
        <v>2003</v>
      </c>
    </row>
    <row r="942" spans="1:19" ht="21.95" customHeight="1">
      <c r="A942" s="66" t="s">
        <v>2004</v>
      </c>
      <c r="B942" s="64"/>
      <c r="C942" s="65"/>
      <c r="D942" s="64"/>
      <c r="E942" s="64"/>
      <c r="F942" s="60"/>
      <c r="G942" s="60" t="s">
        <v>88</v>
      </c>
      <c r="H942" s="60" t="str">
        <f>IFERROR(INDEX('Docketed Comments'!C:C,MATCH(A942,'Docketed Comments'!H:H,0))&amp;", "&amp;INDEX('Docketed Comments'!B:B,MATCH(A942,'Docketed Comments'!H:H,0)),"")</f>
        <v>Kelly, Brewer</v>
      </c>
      <c r="I942" s="60" t="str">
        <f>IFERROR(INDEX('Docketed Comments'!D:D,MATCH(A942,'Docketed Comments'!H:H,0)),"")</f>
        <v>Prescott</v>
      </c>
      <c r="J942" s="60" t="str">
        <f>IFERROR(INDEX('Docketed Comments'!I:I,MATCH(A942,'Docketed Comments'!H:H,0)),"")</f>
        <v>R-XS</v>
      </c>
      <c r="K942" s="60" t="str">
        <f t="shared" si="29"/>
        <v>✅ On Best Plan</v>
      </c>
      <c r="L942" s="60" t="str">
        <f>IFERROR(INDEX('Docketed Comments'!F:F,MATCH(A942,'Docketed Comments'!H:H,0)),"")</f>
        <v>No price increase. APS is price gauging. They spent millions to keep solar energy out of Arizona.</v>
      </c>
      <c r="M942" s="120" t="str">
        <f>IFERROR(INDEX('Docketed Comments'!G:G,MATCH(A942,'Docketed Comments'!H:H,0)),"")</f>
        <v>https://docket.images.azcc.gov/E000048921.pdf</v>
      </c>
      <c r="N942" s="118" t="str">
        <f>IFERROR(INDEX('Docketed Comments'!N:N,MATCH(A942,'Docketed Comments'!H:H,0)),"")</f>
        <v>No</v>
      </c>
      <c r="O942" s="118" t="str">
        <f>IFERROR(INDEX('Docketed Comments'!L:L,MATCH(A942,'Docketed Comments'!H:H,0)),"")</f>
        <v>Yes</v>
      </c>
      <c r="P942" s="119">
        <f t="shared" si="28"/>
        <v>0</v>
      </c>
      <c r="Q942" s="60"/>
      <c r="R942" s="64" t="s">
        <v>75</v>
      </c>
      <c r="S942" s="64" t="s">
        <v>2005</v>
      </c>
    </row>
    <row r="943" spans="1:19" ht="21.95" customHeight="1">
      <c r="A943" s="66" t="s">
        <v>2006</v>
      </c>
      <c r="B943" s="64"/>
      <c r="C943" s="65"/>
      <c r="D943" s="64"/>
      <c r="E943" s="64"/>
      <c r="F943" s="60"/>
      <c r="G943" s="60" t="s">
        <v>88</v>
      </c>
      <c r="H943" s="60" t="str">
        <f>IFERROR(INDEX('Docketed Comments'!C:C,MATCH(A943,'Docketed Comments'!H:H,0))&amp;", "&amp;INDEX('Docketed Comments'!B:B,MATCH(A943,'Docketed Comments'!H:H,0)),"")</f>
        <v>Tracy, Jones</v>
      </c>
      <c r="I943" s="60" t="str">
        <f>IFERROR(INDEX('Docketed Comments'!D:D,MATCH(A943,'Docketed Comments'!H:H,0)),"")</f>
        <v>Phoenix</v>
      </c>
      <c r="J943" s="60" t="str">
        <f>IFERROR(INDEX('Docketed Comments'!I:I,MATCH(A943,'Docketed Comments'!H:H,0)),"")</f>
        <v>R3-47</v>
      </c>
      <c r="K943" s="60" t="str">
        <f t="shared" si="29"/>
        <v>✅ On Best Plan</v>
      </c>
      <c r="L943" s="60" t="str">
        <f>IFERROR(INDEX('Docketed Comments'!F:F,MATCH(A943,'Docketed Comments'!H:H,0)),"")</f>
        <v>Stop this current rate hike</v>
      </c>
      <c r="M943" s="120" t="str">
        <f>IFERROR(INDEX('Docketed Comments'!G:G,MATCH(A943,'Docketed Comments'!H:H,0)),"")</f>
        <v>https://docket.images.azcc.gov/E000048921.pdf</v>
      </c>
      <c r="N943" s="118" t="str">
        <f>IFERROR(INDEX('Docketed Comments'!N:N,MATCH(A943,'Docketed Comments'!H:H,0)),"")</f>
        <v>No</v>
      </c>
      <c r="O943" s="118" t="str">
        <f>IFERROR(INDEX('Docketed Comments'!L:L,MATCH(A943,'Docketed Comments'!H:H,0)),"")</f>
        <v>Yes</v>
      </c>
      <c r="P943" s="119">
        <f t="shared" si="28"/>
        <v>0</v>
      </c>
      <c r="Q943" s="60"/>
      <c r="R943" s="64" t="s">
        <v>75</v>
      </c>
      <c r="S943" s="64" t="s">
        <v>2007</v>
      </c>
    </row>
    <row r="944" spans="1:19" ht="21.95" customHeight="1">
      <c r="A944" s="66" t="s">
        <v>2008</v>
      </c>
      <c r="B944" s="64"/>
      <c r="C944" s="65"/>
      <c r="D944" s="64"/>
      <c r="E944" s="64"/>
      <c r="F944" s="60"/>
      <c r="G944" s="60" t="s">
        <v>88</v>
      </c>
      <c r="H944" s="60" t="str">
        <f>IFERROR(INDEX('Docketed Comments'!C:C,MATCH(A944,'Docketed Comments'!H:H,0))&amp;", "&amp;INDEX('Docketed Comments'!B:B,MATCH(A944,'Docketed Comments'!H:H,0)),"")</f>
        <v>Drayanna, Masingale</v>
      </c>
      <c r="I944" s="60" t="str">
        <f>IFERROR(INDEX('Docketed Comments'!D:D,MATCH(A944,'Docketed Comments'!H:H,0)),"")</f>
        <v>Phoenix</v>
      </c>
      <c r="J944" s="60" t="str">
        <f>IFERROR(INDEX('Docketed Comments'!I:I,MATCH(A944,'Docketed Comments'!H:H,0)),"")</f>
        <v>R-XS</v>
      </c>
      <c r="K944" s="60" t="str">
        <f t="shared" si="29"/>
        <v>✅ On Best Plan</v>
      </c>
      <c r="L944" s="60" t="str">
        <f>IFERROR(INDEX('Docketed Comments'!F:F,MATCH(A944,'Docketed Comments'!H:H,0)),"")</f>
        <v>Seniors; We are already down to remen daily if we want our Rx or no meds if we eat a roast.</v>
      </c>
      <c r="M944" s="120" t="str">
        <f>IFERROR(INDEX('Docketed Comments'!G:G,MATCH(A944,'Docketed Comments'!H:H,0)),"")</f>
        <v>https://docket.images.azcc.gov/E000048921.pdf</v>
      </c>
      <c r="N944" s="118" t="str">
        <f>IFERROR(INDEX('Docketed Comments'!N:N,MATCH(A944,'Docketed Comments'!H:H,0)),"")</f>
        <v>No</v>
      </c>
      <c r="O944" s="118" t="str">
        <f>IFERROR(INDEX('Docketed Comments'!L:L,MATCH(A944,'Docketed Comments'!H:H,0)),"")</f>
        <v>Yes</v>
      </c>
      <c r="P944" s="119">
        <f t="shared" si="28"/>
        <v>0</v>
      </c>
      <c r="Q944" s="60"/>
      <c r="R944" s="64" t="s">
        <v>75</v>
      </c>
      <c r="S944" s="64" t="s">
        <v>2009</v>
      </c>
    </row>
    <row r="945" spans="1:19" ht="21.95" customHeight="1">
      <c r="A945" s="66" t="s">
        <v>2010</v>
      </c>
      <c r="B945" s="64"/>
      <c r="C945" s="65"/>
      <c r="D945" s="64"/>
      <c r="E945" s="64"/>
      <c r="F945" s="60"/>
      <c r="G945" s="60" t="s">
        <v>88</v>
      </c>
      <c r="H945" s="60" t="str">
        <f>IFERROR(INDEX('Docketed Comments'!C:C,MATCH(A945,'Docketed Comments'!H:H,0))&amp;", "&amp;INDEX('Docketed Comments'!B:B,MATCH(A945,'Docketed Comments'!H:H,0)),"")</f>
        <v>Nikki, Rasor</v>
      </c>
      <c r="I945" s="60" t="str">
        <f>IFERROR(INDEX('Docketed Comments'!D:D,MATCH(A945,'Docketed Comments'!H:H,0)),"")</f>
        <v>Goodyear</v>
      </c>
      <c r="J945" s="60" t="str">
        <f>IFERROR(INDEX('Docketed Comments'!I:I,MATCH(A945,'Docketed Comments'!H:H,0)),"")</f>
        <v>R-2</v>
      </c>
      <c r="K945" s="60" t="str">
        <f t="shared" si="29"/>
        <v>⚠ Frozen Plan</v>
      </c>
      <c r="L945" s="60" t="str">
        <f>IFERROR(INDEX('Docketed Comments'!F:F,MATCH(A945,'Docketed Comments'!H:H,0)),"")</f>
        <v>Against yet ANOTHER rate increase.</v>
      </c>
      <c r="M945" s="120" t="str">
        <f>IFERROR(INDEX('Docketed Comments'!G:G,MATCH(A945,'Docketed Comments'!H:H,0)),"")</f>
        <v>https://docket.images.azcc.gov/E000048921.pdf</v>
      </c>
      <c r="N945" s="118" t="str">
        <f>IFERROR(INDEX('Docketed Comments'!N:N,MATCH(A945,'Docketed Comments'!H:H,0)),"")</f>
        <v>No</v>
      </c>
      <c r="O945" s="118" t="str">
        <f>IFERROR(INDEX('Docketed Comments'!L:L,MATCH(A945,'Docketed Comments'!H:H,0)),"")</f>
        <v>Frozen Plan</v>
      </c>
      <c r="P945" s="119">
        <f t="shared" si="28"/>
        <v>0</v>
      </c>
      <c r="Q945" s="60"/>
      <c r="R945" s="64" t="s">
        <v>75</v>
      </c>
      <c r="S945" s="64" t="s">
        <v>2011</v>
      </c>
    </row>
    <row r="946" spans="1:19" ht="21.95" customHeight="1">
      <c r="A946" s="66" t="s">
        <v>2012</v>
      </c>
      <c r="B946" s="64"/>
      <c r="C946" s="65"/>
      <c r="D946" s="64"/>
      <c r="E946" s="64"/>
      <c r="F946" s="60"/>
      <c r="G946" s="60" t="s">
        <v>88</v>
      </c>
      <c r="H946" s="60" t="str">
        <f>IFERROR(INDEX('Docketed Comments'!C:C,MATCH(A946,'Docketed Comments'!H:H,0))&amp;", "&amp;INDEX('Docketed Comments'!B:B,MATCH(A946,'Docketed Comments'!H:H,0)),"")</f>
        <v>Kelli, Harris</v>
      </c>
      <c r="I946" s="60" t="str">
        <f>IFERROR(INDEX('Docketed Comments'!D:D,MATCH(A946,'Docketed Comments'!H:H,0)),"")</f>
        <v>Goodyear</v>
      </c>
      <c r="J946" s="60" t="str">
        <f>IFERROR(INDEX('Docketed Comments'!I:I,MATCH(A946,'Docketed Comments'!H:H,0)),"")</f>
        <v>RTOUE47</v>
      </c>
      <c r="K946" s="60" t="str">
        <f t="shared" si="29"/>
        <v>✅ On Best Plan</v>
      </c>
      <c r="L946" s="60" t="str">
        <f>IFERROR(INDEX('Docketed Comments'!F:F,MATCH(A946,'Docketed Comments'!H:H,0)),"")</f>
        <v>APS is receiving over millions of dollars and this price increase would negatively affect our families</v>
      </c>
      <c r="M946" s="120" t="str">
        <f>IFERROR(INDEX('Docketed Comments'!G:G,MATCH(A946,'Docketed Comments'!H:H,0)),"")</f>
        <v>https://docket.images.azcc.gov/E000048921.pdf</v>
      </c>
      <c r="N946" s="118" t="str">
        <f>IFERROR(INDEX('Docketed Comments'!N:N,MATCH(A946,'Docketed Comments'!H:H,0)),"")</f>
        <v>No</v>
      </c>
      <c r="O946" s="118" t="str">
        <f>IFERROR(INDEX('Docketed Comments'!L:L,MATCH(A946,'Docketed Comments'!H:H,0)),"")</f>
        <v>Yes</v>
      </c>
      <c r="P946" s="119">
        <f t="shared" si="28"/>
        <v>0</v>
      </c>
      <c r="Q946" s="60"/>
      <c r="R946" s="64" t="s">
        <v>75</v>
      </c>
      <c r="S946" s="64" t="s">
        <v>2013</v>
      </c>
    </row>
    <row r="947" spans="1:19" ht="21.95" customHeight="1">
      <c r="A947" s="66" t="s">
        <v>2014</v>
      </c>
      <c r="B947" s="64"/>
      <c r="C947" s="65"/>
      <c r="D947" s="64"/>
      <c r="E947" s="64"/>
      <c r="F947" s="60"/>
      <c r="G947" s="60" t="s">
        <v>88</v>
      </c>
      <c r="H947" s="60" t="str">
        <f>IFERROR(INDEX('Docketed Comments'!C:C,MATCH(A947,'Docketed Comments'!H:H,0))&amp;", "&amp;INDEX('Docketed Comments'!B:B,MATCH(A947,'Docketed Comments'!H:H,0)),"")</f>
        <v>Dan, Guerena</v>
      </c>
      <c r="I947" s="60" t="str">
        <f>IFERROR(INDEX('Docketed Comments'!D:D,MATCH(A947,'Docketed Comments'!H:H,0)),"")</f>
        <v>Globe</v>
      </c>
      <c r="J947" s="60" t="str">
        <f>IFERROR(INDEX('Docketed Comments'!I:I,MATCH(A947,'Docketed Comments'!H:H,0)),"")</f>
        <v>R-XS</v>
      </c>
      <c r="K947" s="60" t="str">
        <f t="shared" si="29"/>
        <v>✅ On Best Plan</v>
      </c>
      <c r="L947" s="60" t="str">
        <f>IFERROR(INDEX('Docketed Comments'!F:F,MATCH(A947,'Docketed Comments'!H:H,0)),"")</f>
        <v>We don't need a rate increase. We pay enough as is. We have other things to pay for as well.</v>
      </c>
      <c r="M947" s="120" t="str">
        <f>IFERROR(INDEX('Docketed Comments'!G:G,MATCH(A947,'Docketed Comments'!H:H,0)),"")</f>
        <v>https://docket.images.azcc.gov/E000048921.pdf</v>
      </c>
      <c r="N947" s="118" t="str">
        <f>IFERROR(INDEX('Docketed Comments'!N:N,MATCH(A947,'Docketed Comments'!H:H,0)),"")</f>
        <v>No</v>
      </c>
      <c r="O947" s="118" t="str">
        <f>IFERROR(INDEX('Docketed Comments'!L:L,MATCH(A947,'Docketed Comments'!H:H,0)),"")</f>
        <v>Yes</v>
      </c>
      <c r="P947" s="119">
        <f t="shared" si="28"/>
        <v>0</v>
      </c>
      <c r="Q947" s="60"/>
      <c r="R947" s="64" t="s">
        <v>75</v>
      </c>
      <c r="S947" s="64" t="s">
        <v>2015</v>
      </c>
    </row>
    <row r="948" spans="1:19" ht="21.95" customHeight="1">
      <c r="A948" s="66" t="s">
        <v>2016</v>
      </c>
      <c r="B948" s="64"/>
      <c r="C948" s="65"/>
      <c r="D948" s="64"/>
      <c r="E948" s="64"/>
      <c r="F948" s="60"/>
      <c r="G948" s="60" t="s">
        <v>88</v>
      </c>
      <c r="H948" s="60" t="str">
        <f>IFERROR(INDEX('Docketed Comments'!C:C,MATCH(A948,'Docketed Comments'!H:H,0))&amp;", "&amp;INDEX('Docketed Comments'!B:B,MATCH(A948,'Docketed Comments'!H:H,0)),"")</f>
        <v>James, Martin</v>
      </c>
      <c r="I948" s="60" t="str">
        <f>IFERROR(INDEX('Docketed Comments'!D:D,MATCH(A948,'Docketed Comments'!H:H,0)),"")</f>
        <v>Glendale</v>
      </c>
      <c r="J948" s="60" t="str">
        <f>IFERROR(INDEX('Docketed Comments'!I:I,MATCH(A948,'Docketed Comments'!H:H,0)),"")</f>
        <v>EPR6w/ET-2</v>
      </c>
      <c r="K948" s="60" t="str">
        <f t="shared" si="29"/>
        <v>⚠ Frozen Plan</v>
      </c>
      <c r="L948" s="60" t="str">
        <f>IFERROR(INDEX('Docketed Comments'!F:F,MATCH(A948,'Docketed Comments'!H:H,0)),"")</f>
        <v xml:space="preserve"> l'm a senior citizen on a fixed income and they are already profiting millions of dollars a year</v>
      </c>
      <c r="M948" s="120" t="str">
        <f>IFERROR(INDEX('Docketed Comments'!G:G,MATCH(A948,'Docketed Comments'!H:H,0)),"")</f>
        <v>https://docket.images.azcc.gov/E000048921.pdf</v>
      </c>
      <c r="N948" s="118" t="str">
        <f>IFERROR(INDEX('Docketed Comments'!N:N,MATCH(A948,'Docketed Comments'!H:H,0)),"")</f>
        <v>No</v>
      </c>
      <c r="O948" s="118" t="str">
        <f>IFERROR(INDEX('Docketed Comments'!L:L,MATCH(A948,'Docketed Comments'!H:H,0)),"")</f>
        <v>Frozen Plan</v>
      </c>
      <c r="P948" s="119">
        <f t="shared" si="28"/>
        <v>0</v>
      </c>
      <c r="Q948" s="60"/>
      <c r="R948" s="64" t="s">
        <v>75</v>
      </c>
      <c r="S948" s="64" t="s">
        <v>2017</v>
      </c>
    </row>
    <row r="949" spans="1:19" ht="21.95" customHeight="1">
      <c r="A949" s="66" t="s">
        <v>2018</v>
      </c>
      <c r="B949" s="64"/>
      <c r="C949" s="65"/>
      <c r="D949" s="64"/>
      <c r="E949" s="64"/>
      <c r="F949" s="60"/>
      <c r="G949" s="60" t="s">
        <v>88</v>
      </c>
      <c r="H949" s="60" t="str">
        <f>IFERROR(INDEX('Docketed Comments'!C:C,MATCH(A949,'Docketed Comments'!H:H,0))&amp;", "&amp;INDEX('Docketed Comments'!B:B,MATCH(A949,'Docketed Comments'!H:H,0)),"")</f>
        <v>Sharice, Terrones</v>
      </c>
      <c r="I949" s="60" t="str">
        <f>IFERROR(INDEX('Docketed Comments'!D:D,MATCH(A949,'Docketed Comments'!H:H,0)),"")</f>
        <v>Peoria</v>
      </c>
      <c r="J949" s="60" t="str">
        <f>IFERROR(INDEX('Docketed Comments'!I:I,MATCH(A949,'Docketed Comments'!H:H,0)),"")</f>
        <v>R-2</v>
      </c>
      <c r="K949" s="60" t="str">
        <f t="shared" si="29"/>
        <v>⚠ Frozen Plan</v>
      </c>
      <c r="L949" s="60" t="str">
        <f>IFERROR(INDEX('Docketed Comments'!F:F,MATCH(A949,'Docketed Comments'!H:H,0)),"")</f>
        <v>I urge the commission and APS to consider alternative solutions that do not disproportionately impact customers</v>
      </c>
      <c r="M949" s="120" t="str">
        <f>IFERROR(INDEX('Docketed Comments'!G:G,MATCH(A949,'Docketed Comments'!H:H,0)),"")</f>
        <v>https://docket.images.azcc.gov/E000048921.pdf</v>
      </c>
      <c r="N949" s="118" t="str">
        <f>IFERROR(INDEX('Docketed Comments'!N:N,MATCH(A949,'Docketed Comments'!H:H,0)),"")</f>
        <v>No</v>
      </c>
      <c r="O949" s="118" t="str">
        <f>IFERROR(INDEX('Docketed Comments'!L:L,MATCH(A949,'Docketed Comments'!H:H,0)),"")</f>
        <v>Frozen Plan</v>
      </c>
      <c r="P949" s="119">
        <f t="shared" si="28"/>
        <v>0</v>
      </c>
      <c r="Q949" s="60"/>
      <c r="R949" s="64" t="s">
        <v>75</v>
      </c>
      <c r="S949" s="64" t="s">
        <v>2019</v>
      </c>
    </row>
    <row r="950" spans="1:19" ht="21.95" customHeight="1">
      <c r="A950" s="66" t="s">
        <v>2020</v>
      </c>
      <c r="B950" s="64"/>
      <c r="C950" s="65"/>
      <c r="D950" s="64"/>
      <c r="E950" s="64"/>
      <c r="F950" s="60"/>
      <c r="G950" s="60" t="s">
        <v>88</v>
      </c>
      <c r="H950" s="60" t="str">
        <f>IFERROR(INDEX('Docketed Comments'!C:C,MATCH(A950,'Docketed Comments'!H:H,0))&amp;", "&amp;INDEX('Docketed Comments'!B:B,MATCH(A950,'Docketed Comments'!H:H,0)),"")</f>
        <v>Lisa, Colcord</v>
      </c>
      <c r="I950" s="60" t="str">
        <f>IFERROR(INDEX('Docketed Comments'!D:D,MATCH(A950,'Docketed Comments'!H:H,0)),"")</f>
        <v>Phoenix</v>
      </c>
      <c r="J950" s="60" t="str">
        <f>IFERROR(INDEX('Docketed Comments'!I:I,MATCH(A950,'Docketed Comments'!H:H,0)),"")</f>
        <v>EPR6w/ET-2</v>
      </c>
      <c r="K950" s="60" t="str">
        <f t="shared" si="29"/>
        <v>⚠ Frozen Plan</v>
      </c>
      <c r="L950" s="60" t="str">
        <f>IFERROR(INDEX('Docketed Comments'!F:F,MATCH(A950,'Docketed Comments'!H:H,0)),"")</f>
        <v>APS already makes millions off of us. Corporate greed is a pox on society and the people deserve better.</v>
      </c>
      <c r="M950" s="120" t="str">
        <f>IFERROR(INDEX('Docketed Comments'!G:G,MATCH(A950,'Docketed Comments'!H:H,0)),"")</f>
        <v>https://docket.images.azcc.gov/E000048921.pdf</v>
      </c>
      <c r="N950" s="118" t="str">
        <f>IFERROR(INDEX('Docketed Comments'!N:N,MATCH(A950,'Docketed Comments'!H:H,0)),"")</f>
        <v>No</v>
      </c>
      <c r="O950" s="118" t="str">
        <f>IFERROR(INDEX('Docketed Comments'!L:L,MATCH(A950,'Docketed Comments'!H:H,0)),"")</f>
        <v>Frozen Plan</v>
      </c>
      <c r="P950" s="119">
        <f t="shared" si="28"/>
        <v>0</v>
      </c>
      <c r="Q950" s="60"/>
      <c r="R950" s="64" t="s">
        <v>75</v>
      </c>
      <c r="S950" s="64" t="s">
        <v>2021</v>
      </c>
    </row>
    <row r="951" spans="1:19" ht="21.95" customHeight="1">
      <c r="A951" s="66" t="s">
        <v>2022</v>
      </c>
      <c r="B951" s="64"/>
      <c r="C951" s="65"/>
      <c r="D951" s="64"/>
      <c r="E951" s="64"/>
      <c r="F951" s="60"/>
      <c r="G951" s="60" t="s">
        <v>88</v>
      </c>
      <c r="H951" s="60" t="str">
        <f>IFERROR(INDEX('Docketed Comments'!C:C,MATCH(A951,'Docketed Comments'!H:H,0))&amp;", "&amp;INDEX('Docketed Comments'!B:B,MATCH(A951,'Docketed Comments'!H:H,0)),"")</f>
        <v>Laura, Rothanburg</v>
      </c>
      <c r="I951" s="60" t="str">
        <f>IFERROR(INDEX('Docketed Comments'!D:D,MATCH(A951,'Docketed Comments'!H:H,0)),"")</f>
        <v>Phoenix</v>
      </c>
      <c r="J951" s="60" t="str">
        <f>IFERROR(INDEX('Docketed Comments'!I:I,MATCH(A951,'Docketed Comments'!H:H,0)),"")</f>
        <v>RCPw/RTOUE47</v>
      </c>
      <c r="K951" s="60" t="str">
        <f t="shared" si="29"/>
        <v>✅ On Best Plan</v>
      </c>
      <c r="L951" s="60" t="str">
        <f>IFERROR(INDEX('Docketed Comments'!F:F,MATCH(A951,'Docketed Comments'!H:H,0)),"")</f>
        <v>I have not turned my heat on this winter because I can't afford it. Yet their pockets and those of stockholders get fatter</v>
      </c>
      <c r="M951" s="120" t="str">
        <f>IFERROR(INDEX('Docketed Comments'!G:G,MATCH(A951,'Docketed Comments'!H:H,0)),"")</f>
        <v>https://docket.images.azcc.gov/E000048921.pdf</v>
      </c>
      <c r="N951" s="118" t="str">
        <f>IFERROR(INDEX('Docketed Comments'!N:N,MATCH(A951,'Docketed Comments'!H:H,0)),"")</f>
        <v>No</v>
      </c>
      <c r="O951" s="118" t="str">
        <f>IFERROR(INDEX('Docketed Comments'!L:L,MATCH(A951,'Docketed Comments'!H:H,0)),"")</f>
        <v>Yes</v>
      </c>
      <c r="P951" s="119">
        <f t="shared" si="28"/>
        <v>0</v>
      </c>
      <c r="Q951" s="60"/>
      <c r="R951" s="64" t="s">
        <v>75</v>
      </c>
      <c r="S951" s="64" t="s">
        <v>2023</v>
      </c>
    </row>
    <row r="952" spans="1:19" ht="21.95" customHeight="1">
      <c r="A952" s="66" t="s">
        <v>2024</v>
      </c>
      <c r="B952" s="64"/>
      <c r="C952" s="65"/>
      <c r="D952" s="64"/>
      <c r="E952" s="64"/>
      <c r="F952" s="60"/>
      <c r="G952" s="60" t="s">
        <v>88</v>
      </c>
      <c r="H952" s="60" t="str">
        <f>IFERROR(INDEX('Docketed Comments'!C:C,MATCH(A952,'Docketed Comments'!H:H,0))&amp;", "&amp;INDEX('Docketed Comments'!B:B,MATCH(A952,'Docketed Comments'!H:H,0)),"")</f>
        <v>Christina, Sisco</v>
      </c>
      <c r="I952" s="60" t="str">
        <f>IFERROR(INDEX('Docketed Comments'!D:D,MATCH(A952,'Docketed Comments'!H:H,0)),"")</f>
        <v>Peoria</v>
      </c>
      <c r="J952" s="60" t="str">
        <f>IFERROR(INDEX('Docketed Comments'!I:I,MATCH(A952,'Docketed Comments'!H:H,0)),"")</f>
        <v>EPR6w/ET-2</v>
      </c>
      <c r="K952" s="60" t="str">
        <f t="shared" si="29"/>
        <v>⚠ Frozen Plan</v>
      </c>
      <c r="L952" s="60" t="str">
        <f>IFERROR(INDEX('Docketed Comments'!F:F,MATCH(A952,'Docketed Comments'!H:H,0)),"")</f>
        <v xml:space="preserve">My husband and I are retired. We can barely pay for our utilities, food, mortgage and meds. </v>
      </c>
      <c r="M952" s="120" t="str">
        <f>IFERROR(INDEX('Docketed Comments'!G:G,MATCH(A952,'Docketed Comments'!H:H,0)),"")</f>
        <v>https://docket.images.azcc.gov/E000048921.pdf</v>
      </c>
      <c r="N952" s="118" t="str">
        <f>IFERROR(INDEX('Docketed Comments'!N:N,MATCH(A952,'Docketed Comments'!H:H,0)),"")</f>
        <v>No</v>
      </c>
      <c r="O952" s="118" t="str">
        <f>IFERROR(INDEX('Docketed Comments'!L:L,MATCH(A952,'Docketed Comments'!H:H,0)),"")</f>
        <v>Frozen Plan</v>
      </c>
      <c r="P952" s="119">
        <f t="shared" si="28"/>
        <v>0</v>
      </c>
      <c r="Q952" s="60"/>
      <c r="R952" s="64" t="s">
        <v>75</v>
      </c>
      <c r="S952" s="64" t="s">
        <v>2025</v>
      </c>
    </row>
    <row r="953" spans="1:19" ht="21.95" customHeight="1">
      <c r="A953" s="66" t="s">
        <v>2026</v>
      </c>
      <c r="B953" s="64"/>
      <c r="C953" s="65"/>
      <c r="D953" s="64"/>
      <c r="E953" s="64"/>
      <c r="F953" s="60"/>
      <c r="G953" s="60" t="s">
        <v>88</v>
      </c>
      <c r="H953" s="60" t="str">
        <f>IFERROR(INDEX('Docketed Comments'!C:C,MATCH(A953,'Docketed Comments'!H:H,0))&amp;", "&amp;INDEX('Docketed Comments'!B:B,MATCH(A953,'Docketed Comments'!H:H,0)),"")</f>
        <v>Michelle, Perryman</v>
      </c>
      <c r="I953" s="60" t="str">
        <f>IFERROR(INDEX('Docketed Comments'!D:D,MATCH(A953,'Docketed Comments'!H:H,0)),"")</f>
        <v>Phoenix</v>
      </c>
      <c r="J953" s="60" t="str">
        <f>IFERROR(INDEX('Docketed Comments'!I:I,MATCH(A953,'Docketed Comments'!H:H,0)),"")</f>
        <v>R3-47</v>
      </c>
      <c r="K953" s="60" t="str">
        <f t="shared" si="29"/>
        <v>✅ On Best Plan</v>
      </c>
      <c r="L953" s="60" t="str">
        <f>IFERROR(INDEX('Docketed Comments'!F:F,MATCH(A953,'Docketed Comments'!H:H,0)),"")</f>
        <v xml:space="preserve">I also believe the higher cost of electricity is caused by electric car use. The country was not prepared for this at all. The grid is too small so APS... make prices higher. </v>
      </c>
      <c r="M953" s="120" t="str">
        <f>IFERROR(INDEX('Docketed Comments'!G:G,MATCH(A953,'Docketed Comments'!H:H,0)),"")</f>
        <v>https://docket.images.azcc.gov/E000048921.pdf</v>
      </c>
      <c r="N953" s="118" t="str">
        <f>IFERROR(INDEX('Docketed Comments'!N:N,MATCH(A953,'Docketed Comments'!H:H,0)),"")</f>
        <v>No</v>
      </c>
      <c r="O953" s="118" t="str">
        <f>IFERROR(INDEX('Docketed Comments'!L:L,MATCH(A953,'Docketed Comments'!H:H,0)),"")</f>
        <v>Yes</v>
      </c>
      <c r="P953" s="119">
        <f t="shared" si="28"/>
        <v>0</v>
      </c>
      <c r="Q953" s="60"/>
      <c r="R953" s="64" t="s">
        <v>75</v>
      </c>
      <c r="S953" s="64" t="s">
        <v>2027</v>
      </c>
    </row>
    <row r="954" spans="1:19" ht="21.95" customHeight="1">
      <c r="A954" s="66" t="s">
        <v>2028</v>
      </c>
      <c r="B954" s="64"/>
      <c r="C954" s="65"/>
      <c r="D954" s="64"/>
      <c r="E954" s="64"/>
      <c r="F954" s="60"/>
      <c r="G954" s="60" t="s">
        <v>88</v>
      </c>
      <c r="H954" s="60" t="str">
        <f>IFERROR(INDEX('Docketed Comments'!C:C,MATCH(A954,'Docketed Comments'!H:H,0))&amp;", "&amp;INDEX('Docketed Comments'!B:B,MATCH(A954,'Docketed Comments'!H:H,0)),"")</f>
        <v>Ricci, Saliba</v>
      </c>
      <c r="I954" s="60" t="str">
        <f>IFERROR(INDEX('Docketed Comments'!D:D,MATCH(A954,'Docketed Comments'!H:H,0)),"")</f>
        <v>El Mirage</v>
      </c>
      <c r="J954" s="60" t="str">
        <f>IFERROR(INDEX('Docketed Comments'!I:I,MATCH(A954,'Docketed Comments'!H:H,0)),"")</f>
        <v>RCPw/RTOUE</v>
      </c>
      <c r="K954" s="60" t="str">
        <f t="shared" si="29"/>
        <v>✅ On Best Plan</v>
      </c>
      <c r="L954" s="60" t="str">
        <f>IFERROR(INDEX('Docketed Comments'!F:F,MATCH(A954,'Docketed Comments'!H:H,0)),"")</f>
        <v>(APS) already profits millions, but they're trying to raise our prices even more</v>
      </c>
      <c r="M954" s="120" t="str">
        <f>IFERROR(INDEX('Docketed Comments'!G:G,MATCH(A954,'Docketed Comments'!H:H,0)),"")</f>
        <v>https://docket.images.azcc.gov/E000048921.pdf</v>
      </c>
      <c r="N954" s="118" t="str">
        <f>IFERROR(INDEX('Docketed Comments'!N:N,MATCH(A954,'Docketed Comments'!H:H,0)),"")</f>
        <v>No</v>
      </c>
      <c r="O954" s="118" t="str">
        <f>IFERROR(INDEX('Docketed Comments'!L:L,MATCH(A954,'Docketed Comments'!H:H,0)),"")</f>
        <v>Yes</v>
      </c>
      <c r="P954" s="119">
        <f t="shared" si="28"/>
        <v>0</v>
      </c>
      <c r="Q954" s="60"/>
      <c r="R954" s="64" t="s">
        <v>75</v>
      </c>
      <c r="S954" s="64" t="s">
        <v>2029</v>
      </c>
    </row>
    <row r="955" spans="1:19" ht="21.95" customHeight="1">
      <c r="A955" s="66" t="s">
        <v>2030</v>
      </c>
      <c r="B955" s="64"/>
      <c r="C955" s="65"/>
      <c r="D955" s="64"/>
      <c r="E955" s="64"/>
      <c r="F955" s="60"/>
      <c r="G955" s="60" t="s">
        <v>88</v>
      </c>
      <c r="H955" s="60" t="str">
        <f>IFERROR(INDEX('Docketed Comments'!C:C,MATCH(A955,'Docketed Comments'!H:H,0))&amp;", "&amp;INDEX('Docketed Comments'!B:B,MATCH(A955,'Docketed Comments'!H:H,0)),"")</f>
        <v>Tim, Carson</v>
      </c>
      <c r="I955" s="60" t="str">
        <f>IFERROR(INDEX('Docketed Comments'!D:D,MATCH(A955,'Docketed Comments'!H:H,0)),"")</f>
        <v>Yuma</v>
      </c>
      <c r="J955" s="60" t="str">
        <f>IFERROR(INDEX('Docketed Comments'!I:I,MATCH(A955,'Docketed Comments'!H:H,0)),"")</f>
        <v>RCPw/RTOUE47</v>
      </c>
      <c r="K955" s="60" t="str">
        <f t="shared" si="29"/>
        <v>✅ On Best Plan</v>
      </c>
      <c r="L955" s="60" t="str">
        <f>IFERROR(INDEX('Docketed Comments'!F:F,MATCH(A955,'Docketed Comments'!H:H,0)),"")</f>
        <v>You people keep raising prices having no concern for the customers and are only focused on your shareholders</v>
      </c>
      <c r="M955" s="120" t="str">
        <f>IFERROR(INDEX('Docketed Comments'!G:G,MATCH(A955,'Docketed Comments'!H:H,0)),"")</f>
        <v>https://docket.images.azcc.gov/E000048921.pdf</v>
      </c>
      <c r="N955" s="118" t="str">
        <f>IFERROR(INDEX('Docketed Comments'!N:N,MATCH(A955,'Docketed Comments'!H:H,0)),"")</f>
        <v>No</v>
      </c>
      <c r="O955" s="118" t="str">
        <f>IFERROR(INDEX('Docketed Comments'!L:L,MATCH(A955,'Docketed Comments'!H:H,0)),"")</f>
        <v>Yes</v>
      </c>
      <c r="P955" s="119">
        <f t="shared" si="28"/>
        <v>0</v>
      </c>
      <c r="Q955" s="60"/>
      <c r="R955" s="64" t="s">
        <v>75</v>
      </c>
      <c r="S955" s="64" t="s">
        <v>2031</v>
      </c>
    </row>
    <row r="956" spans="1:19" ht="21.95" customHeight="1">
      <c r="A956" s="66" t="s">
        <v>2032</v>
      </c>
      <c r="B956" s="64"/>
      <c r="C956" s="65"/>
      <c r="D956" s="64"/>
      <c r="E956" s="64"/>
      <c r="F956" s="60"/>
      <c r="G956" s="60" t="s">
        <v>88</v>
      </c>
      <c r="H956" s="60" t="str">
        <f>IFERROR(INDEX('Docketed Comments'!C:C,MATCH(A956,'Docketed Comments'!H:H,0))&amp;", "&amp;INDEX('Docketed Comments'!B:B,MATCH(A956,'Docketed Comments'!H:H,0)),"")</f>
        <v>Trisha, Sours</v>
      </c>
      <c r="I956" s="60" t="str">
        <f>IFERROR(INDEX('Docketed Comments'!D:D,MATCH(A956,'Docketed Comments'!H:H,0)),"")</f>
        <v>Sun City West</v>
      </c>
      <c r="J956" s="60" t="str">
        <f>IFERROR(INDEX('Docketed Comments'!I:I,MATCH(A956,'Docketed Comments'!H:H,0)),"")</f>
        <v>RCPw/RTOUE47</v>
      </c>
      <c r="K956" s="60" t="str">
        <f t="shared" si="29"/>
        <v>✅ On Best Plan</v>
      </c>
      <c r="L956" s="60" t="str">
        <f>IFERROR(INDEX('Docketed Comments'!F:F,MATCH(A956,'Docketed Comments'!H:H,0)),"")</f>
        <v>No NetZero... Keep energy cheap and affordable and reliable!! Nobody wants blackouts when it's 114 at night time!</v>
      </c>
      <c r="M956" s="120" t="str">
        <f>IFERROR(INDEX('Docketed Comments'!G:G,MATCH(A956,'Docketed Comments'!H:H,0)),"")</f>
        <v>https://docket.images.azcc.gov/E000048921.pdf</v>
      </c>
      <c r="N956" s="118" t="str">
        <f>IFERROR(INDEX('Docketed Comments'!N:N,MATCH(A956,'Docketed Comments'!H:H,0)),"")</f>
        <v>No</v>
      </c>
      <c r="O956" s="118" t="str">
        <f>IFERROR(INDEX('Docketed Comments'!L:L,MATCH(A956,'Docketed Comments'!H:H,0)),"")</f>
        <v>Yes</v>
      </c>
      <c r="P956" s="119">
        <f t="shared" si="28"/>
        <v>0</v>
      </c>
      <c r="Q956" s="60"/>
      <c r="R956" s="64" t="s">
        <v>75</v>
      </c>
      <c r="S956" s="64" t="s">
        <v>2033</v>
      </c>
    </row>
    <row r="957" spans="1:19" ht="21.95" customHeight="1">
      <c r="A957" s="66" t="s">
        <v>2034</v>
      </c>
      <c r="B957" s="64"/>
      <c r="C957" s="65"/>
      <c r="D957" s="64"/>
      <c r="E957" s="64"/>
      <c r="F957" s="60"/>
      <c r="G957" s="60" t="s">
        <v>88</v>
      </c>
      <c r="H957" s="60" t="str">
        <f>IFERROR(INDEX('Docketed Comments'!C:C,MATCH(A957,'Docketed Comments'!H:H,0))&amp;", "&amp;INDEX('Docketed Comments'!B:B,MATCH(A957,'Docketed Comments'!H:H,0)),"")</f>
        <v>Nancy, Kasten</v>
      </c>
      <c r="I957" s="60" t="str">
        <f>IFERROR(INDEX('Docketed Comments'!D:D,MATCH(A957,'Docketed Comments'!H:H,0)),"")</f>
        <v>Surpsie</v>
      </c>
      <c r="J957" s="60" t="str">
        <f>IFERROR(INDEX('Docketed Comments'!I:I,MATCH(A957,'Docketed Comments'!H:H,0)),"")</f>
        <v>R3-47</v>
      </c>
      <c r="K957" s="60" t="str">
        <f t="shared" si="29"/>
        <v>✅ On Best Plan</v>
      </c>
      <c r="L957" s="60" t="str">
        <f>IFERROR(INDEX('Docketed Comments'!F:F,MATCH(A957,'Docketed Comments'!H:H,0)),"")</f>
        <v>No other company in the world gets to increase rates over 20% in a years time. If you make record profits</v>
      </c>
      <c r="M957" s="120" t="str">
        <f>IFERROR(INDEX('Docketed Comments'!G:G,MATCH(A957,'Docketed Comments'!H:H,0)),"")</f>
        <v>https://docket.images.azcc.gov/E000048921.pdf</v>
      </c>
      <c r="N957" s="118" t="str">
        <f>IFERROR(INDEX('Docketed Comments'!N:N,MATCH(A957,'Docketed Comments'!H:H,0)),"")</f>
        <v>No</v>
      </c>
      <c r="O957" s="118" t="str">
        <f>IFERROR(INDEX('Docketed Comments'!L:L,MATCH(A957,'Docketed Comments'!H:H,0)),"")</f>
        <v>Yes</v>
      </c>
      <c r="P957" s="119">
        <f t="shared" si="28"/>
        <v>0</v>
      </c>
      <c r="Q957" s="60"/>
      <c r="R957" s="64" t="s">
        <v>75</v>
      </c>
      <c r="S957" s="64" t="s">
        <v>2035</v>
      </c>
    </row>
    <row r="958" spans="1:19" ht="21.95" customHeight="1">
      <c r="A958" s="66" t="s">
        <v>2036</v>
      </c>
      <c r="B958" s="64"/>
      <c r="C958" s="65"/>
      <c r="D958" s="64"/>
      <c r="E958" s="64"/>
      <c r="F958" s="60"/>
      <c r="G958" s="60" t="s">
        <v>88</v>
      </c>
      <c r="H958" s="60" t="str">
        <f>IFERROR(INDEX('Docketed Comments'!C:C,MATCH(A958,'Docketed Comments'!H:H,0))&amp;", "&amp;INDEX('Docketed Comments'!B:B,MATCH(A958,'Docketed Comments'!H:H,0)),"")</f>
        <v>Paul, Mark</v>
      </c>
      <c r="I958" s="60" t="str">
        <f>IFERROR(INDEX('Docketed Comments'!D:D,MATCH(A958,'Docketed Comments'!H:H,0)),"")</f>
        <v>El Mirage</v>
      </c>
      <c r="J958" s="60" t="str">
        <f>IFERROR(INDEX('Docketed Comments'!I:I,MATCH(A958,'Docketed Comments'!H:H,0)),"")</f>
        <v>RCPw/RTOUE47</v>
      </c>
      <c r="K958" s="60" t="str">
        <f t="shared" si="29"/>
        <v>✅ On Best Plan</v>
      </c>
      <c r="L958" s="60" t="str">
        <f>IFERROR(INDEX('Docketed Comments'!F:F,MATCH(A958,'Docketed Comments'!H:H,0)),"")</f>
        <v>Rates have risen every year up to 5% We even have solar and are still paying over 200.00</v>
      </c>
      <c r="M958" s="120" t="str">
        <f>IFERROR(INDEX('Docketed Comments'!G:G,MATCH(A958,'Docketed Comments'!H:H,0)),"")</f>
        <v>https://docket.images.azcc.gov/E000048921.pdf</v>
      </c>
      <c r="N958" s="118" t="str">
        <f>IFERROR(INDEX('Docketed Comments'!N:N,MATCH(A958,'Docketed Comments'!H:H,0)),"")</f>
        <v>No</v>
      </c>
      <c r="O958" s="118" t="str">
        <f>IFERROR(INDEX('Docketed Comments'!L:L,MATCH(A958,'Docketed Comments'!H:H,0)),"")</f>
        <v>Yes</v>
      </c>
      <c r="P958" s="119">
        <f t="shared" si="28"/>
        <v>0</v>
      </c>
      <c r="Q958" s="60"/>
      <c r="R958" s="64" t="s">
        <v>75</v>
      </c>
      <c r="S958" s="64" t="s">
        <v>2037</v>
      </c>
    </row>
    <row r="959" spans="1:19" ht="21.95" customHeight="1">
      <c r="A959" s="66" t="s">
        <v>2038</v>
      </c>
      <c r="B959" s="64"/>
      <c r="C959" s="65"/>
      <c r="D959" s="64"/>
      <c r="E959" s="64"/>
      <c r="F959" s="60"/>
      <c r="G959" s="60" t="s">
        <v>88</v>
      </c>
      <c r="H959" s="60" t="str">
        <f>IFERROR(INDEX('Docketed Comments'!C:C,MATCH(A959,'Docketed Comments'!H:H,0))&amp;", "&amp;INDEX('Docketed Comments'!B:B,MATCH(A959,'Docketed Comments'!H:H,0)),"")</f>
        <v>Shauna, Jones</v>
      </c>
      <c r="I959" s="60" t="str">
        <f>IFERROR(INDEX('Docketed Comments'!D:D,MATCH(A959,'Docketed Comments'!H:H,0)),"")</f>
        <v>Rimrock</v>
      </c>
      <c r="J959" s="60" t="str">
        <f>IFERROR(INDEX('Docketed Comments'!I:I,MATCH(A959,'Docketed Comments'!H:H,0)),"")</f>
        <v>RTOUE47</v>
      </c>
      <c r="K959" s="60" t="str">
        <f t="shared" si="29"/>
        <v>✅ On Best Plan</v>
      </c>
      <c r="L959" s="60" t="str">
        <f>IFERROR(INDEX('Docketed Comments'!F:F,MATCH(A959,'Docketed Comments'!H:H,0)),"")</f>
        <v>Please don't raise prices I'm already trying my hardest at 64 years old and working restaurants</v>
      </c>
      <c r="M959" s="120" t="str">
        <f>IFERROR(INDEX('Docketed Comments'!G:G,MATCH(A959,'Docketed Comments'!H:H,0)),"")</f>
        <v>https://docket.images.azcc.gov/E000048921.pdf</v>
      </c>
      <c r="N959" s="118" t="str">
        <f>IFERROR(INDEX('Docketed Comments'!N:N,MATCH(A959,'Docketed Comments'!H:H,0)),"")</f>
        <v>No</v>
      </c>
      <c r="O959" s="118" t="str">
        <f>IFERROR(INDEX('Docketed Comments'!L:L,MATCH(A959,'Docketed Comments'!H:H,0)),"")</f>
        <v>Yes</v>
      </c>
      <c r="P959" s="119">
        <f t="shared" si="28"/>
        <v>0</v>
      </c>
      <c r="Q959" s="60"/>
      <c r="R959" s="64" t="s">
        <v>75</v>
      </c>
      <c r="S959" s="64" t="s">
        <v>2039</v>
      </c>
    </row>
    <row r="960" spans="1:19" ht="21.95" customHeight="1">
      <c r="A960" s="66" t="s">
        <v>2040</v>
      </c>
      <c r="B960" s="64"/>
      <c r="C960" s="65"/>
      <c r="D960" s="64"/>
      <c r="E960" s="64"/>
      <c r="F960" s="60"/>
      <c r="G960" s="60" t="s">
        <v>88</v>
      </c>
      <c r="H960" s="60" t="str">
        <f>IFERROR(INDEX('Docketed Comments'!C:C,MATCH(A960,'Docketed Comments'!H:H,0))&amp;", "&amp;INDEX('Docketed Comments'!B:B,MATCH(A960,'Docketed Comments'!H:H,0)),"")</f>
        <v>Karineh, Viggiani</v>
      </c>
      <c r="I960" s="60" t="str">
        <f>IFERROR(INDEX('Docketed Comments'!D:D,MATCH(A960,'Docketed Comments'!H:H,0)),"")</f>
        <v>Phoenix</v>
      </c>
      <c r="J960" s="60" t="str">
        <f>IFERROR(INDEX('Docketed Comments'!I:I,MATCH(A960,'Docketed Comments'!H:H,0)),"")</f>
        <v>R3-47</v>
      </c>
      <c r="K960" s="60" t="str">
        <f t="shared" si="29"/>
        <v>✅ On Best Plan</v>
      </c>
      <c r="L960" s="60" t="str">
        <f>IFERROR(INDEX('Docketed Comments'!F:F,MATCH(A960,'Docketed Comments'!H:H,0)),"")</f>
        <v>My bill is already high and for single seniors that are living off of social security it will be almost impossible</v>
      </c>
      <c r="M960" s="120" t="str">
        <f>IFERROR(INDEX('Docketed Comments'!G:G,MATCH(A960,'Docketed Comments'!H:H,0)),"")</f>
        <v>https://docket.images.azcc.gov/E000048921.pdf</v>
      </c>
      <c r="N960" s="118" t="str">
        <f>IFERROR(INDEX('Docketed Comments'!N:N,MATCH(A960,'Docketed Comments'!H:H,0)),"")</f>
        <v>No</v>
      </c>
      <c r="O960" s="118" t="str">
        <f>IFERROR(INDEX('Docketed Comments'!L:L,MATCH(A960,'Docketed Comments'!H:H,0)),"")</f>
        <v>Yes</v>
      </c>
      <c r="P960" s="119">
        <f t="shared" si="28"/>
        <v>0</v>
      </c>
      <c r="Q960" s="60"/>
      <c r="R960" s="64" t="s">
        <v>75</v>
      </c>
      <c r="S960" s="64" t="s">
        <v>2041</v>
      </c>
    </row>
    <row r="961" spans="1:19" ht="21.95" customHeight="1">
      <c r="A961" s="66" t="s">
        <v>2042</v>
      </c>
      <c r="B961" s="64"/>
      <c r="C961" s="65"/>
      <c r="D961" s="64"/>
      <c r="E961" s="64"/>
      <c r="F961" s="60"/>
      <c r="G961" s="60" t="s">
        <v>88</v>
      </c>
      <c r="H961" s="60" t="str">
        <f>IFERROR(INDEX('Docketed Comments'!C:C,MATCH(A961,'Docketed Comments'!H:H,0))&amp;", "&amp;INDEX('Docketed Comments'!B:B,MATCH(A961,'Docketed Comments'!H:H,0)),"")</f>
        <v>Elizabeth, Weiss</v>
      </c>
      <c r="I961" s="60" t="str">
        <f>IFERROR(INDEX('Docketed Comments'!D:D,MATCH(A961,'Docketed Comments'!H:H,0)),"")</f>
        <v>Goodyear</v>
      </c>
      <c r="J961" s="60" t="str">
        <f>IFERROR(INDEX('Docketed Comments'!I:I,MATCH(A961,'Docketed Comments'!H:H,0)),"")</f>
        <v>R3-47</v>
      </c>
      <c r="K961" s="60" t="str">
        <f t="shared" si="29"/>
        <v>✅ On Best Plan</v>
      </c>
      <c r="L961" s="60" t="str">
        <f>IFERROR(INDEX('Docketed Comments'!F:F,MATCH(A961,'Docketed Comments'!H:H,0)),"")</f>
        <v>Please stop raising our electric bills no one can afford this . Plus the big shots are getting very rich</v>
      </c>
      <c r="M961" s="120" t="str">
        <f>IFERROR(INDEX('Docketed Comments'!G:G,MATCH(A961,'Docketed Comments'!H:H,0)),"")</f>
        <v>https://docket.images.azcc.gov/E000048921.pdf</v>
      </c>
      <c r="N961" s="118" t="str">
        <f>IFERROR(INDEX('Docketed Comments'!N:N,MATCH(A961,'Docketed Comments'!H:H,0)),"")</f>
        <v>No</v>
      </c>
      <c r="O961" s="118" t="str">
        <f>IFERROR(INDEX('Docketed Comments'!L:L,MATCH(A961,'Docketed Comments'!H:H,0)),"")</f>
        <v>Yes</v>
      </c>
      <c r="P961" s="119">
        <f t="shared" si="28"/>
        <v>0</v>
      </c>
      <c r="Q961" s="60"/>
      <c r="R961" s="64" t="s">
        <v>75</v>
      </c>
      <c r="S961" s="64" t="s">
        <v>2043</v>
      </c>
    </row>
    <row r="962" spans="1:19" ht="21.95" customHeight="1">
      <c r="A962" s="66" t="s">
        <v>2044</v>
      </c>
      <c r="B962" s="64"/>
      <c r="C962" s="65"/>
      <c r="D962" s="64"/>
      <c r="E962" s="64"/>
      <c r="F962" s="60"/>
      <c r="G962" s="60" t="s">
        <v>88</v>
      </c>
      <c r="H962" s="60" t="str">
        <f>IFERROR(INDEX('Docketed Comments'!C:C,MATCH(A962,'Docketed Comments'!H:H,0))&amp;", "&amp;INDEX('Docketed Comments'!B:B,MATCH(A962,'Docketed Comments'!H:H,0)),"")</f>
        <v xml:space="preserve">Virginia, Bradley </v>
      </c>
      <c r="I962" s="60" t="str">
        <f>IFERROR(INDEX('Docketed Comments'!D:D,MATCH(A962,'Docketed Comments'!H:H,0)),"")</f>
        <v>Scottsdale</v>
      </c>
      <c r="J962" s="60" t="str">
        <f>IFERROR(INDEX('Docketed Comments'!I:I,MATCH(A962,'Docketed Comments'!H:H,0)),"")</f>
        <v>R3-47</v>
      </c>
      <c r="K962" s="60" t="str">
        <f t="shared" si="29"/>
        <v>✅ On Best Plan</v>
      </c>
      <c r="L962" s="60" t="str">
        <f>IFERROR(INDEX('Docketed Comments'!F:F,MATCH(A962,'Docketed Comments'!H:H,0)),"")</f>
        <v xml:space="preserve">The company is already making so much and instead of working to reduce costs, they just go for price increases. </v>
      </c>
      <c r="M962" s="120" t="str">
        <f>IFERROR(INDEX('Docketed Comments'!G:G,MATCH(A962,'Docketed Comments'!H:H,0)),"")</f>
        <v>https://docket.images.azcc.gov/E000048921.pdf</v>
      </c>
      <c r="N962" s="118" t="str">
        <f>IFERROR(INDEX('Docketed Comments'!N:N,MATCH(A962,'Docketed Comments'!H:H,0)),"")</f>
        <v>No</v>
      </c>
      <c r="O962" s="118" t="str">
        <f>IFERROR(INDEX('Docketed Comments'!L:L,MATCH(A962,'Docketed Comments'!H:H,0)),"")</f>
        <v>Yes</v>
      </c>
      <c r="P962" s="119">
        <f t="shared" ref="P962:P1025" si="30">IFERROR(IF(ISNUMBER(SEARCH("$",O962)),VALUE(SUBSTITUTE(SUBSTITUTE(MID(O962,FIND("$",O962)+1,FIND(")",O962)-FIND("$",O962)-1),",","")," ","")),VALUE(SUBSTITUTE(SUBSTITUTE(MID(O962,FIND("(",O962)+1,FIND(")",O962)-FIND("(",O962)-1),",","")," ",""))),0)</f>
        <v>0</v>
      </c>
      <c r="Q962" s="60"/>
      <c r="R962" s="64" t="s">
        <v>75</v>
      </c>
      <c r="S962" s="64" t="s">
        <v>2045</v>
      </c>
    </row>
    <row r="963" spans="1:19" ht="21.95" customHeight="1">
      <c r="A963" s="66" t="s">
        <v>2046</v>
      </c>
      <c r="B963" s="64"/>
      <c r="C963" s="65"/>
      <c r="D963" s="64"/>
      <c r="E963" s="64"/>
      <c r="F963" s="60"/>
      <c r="G963" s="60" t="s">
        <v>88</v>
      </c>
      <c r="H963" s="60" t="str">
        <f>IFERROR(INDEX('Docketed Comments'!C:C,MATCH(A963,'Docketed Comments'!H:H,0))&amp;", "&amp;INDEX('Docketed Comments'!B:B,MATCH(A963,'Docketed Comments'!H:H,0)),"")</f>
        <v>Rosario, Zavala</v>
      </c>
      <c r="I963" s="60" t="str">
        <f>IFERROR(INDEX('Docketed Comments'!D:D,MATCH(A963,'Docketed Comments'!H:H,0)),"")</f>
        <v>Yuma</v>
      </c>
      <c r="J963" s="60" t="str">
        <f>IFERROR(INDEX('Docketed Comments'!I:I,MATCH(A963,'Docketed Comments'!H:H,0)),"")</f>
        <v>R-2</v>
      </c>
      <c r="K963" s="60" t="str">
        <f t="shared" ref="K963:K1026" si="31">IFERROR(IF(OR(LEFT(O963,2)="No",LEFT(O963,3)="Not"),"❌ Not on Best Plan",IF(OR(O963="Yes",O963="Y",O963="Yes "),"✅ On Best Plan","⚠ "&amp;O963)),"")</f>
        <v>⚠ Frozen Plan</v>
      </c>
      <c r="L963" s="60" t="str">
        <f>IFERROR(INDEX('Docketed Comments'!F:F,MATCH(A963,'Docketed Comments'!H:H,0)),"")</f>
        <v>everything is so expensive we can't no longer are able to support ourselves on the income we receive from social security</v>
      </c>
      <c r="M963" s="120" t="str">
        <f>IFERROR(INDEX('Docketed Comments'!G:G,MATCH(A963,'Docketed Comments'!H:H,0)),"")</f>
        <v>https://docket.images.azcc.gov/E000048921.pdf</v>
      </c>
      <c r="N963" s="118" t="str">
        <f>IFERROR(INDEX('Docketed Comments'!N:N,MATCH(A963,'Docketed Comments'!H:H,0)),"")</f>
        <v>No</v>
      </c>
      <c r="O963" s="118" t="str">
        <f>IFERROR(INDEX('Docketed Comments'!L:L,MATCH(A963,'Docketed Comments'!H:H,0)),"")</f>
        <v>Frozen Plan</v>
      </c>
      <c r="P963" s="119">
        <f t="shared" si="30"/>
        <v>0</v>
      </c>
      <c r="Q963" s="60"/>
      <c r="R963" s="64" t="s">
        <v>75</v>
      </c>
      <c r="S963" s="64" t="s">
        <v>2047</v>
      </c>
    </row>
    <row r="964" spans="1:19" ht="21.95" customHeight="1">
      <c r="A964" s="66" t="s">
        <v>2048</v>
      </c>
      <c r="B964" s="64"/>
      <c r="C964" s="65"/>
      <c r="D964" s="64"/>
      <c r="E964" s="64"/>
      <c r="F964" s="60"/>
      <c r="G964" s="60" t="s">
        <v>88</v>
      </c>
      <c r="H964" s="60" t="str">
        <f>IFERROR(INDEX('Docketed Comments'!C:C,MATCH(A964,'Docketed Comments'!H:H,0))&amp;", "&amp;INDEX('Docketed Comments'!B:B,MATCH(A964,'Docketed Comments'!H:H,0)),"")</f>
        <v>Lorrie, Brown</v>
      </c>
      <c r="I964" s="60" t="str">
        <f>IFERROR(INDEX('Docketed Comments'!D:D,MATCH(A964,'Docketed Comments'!H:H,0)),"")</f>
        <v>Glendale</v>
      </c>
      <c r="J964" s="60" t="str">
        <f>IFERROR(INDEX('Docketed Comments'!I:I,MATCH(A964,'Docketed Comments'!H:H,0)),"")</f>
        <v>R3-47</v>
      </c>
      <c r="K964" s="60" t="str">
        <f t="shared" si="31"/>
        <v>✅ On Best Plan</v>
      </c>
      <c r="L964" s="60" t="str">
        <f>IFERROR(INDEX('Docketed Comments'!F:F,MATCH(A964,'Docketed Comments'!H:H,0)),"")</f>
        <v>Do not support increase for APS Please!!!!!!</v>
      </c>
      <c r="M964" s="120" t="str">
        <f>IFERROR(INDEX('Docketed Comments'!G:G,MATCH(A964,'Docketed Comments'!H:H,0)),"")</f>
        <v>https://docket.images.azcc.gov/E000048921.pdf</v>
      </c>
      <c r="N964" s="118" t="str">
        <f>IFERROR(INDEX('Docketed Comments'!N:N,MATCH(A964,'Docketed Comments'!H:H,0)),"")</f>
        <v>No</v>
      </c>
      <c r="O964" s="118" t="str">
        <f>IFERROR(INDEX('Docketed Comments'!L:L,MATCH(A964,'Docketed Comments'!H:H,0)),"")</f>
        <v>Yes</v>
      </c>
      <c r="P964" s="119">
        <f t="shared" si="30"/>
        <v>0</v>
      </c>
      <c r="Q964" s="60"/>
      <c r="R964" s="64" t="s">
        <v>75</v>
      </c>
      <c r="S964" s="64" t="s">
        <v>2049</v>
      </c>
    </row>
    <row r="965" spans="1:19" ht="21.95" customHeight="1">
      <c r="A965" s="66" t="s">
        <v>2050</v>
      </c>
      <c r="B965" s="64"/>
      <c r="C965" s="65"/>
      <c r="D965" s="64"/>
      <c r="E965" s="64"/>
      <c r="F965" s="60"/>
      <c r="G965" s="60" t="s">
        <v>88</v>
      </c>
      <c r="H965" s="60" t="str">
        <f>IFERROR(INDEX('Docketed Comments'!C:C,MATCH(A965,'Docketed Comments'!H:H,0))&amp;", "&amp;INDEX('Docketed Comments'!B:B,MATCH(A965,'Docketed Comments'!H:H,0)),"")</f>
        <v>Addison, Ong</v>
      </c>
      <c r="I965" s="60" t="str">
        <f>IFERROR(INDEX('Docketed Comments'!D:D,MATCH(A965,'Docketed Comments'!H:H,0)),"")</f>
        <v>Phoenix</v>
      </c>
      <c r="J965" s="60" t="str">
        <f>IFERROR(INDEX('Docketed Comments'!I:I,MATCH(A965,'Docketed Comments'!H:H,0)),"")</f>
        <v>R3-47</v>
      </c>
      <c r="K965" s="60" t="str">
        <f t="shared" si="31"/>
        <v>✅ On Best Plan</v>
      </c>
      <c r="L965" s="60" t="str">
        <f>IFERROR(INDEX('Docketed Comments'!F:F,MATCH(A965,'Docketed Comments'!H:H,0)),"")</f>
        <v>Please do not approve this, many of us are already living paycheck to paycheck for these billionaires to line their pockets</v>
      </c>
      <c r="M965" s="120" t="str">
        <f>IFERROR(INDEX('Docketed Comments'!G:G,MATCH(A965,'Docketed Comments'!H:H,0)),"")</f>
        <v>https://docket.images.azcc.gov/E000048921.pdf</v>
      </c>
      <c r="N965" s="118" t="str">
        <f>IFERROR(INDEX('Docketed Comments'!N:N,MATCH(A965,'Docketed Comments'!H:H,0)),"")</f>
        <v>No</v>
      </c>
      <c r="O965" s="118" t="str">
        <f>IFERROR(INDEX('Docketed Comments'!L:L,MATCH(A965,'Docketed Comments'!H:H,0)),"")</f>
        <v>Yes</v>
      </c>
      <c r="P965" s="119">
        <f t="shared" si="30"/>
        <v>0</v>
      </c>
      <c r="Q965" s="60"/>
      <c r="R965" s="64" t="s">
        <v>75</v>
      </c>
      <c r="S965" s="124" t="s">
        <v>2051</v>
      </c>
    </row>
    <row r="966" spans="1:19" ht="21.95" customHeight="1">
      <c r="A966" s="66" t="s">
        <v>2052</v>
      </c>
      <c r="B966" s="64"/>
      <c r="C966" s="65"/>
      <c r="D966" s="64"/>
      <c r="E966" s="64"/>
      <c r="F966" s="60"/>
      <c r="G966" s="60" t="s">
        <v>88</v>
      </c>
      <c r="H966" s="60" t="str">
        <f>IFERROR(INDEX('Docketed Comments'!C:C,MATCH(A966,'Docketed Comments'!H:H,0))&amp;", "&amp;INDEX('Docketed Comments'!B:B,MATCH(A966,'Docketed Comments'!H:H,0)),"")</f>
        <v>John, Carter</v>
      </c>
      <c r="I966" s="60" t="str">
        <f>IFERROR(INDEX('Docketed Comments'!D:D,MATCH(A966,'Docketed Comments'!H:H,0)),"")</f>
        <v>Prescott Valley</v>
      </c>
      <c r="J966" s="60" t="str">
        <f>IFERROR(INDEX('Docketed Comments'!I:I,MATCH(A966,'Docketed Comments'!H:H,0)),"")</f>
        <v>R-XS</v>
      </c>
      <c r="K966" s="60" t="str">
        <f t="shared" si="31"/>
        <v>✅ On Best Plan</v>
      </c>
      <c r="L966" s="60" t="str">
        <f>IFERROR(INDEX('Docketed Comments'!F:F,MATCH(A966,'Docketed Comments'!H:H,0)),"")</f>
        <v>In today's improved economy (just ask Trump) and with the help from AI, APS should be able to figure out how to keep expenses down</v>
      </c>
      <c r="M966" s="120" t="str">
        <f>IFERROR(INDEX('Docketed Comments'!G:G,MATCH(A966,'Docketed Comments'!H:H,0)),"")</f>
        <v>https://docket.images.azcc.gov/E000048921.pdf</v>
      </c>
      <c r="N966" s="118" t="str">
        <f>IFERROR(INDEX('Docketed Comments'!N:N,MATCH(A966,'Docketed Comments'!H:H,0)),"")</f>
        <v>No</v>
      </c>
      <c r="O966" s="118" t="str">
        <f>IFERROR(INDEX('Docketed Comments'!L:L,MATCH(A966,'Docketed Comments'!H:H,0)),"")</f>
        <v>Yes</v>
      </c>
      <c r="P966" s="119">
        <f t="shared" si="30"/>
        <v>0</v>
      </c>
      <c r="Q966" s="60"/>
      <c r="R966" s="64" t="s">
        <v>75</v>
      </c>
      <c r="S966" s="64" t="s">
        <v>2053</v>
      </c>
    </row>
    <row r="967" spans="1:19" ht="21.95" customHeight="1">
      <c r="A967" s="66" t="s">
        <v>2054</v>
      </c>
      <c r="B967" s="64"/>
      <c r="C967" s="65"/>
      <c r="D967" s="64"/>
      <c r="E967" s="64"/>
      <c r="F967" s="60"/>
      <c r="G967" s="60" t="s">
        <v>88</v>
      </c>
      <c r="H967" s="60" t="str">
        <f>IFERROR(INDEX('Docketed Comments'!C:C,MATCH(A967,'Docketed Comments'!H:H,0))&amp;", "&amp;INDEX('Docketed Comments'!B:B,MATCH(A967,'Docketed Comments'!H:H,0)),"")</f>
        <v>Heather, Smith</v>
      </c>
      <c r="I967" s="60" t="str">
        <f>IFERROR(INDEX('Docketed Comments'!D:D,MATCH(A967,'Docketed Comments'!H:H,0)),"")</f>
        <v>Yuma</v>
      </c>
      <c r="J967" s="60" t="str">
        <f>IFERROR(INDEX('Docketed Comments'!I:I,MATCH(A967,'Docketed Comments'!H:H,0)),"")</f>
        <v>R3-47</v>
      </c>
      <c r="K967" s="60" t="str">
        <f t="shared" si="31"/>
        <v>✅ On Best Plan</v>
      </c>
      <c r="L967" s="60" t="str">
        <f>IFERROR(INDEX('Docketed Comments'!F:F,MATCH(A967,'Docketed Comments'!H:H,0)),"")</f>
        <v>Use least amount of electricity, best plan, hard time now paying my bill</v>
      </c>
      <c r="M967" s="120" t="str">
        <f>IFERROR(INDEX('Docketed Comments'!G:G,MATCH(A967,'Docketed Comments'!H:H,0)),"")</f>
        <v>https://docket.images.azcc.gov/E000048921.pdf</v>
      </c>
      <c r="N967" s="118" t="str">
        <f>IFERROR(INDEX('Docketed Comments'!N:N,MATCH(A967,'Docketed Comments'!H:H,0)),"")</f>
        <v>No</v>
      </c>
      <c r="O967" s="118" t="str">
        <f>IFERROR(INDEX('Docketed Comments'!L:L,MATCH(A967,'Docketed Comments'!H:H,0)),"")</f>
        <v>Yes</v>
      </c>
      <c r="P967" s="119">
        <f t="shared" si="30"/>
        <v>0</v>
      </c>
      <c r="Q967" s="60"/>
      <c r="R967" s="64" t="s">
        <v>75</v>
      </c>
      <c r="S967" s="64" t="s">
        <v>2055</v>
      </c>
    </row>
    <row r="968" spans="1:19" ht="21.95" customHeight="1">
      <c r="A968" s="66" t="s">
        <v>2056</v>
      </c>
      <c r="B968" s="64"/>
      <c r="C968" s="65"/>
      <c r="D968" s="64"/>
      <c r="E968" s="64"/>
      <c r="F968" s="60"/>
      <c r="G968" s="60" t="s">
        <v>88</v>
      </c>
      <c r="H968" s="60" t="str">
        <f>IFERROR(INDEX('Docketed Comments'!C:C,MATCH(A968,'Docketed Comments'!H:H,0))&amp;", "&amp;INDEX('Docketed Comments'!B:B,MATCH(A968,'Docketed Comments'!H:H,0)),"")</f>
        <v>Marilyn, Jackson</v>
      </c>
      <c r="I968" s="60" t="str">
        <f>IFERROR(INDEX('Docketed Comments'!D:D,MATCH(A968,'Docketed Comments'!H:H,0)),"")</f>
        <v>Ajo</v>
      </c>
      <c r="J968" s="60" t="str">
        <f>IFERROR(INDEX('Docketed Comments'!I:I,MATCH(A968,'Docketed Comments'!H:H,0)),"")</f>
        <v>R-XS</v>
      </c>
      <c r="K968" s="60" t="str">
        <f t="shared" si="31"/>
        <v>✅ On Best Plan</v>
      </c>
      <c r="L968" s="60" t="str">
        <f>IFERROR(INDEX('Docketed Comments'!F:F,MATCH(A968,'Docketed Comments'!H:H,0)),"")</f>
        <v>The Corporation Commission has burdened the rate payers of Arizona for years.</v>
      </c>
      <c r="M968" s="120" t="str">
        <f>IFERROR(INDEX('Docketed Comments'!G:G,MATCH(A968,'Docketed Comments'!H:H,0)),"")</f>
        <v>https://docket.images.azcc.gov/E000048921.pdf</v>
      </c>
      <c r="N968" s="118" t="str">
        <f>IFERROR(INDEX('Docketed Comments'!N:N,MATCH(A968,'Docketed Comments'!H:H,0)),"")</f>
        <v>No</v>
      </c>
      <c r="O968" s="118" t="str">
        <f>IFERROR(INDEX('Docketed Comments'!L:L,MATCH(A968,'Docketed Comments'!H:H,0)),"")</f>
        <v>Yes</v>
      </c>
      <c r="P968" s="119">
        <f t="shared" si="30"/>
        <v>0</v>
      </c>
      <c r="Q968" s="60"/>
      <c r="R968" s="64" t="s">
        <v>75</v>
      </c>
      <c r="S968" s="64" t="s">
        <v>2057</v>
      </c>
    </row>
    <row r="969" spans="1:19" ht="21.95" customHeight="1">
      <c r="A969" s="66" t="s">
        <v>2058</v>
      </c>
      <c r="B969" s="64"/>
      <c r="C969" s="65"/>
      <c r="D969" s="64"/>
      <c r="E969" s="64"/>
      <c r="F969" s="60"/>
      <c r="G969" s="60" t="s">
        <v>88</v>
      </c>
      <c r="H969" s="60" t="str">
        <f>IFERROR(INDEX('Docketed Comments'!C:C,MATCH(A969,'Docketed Comments'!H:H,0))&amp;", "&amp;INDEX('Docketed Comments'!B:B,MATCH(A969,'Docketed Comments'!H:H,0)),"")</f>
        <v>Alison, Heller Walstra</v>
      </c>
      <c r="I969" s="60" t="str">
        <f>IFERROR(INDEX('Docketed Comments'!D:D,MATCH(A969,'Docketed Comments'!H:H,0)),"")</f>
        <v>Arizona City</v>
      </c>
      <c r="J969" s="60" t="str">
        <f>IFERROR(INDEX('Docketed Comments'!I:I,MATCH(A969,'Docketed Comments'!H:H,0)),"")</f>
        <v>R3-47</v>
      </c>
      <c r="K969" s="60" t="str">
        <f t="shared" si="31"/>
        <v>✅ On Best Plan</v>
      </c>
      <c r="L969" s="60" t="str">
        <f>IFERROR(INDEX('Docketed Comments'!F:F,MATCH(A969,'Docketed Comments'!H:H,0)),"")</f>
        <v>MORE hardship than already has been committed, I want to use harsher language, but am restraining myself</v>
      </c>
      <c r="M969" s="120" t="str">
        <f>IFERROR(INDEX('Docketed Comments'!G:G,MATCH(A969,'Docketed Comments'!H:H,0)),"")</f>
        <v>https://docket.images.azcc.gov/E000048921.pdf</v>
      </c>
      <c r="N969" s="118" t="str">
        <f>IFERROR(INDEX('Docketed Comments'!N:N,MATCH(A969,'Docketed Comments'!H:H,0)),"")</f>
        <v>No</v>
      </c>
      <c r="O969" s="118" t="str">
        <f>IFERROR(INDEX('Docketed Comments'!L:L,MATCH(A969,'Docketed Comments'!H:H,0)),"")</f>
        <v>Yes</v>
      </c>
      <c r="P969" s="119">
        <f t="shared" si="30"/>
        <v>0</v>
      </c>
      <c r="Q969" s="60"/>
      <c r="R969" s="64" t="s">
        <v>75</v>
      </c>
      <c r="S969" s="64" t="s">
        <v>2059</v>
      </c>
    </row>
    <row r="970" spans="1:19" ht="21.95" customHeight="1">
      <c r="A970" s="66" t="s">
        <v>2060</v>
      </c>
      <c r="B970" s="64"/>
      <c r="C970" s="65"/>
      <c r="D970" s="64"/>
      <c r="E970" s="64"/>
      <c r="F970" s="60"/>
      <c r="G970" s="60" t="s">
        <v>88</v>
      </c>
      <c r="H970" s="60" t="str">
        <f>IFERROR(INDEX('Docketed Comments'!C:C,MATCH(A970,'Docketed Comments'!H:H,0))&amp;", "&amp;INDEX('Docketed Comments'!B:B,MATCH(A970,'Docketed Comments'!H:H,0)),"")</f>
        <v>Nancy, Brown</v>
      </c>
      <c r="I970" s="60" t="str">
        <f>IFERROR(INDEX('Docketed Comments'!D:D,MATCH(A970,'Docketed Comments'!H:H,0)),"")</f>
        <v>Surprise</v>
      </c>
      <c r="J970" s="60" t="str">
        <f>IFERROR(INDEX('Docketed Comments'!I:I,MATCH(A970,'Docketed Comments'!H:H,0)),"")</f>
        <v>R3-47</v>
      </c>
      <c r="K970" s="60" t="str">
        <f t="shared" si="31"/>
        <v>✅ On Best Plan</v>
      </c>
      <c r="L970" s="60" t="str">
        <f>IFERROR(INDEX('Docketed Comments'!F:F,MATCH(A970,'Docketed Comments'!H:H,0)),"")</f>
        <v>I am widowed, on a fixed income. My income dropped in half after my husband passed away. My income pretty much stays the same</v>
      </c>
      <c r="M970" s="120" t="str">
        <f>IFERROR(INDEX('Docketed Comments'!G:G,MATCH(A970,'Docketed Comments'!H:H,0)),"")</f>
        <v>https://docket.images.azcc.gov/E000048921.pdf</v>
      </c>
      <c r="N970" s="118" t="str">
        <f>IFERROR(INDEX('Docketed Comments'!N:N,MATCH(A970,'Docketed Comments'!H:H,0)),"")</f>
        <v>No</v>
      </c>
      <c r="O970" s="118" t="str">
        <f>IFERROR(INDEX('Docketed Comments'!L:L,MATCH(A970,'Docketed Comments'!H:H,0)),"")</f>
        <v>Yes</v>
      </c>
      <c r="P970" s="119">
        <f t="shared" si="30"/>
        <v>0</v>
      </c>
      <c r="Q970" s="60"/>
      <c r="R970" s="64" t="s">
        <v>75</v>
      </c>
      <c r="S970" s="64" t="s">
        <v>2061</v>
      </c>
    </row>
    <row r="971" spans="1:19" ht="21.95" customHeight="1">
      <c r="A971" s="66" t="s">
        <v>2062</v>
      </c>
      <c r="B971" s="64"/>
      <c r="C971" s="65"/>
      <c r="D971" s="64"/>
      <c r="E971" s="64"/>
      <c r="F971" s="60"/>
      <c r="G971" s="60" t="s">
        <v>88</v>
      </c>
      <c r="H971" s="60" t="str">
        <f>IFERROR(INDEX('Docketed Comments'!C:C,MATCH(A971,'Docketed Comments'!H:H,0))&amp;", "&amp;INDEX('Docketed Comments'!B:B,MATCH(A971,'Docketed Comments'!H:H,0)),"")</f>
        <v>Craig, Thompson</v>
      </c>
      <c r="I971" s="60" t="str">
        <f>IFERROR(INDEX('Docketed Comments'!D:D,MATCH(A971,'Docketed Comments'!H:H,0)),"")</f>
        <v>Paulden</v>
      </c>
      <c r="J971" s="60" t="str">
        <f>IFERROR(INDEX('Docketed Comments'!I:I,MATCH(A971,'Docketed Comments'!H:H,0)),"")</f>
        <v>RCPw/RTOUE47</v>
      </c>
      <c r="K971" s="60" t="str">
        <f t="shared" si="31"/>
        <v>✅ On Best Plan</v>
      </c>
      <c r="L971" s="60" t="str">
        <f>IFERROR(INDEX('Docketed Comments'!F:F,MATCH(A971,'Docketed Comments'!H:H,0)),"")</f>
        <v xml:space="preserve">The current rates are high enough and any increase would put an unfair burden on those of us in the lower income bracket. </v>
      </c>
      <c r="M971" s="120" t="str">
        <f>IFERROR(INDEX('Docketed Comments'!G:G,MATCH(A971,'Docketed Comments'!H:H,0)),"")</f>
        <v>https://docket.images.azcc.gov/E000048921.pdf</v>
      </c>
      <c r="N971" s="118" t="str">
        <f>IFERROR(INDEX('Docketed Comments'!N:N,MATCH(A971,'Docketed Comments'!H:H,0)),"")</f>
        <v>No</v>
      </c>
      <c r="O971" s="118" t="str">
        <f>IFERROR(INDEX('Docketed Comments'!L:L,MATCH(A971,'Docketed Comments'!H:H,0)),"")</f>
        <v>Yes</v>
      </c>
      <c r="P971" s="119">
        <f t="shared" si="30"/>
        <v>0</v>
      </c>
      <c r="Q971" s="60"/>
      <c r="R971" s="64" t="s">
        <v>75</v>
      </c>
      <c r="S971" s="64" t="s">
        <v>2063</v>
      </c>
    </row>
    <row r="972" spans="1:19" ht="21.95" customHeight="1">
      <c r="A972" s="66" t="s">
        <v>2064</v>
      </c>
      <c r="B972" s="64"/>
      <c r="C972" s="65"/>
      <c r="D972" s="64"/>
      <c r="E972" s="64"/>
      <c r="F972" s="60"/>
      <c r="G972" s="60" t="s">
        <v>88</v>
      </c>
      <c r="H972" s="60" t="str">
        <f>IFERROR(INDEX('Docketed Comments'!C:C,MATCH(A972,'Docketed Comments'!H:H,0))&amp;", "&amp;INDEX('Docketed Comments'!B:B,MATCH(A972,'Docketed Comments'!H:H,0)),"")</f>
        <v>Delores, Walker</v>
      </c>
      <c r="I972" s="60" t="str">
        <f>IFERROR(INDEX('Docketed Comments'!D:D,MATCH(A972,'Docketed Comments'!H:H,0)),"")</f>
        <v>Phoenix</v>
      </c>
      <c r="J972" s="60" t="str">
        <f>IFERROR(INDEX('Docketed Comments'!I:I,MATCH(A972,'Docketed Comments'!H:H,0)),"")</f>
        <v>R3-47</v>
      </c>
      <c r="K972" s="60" t="str">
        <f t="shared" si="31"/>
        <v>✅ On Best Plan</v>
      </c>
      <c r="L972" s="60" t="str">
        <f>IFERROR(INDEX('Docketed Comments'!F:F,MATCH(A972,'Docketed Comments'!H:H,0)),"")</f>
        <v>Senior on a fixed income with UTILITIES CONSTANTLY GOING UP..CAN WE PLEASE GET A BREAK...PLEASE.. THANK YOU AND</v>
      </c>
      <c r="M972" s="120" t="str">
        <f>IFERROR(INDEX('Docketed Comments'!G:G,MATCH(A972,'Docketed Comments'!H:H,0)),"")</f>
        <v>https://docket.images.azcc.gov/E000048921.pdf</v>
      </c>
      <c r="N972" s="118" t="str">
        <f>IFERROR(INDEX('Docketed Comments'!N:N,MATCH(A972,'Docketed Comments'!H:H,0)),"")</f>
        <v>No</v>
      </c>
      <c r="O972" s="118" t="str">
        <f>IFERROR(INDEX('Docketed Comments'!L:L,MATCH(A972,'Docketed Comments'!H:H,0)),"")</f>
        <v>Yes</v>
      </c>
      <c r="P972" s="119">
        <f t="shared" si="30"/>
        <v>0</v>
      </c>
      <c r="Q972" s="60"/>
      <c r="R972" s="64" t="s">
        <v>75</v>
      </c>
      <c r="S972" s="64" t="s">
        <v>2065</v>
      </c>
    </row>
    <row r="973" spans="1:19" ht="21.95" customHeight="1">
      <c r="A973" s="66" t="s">
        <v>2066</v>
      </c>
      <c r="B973" s="64"/>
      <c r="C973" s="65"/>
      <c r="D973" s="64"/>
      <c r="E973" s="64"/>
      <c r="F973" s="60"/>
      <c r="G973" s="60" t="s">
        <v>88</v>
      </c>
      <c r="H973" s="60" t="str">
        <f>IFERROR(INDEX('Docketed Comments'!C:C,MATCH(A973,'Docketed Comments'!H:H,0))&amp;", "&amp;INDEX('Docketed Comments'!B:B,MATCH(A973,'Docketed Comments'!H:H,0)),"")</f>
        <v>Jerald, Buglione</v>
      </c>
      <c r="I973" s="60" t="str">
        <f>IFERROR(INDEX('Docketed Comments'!D:D,MATCH(A973,'Docketed Comments'!H:H,0)),"")</f>
        <v>Surprise</v>
      </c>
      <c r="J973" s="60" t="str">
        <f>IFERROR(INDEX('Docketed Comments'!I:I,MATCH(A973,'Docketed Comments'!H:H,0)),"")</f>
        <v>R3-47</v>
      </c>
      <c r="K973" s="60" t="str">
        <f t="shared" si="31"/>
        <v>✅ On Best Plan</v>
      </c>
      <c r="L973" s="60" t="str">
        <f>IFERROR(INDEX('Docketed Comments'!F:F,MATCH(A973,'Docketed Comments'!H:H,0)),"")</f>
        <v xml:space="preserve">Once the economy is better we can talk about it. Everything right now is in a up wing. So please wait. </v>
      </c>
      <c r="M973" s="120" t="str">
        <f>IFERROR(INDEX('Docketed Comments'!G:G,MATCH(A973,'Docketed Comments'!H:H,0)),"")</f>
        <v>https://docket.images.azcc.gov/E000048921.pdf</v>
      </c>
      <c r="N973" s="118" t="str">
        <f>IFERROR(INDEX('Docketed Comments'!N:N,MATCH(A973,'Docketed Comments'!H:H,0)),"")</f>
        <v>No</v>
      </c>
      <c r="O973" s="118" t="str">
        <f>IFERROR(INDEX('Docketed Comments'!L:L,MATCH(A973,'Docketed Comments'!H:H,0)),"")</f>
        <v>Yes</v>
      </c>
      <c r="P973" s="119">
        <f t="shared" si="30"/>
        <v>0</v>
      </c>
      <c r="Q973" s="60"/>
      <c r="R973" s="64" t="s">
        <v>75</v>
      </c>
      <c r="S973" s="64" t="s">
        <v>2067</v>
      </c>
    </row>
    <row r="974" spans="1:19" ht="21.95" customHeight="1">
      <c r="A974" s="66" t="s">
        <v>2068</v>
      </c>
      <c r="B974" s="64"/>
      <c r="C974" s="65"/>
      <c r="D974" s="64"/>
      <c r="E974" s="64"/>
      <c r="F974" s="60"/>
      <c r="G974" s="60" t="s">
        <v>88</v>
      </c>
      <c r="H974" s="60" t="str">
        <f>IFERROR(INDEX('Docketed Comments'!C:C,MATCH(A974,'Docketed Comments'!H:H,0))&amp;", "&amp;INDEX('Docketed Comments'!B:B,MATCH(A974,'Docketed Comments'!H:H,0)),"")</f>
        <v>Karla, Adams</v>
      </c>
      <c r="I974" s="60" t="str">
        <f>IFERROR(INDEX('Docketed Comments'!D:D,MATCH(A974,'Docketed Comments'!H:H,0)),"")</f>
        <v>Sun City</v>
      </c>
      <c r="J974" s="60" t="str">
        <f>IFERROR(INDEX('Docketed Comments'!I:I,MATCH(A974,'Docketed Comments'!H:H,0)),"")</f>
        <v>EPR6w/ET-2</v>
      </c>
      <c r="K974" s="60" t="str">
        <f t="shared" si="31"/>
        <v>⚠ Frozen Plan</v>
      </c>
      <c r="L974" s="60" t="str">
        <f>IFERROR(INDEX('Docketed Comments'!F:F,MATCH(A974,'Docketed Comments'!H:H,0)),"")</f>
        <v>No More Rate hikes. We are paying for their upgrades without them having to spend from their bottom line.</v>
      </c>
      <c r="M974" s="120" t="str">
        <f>IFERROR(INDEX('Docketed Comments'!G:G,MATCH(A974,'Docketed Comments'!H:H,0)),"")</f>
        <v>https://docket.images.azcc.gov/E000048921.pdf</v>
      </c>
      <c r="N974" s="118" t="str">
        <f>IFERROR(INDEX('Docketed Comments'!N:N,MATCH(A974,'Docketed Comments'!H:H,0)),"")</f>
        <v>No</v>
      </c>
      <c r="O974" s="118" t="str">
        <f>IFERROR(INDEX('Docketed Comments'!L:L,MATCH(A974,'Docketed Comments'!H:H,0)),"")</f>
        <v>Frozen Plan</v>
      </c>
      <c r="P974" s="119">
        <f t="shared" si="30"/>
        <v>0</v>
      </c>
      <c r="Q974" s="60"/>
      <c r="R974" s="64" t="s">
        <v>75</v>
      </c>
      <c r="S974" s="64" t="s">
        <v>2069</v>
      </c>
    </row>
    <row r="975" spans="1:19" ht="21.95" customHeight="1">
      <c r="A975" s="66" t="s">
        <v>2070</v>
      </c>
      <c r="B975" s="64"/>
      <c r="C975" s="65"/>
      <c r="D975" s="64"/>
      <c r="E975" s="64"/>
      <c r="F975" s="60"/>
      <c r="G975" s="60" t="s">
        <v>88</v>
      </c>
      <c r="H975" s="60" t="str">
        <f>IFERROR(INDEX('Docketed Comments'!C:C,MATCH(A975,'Docketed Comments'!H:H,0))&amp;", "&amp;INDEX('Docketed Comments'!B:B,MATCH(A975,'Docketed Comments'!H:H,0)),"")</f>
        <v>Dan, Shirk</v>
      </c>
      <c r="I975" s="60" t="str">
        <f>IFERROR(INDEX('Docketed Comments'!D:D,MATCH(A975,'Docketed Comments'!H:H,0)),"")</f>
        <v xml:space="preserve">Phoenix </v>
      </c>
      <c r="J975" s="60" t="str">
        <f>IFERROR(INDEX('Docketed Comments'!I:I,MATCH(A975,'Docketed Comments'!H:H,0)),"")</f>
        <v>R3-47</v>
      </c>
      <c r="K975" s="60" t="str">
        <f t="shared" si="31"/>
        <v>✅ On Best Plan</v>
      </c>
      <c r="L975" s="60" t="str">
        <f>IFERROR(INDEX('Docketed Comments'!F:F,MATCH(A975,'Docketed Comments'!H:H,0)),"")</f>
        <v>There presently no justification for an increase in utility rates. The present profit level meets their operating needs</v>
      </c>
      <c r="M975" s="120" t="str">
        <f>IFERROR(INDEX('Docketed Comments'!G:G,MATCH(A975,'Docketed Comments'!H:H,0)),"")</f>
        <v>https://docket.images.azcc.gov/E000048921.pdf</v>
      </c>
      <c r="N975" s="118" t="str">
        <f>IFERROR(INDEX('Docketed Comments'!N:N,MATCH(A975,'Docketed Comments'!H:H,0)),"")</f>
        <v>No</v>
      </c>
      <c r="O975" s="118" t="str">
        <f>IFERROR(INDEX('Docketed Comments'!L:L,MATCH(A975,'Docketed Comments'!H:H,0)),"")</f>
        <v>Yes</v>
      </c>
      <c r="P975" s="119">
        <f t="shared" si="30"/>
        <v>0</v>
      </c>
      <c r="Q975" s="60"/>
      <c r="R975" s="64" t="s">
        <v>75</v>
      </c>
      <c r="S975" s="64" t="s">
        <v>2071</v>
      </c>
    </row>
    <row r="976" spans="1:19" ht="21.95" customHeight="1">
      <c r="A976" s="66" t="s">
        <v>2072</v>
      </c>
      <c r="B976" s="64"/>
      <c r="C976" s="65"/>
      <c r="D976" s="64"/>
      <c r="E976" s="64"/>
      <c r="F976" s="60"/>
      <c r="G976" s="60" t="s">
        <v>88</v>
      </c>
      <c r="H976" s="60" t="str">
        <f>IFERROR(INDEX('Docketed Comments'!C:C,MATCH(A976,'Docketed Comments'!H:H,0))&amp;", "&amp;INDEX('Docketed Comments'!B:B,MATCH(A976,'Docketed Comments'!H:H,0)),"")</f>
        <v>Corinne, Morris</v>
      </c>
      <c r="I976" s="60" t="str">
        <f>IFERROR(INDEX('Docketed Comments'!D:D,MATCH(A976,'Docketed Comments'!H:H,0)),"")</f>
        <v>Flagstaff</v>
      </c>
      <c r="J976" s="60" t="str">
        <f>IFERROR(INDEX('Docketed Comments'!I:I,MATCH(A976,'Docketed Comments'!H:H,0)),"")</f>
        <v>R-XS</v>
      </c>
      <c r="K976" s="60" t="str">
        <f t="shared" si="31"/>
        <v>✅ On Best Plan</v>
      </c>
      <c r="L976" s="60" t="str">
        <f>IFERROR(INDEX('Docketed Comments'!F:F,MATCH(A976,'Docketed Comments'!H:H,0)),"")</f>
        <v xml:space="preserve">Proces on everything has increased enough and wages for my work aren't changing with it. </v>
      </c>
      <c r="M976" s="120" t="str">
        <f>IFERROR(INDEX('Docketed Comments'!G:G,MATCH(A976,'Docketed Comments'!H:H,0)),"")</f>
        <v>https://docket.images.azcc.gov/E000048921.pdf</v>
      </c>
      <c r="N976" s="118" t="str">
        <f>IFERROR(INDEX('Docketed Comments'!N:N,MATCH(A976,'Docketed Comments'!H:H,0)),"")</f>
        <v>No</v>
      </c>
      <c r="O976" s="118" t="str">
        <f>IFERROR(INDEX('Docketed Comments'!L:L,MATCH(A976,'Docketed Comments'!H:H,0)),"")</f>
        <v>Yes</v>
      </c>
      <c r="P976" s="119">
        <f t="shared" si="30"/>
        <v>0</v>
      </c>
      <c r="Q976" s="60"/>
      <c r="R976" s="64" t="s">
        <v>75</v>
      </c>
      <c r="S976" s="64" t="s">
        <v>2073</v>
      </c>
    </row>
    <row r="977" spans="1:19" ht="21.95" customHeight="1">
      <c r="A977" s="66" t="s">
        <v>2074</v>
      </c>
      <c r="B977" s="64"/>
      <c r="C977" s="65"/>
      <c r="D977" s="64"/>
      <c r="E977" s="64"/>
      <c r="F977" s="60"/>
      <c r="G977" s="60" t="s">
        <v>88</v>
      </c>
      <c r="H977" s="60" t="str">
        <f>IFERROR(INDEX('Docketed Comments'!C:C,MATCH(A977,'Docketed Comments'!H:H,0))&amp;", "&amp;INDEX('Docketed Comments'!B:B,MATCH(A977,'Docketed Comments'!H:H,0)),"")</f>
        <v>Craig, Pittenridge</v>
      </c>
      <c r="I977" s="60" t="str">
        <f>IFERROR(INDEX('Docketed Comments'!D:D,MATCH(A977,'Docketed Comments'!H:H,0)),"")</f>
        <v>Sun City</v>
      </c>
      <c r="J977" s="60" t="str">
        <f>IFERROR(INDEX('Docketed Comments'!I:I,MATCH(A977,'Docketed Comments'!H:H,0)),"")</f>
        <v>EPR6w/ET-1</v>
      </c>
      <c r="K977" s="60" t="str">
        <f t="shared" si="31"/>
        <v>⚠ Frozen Plan</v>
      </c>
      <c r="L977" s="60" t="str">
        <f>IFERROR(INDEX('Docketed Comments'!F:F,MATCH(A977,'Docketed Comments'!H:H,0)),"")</f>
        <v>My summer bills are already between $500-$600, I have solar (another $110) that APS buys for pennies on the dollar</v>
      </c>
      <c r="M977" s="120" t="str">
        <f>IFERROR(INDEX('Docketed Comments'!G:G,MATCH(A977,'Docketed Comments'!H:H,0)),"")</f>
        <v>https://docket.images.azcc.gov/E000048921.pdf</v>
      </c>
      <c r="N977" s="118" t="str">
        <f>IFERROR(INDEX('Docketed Comments'!N:N,MATCH(A977,'Docketed Comments'!H:H,0)),"")</f>
        <v>No</v>
      </c>
      <c r="O977" s="118" t="str">
        <f>IFERROR(INDEX('Docketed Comments'!L:L,MATCH(A977,'Docketed Comments'!H:H,0)),"")</f>
        <v>Frozen Plan</v>
      </c>
      <c r="P977" s="119">
        <f t="shared" si="30"/>
        <v>0</v>
      </c>
      <c r="Q977" s="60"/>
      <c r="R977" s="64" t="s">
        <v>75</v>
      </c>
      <c r="S977" s="64" t="s">
        <v>2075</v>
      </c>
    </row>
    <row r="978" spans="1:19" ht="21.95" customHeight="1">
      <c r="A978" s="66" t="s">
        <v>2076</v>
      </c>
      <c r="B978" s="64"/>
      <c r="C978" s="65"/>
      <c r="D978" s="64"/>
      <c r="E978" s="64"/>
      <c r="F978" s="60"/>
      <c r="G978" s="60" t="s">
        <v>88</v>
      </c>
      <c r="H978" s="60" t="str">
        <f>IFERROR(INDEX('Docketed Comments'!C:C,MATCH(A978,'Docketed Comments'!H:H,0))&amp;", "&amp;INDEX('Docketed Comments'!B:B,MATCH(A978,'Docketed Comments'!H:H,0)),"")</f>
        <v>Brian, Taylor</v>
      </c>
      <c r="I978" s="60" t="str">
        <f>IFERROR(INDEX('Docketed Comments'!D:D,MATCH(A978,'Docketed Comments'!H:H,0)),"")</f>
        <v>Surprise</v>
      </c>
      <c r="J978" s="60" t="str">
        <f>IFERROR(INDEX('Docketed Comments'!I:I,MATCH(A978,'Docketed Comments'!H:H,0)),"")</f>
        <v>R3-47</v>
      </c>
      <c r="K978" s="60" t="str">
        <f t="shared" si="31"/>
        <v>✅ On Best Plan</v>
      </c>
      <c r="L978" s="60" t="str">
        <f>IFERROR(INDEX('Docketed Comments'!F:F,MATCH(A978,'Docketed Comments'!H:H,0)),"")</f>
        <v>What we need is more reliable service before we ever discuss rate increases</v>
      </c>
      <c r="M978" s="120" t="str">
        <f>IFERROR(INDEX('Docketed Comments'!G:G,MATCH(A978,'Docketed Comments'!H:H,0)),"")</f>
        <v>https://docket.images.azcc.gov/E000048921.pdf</v>
      </c>
      <c r="N978" s="118" t="str">
        <f>IFERROR(INDEX('Docketed Comments'!N:N,MATCH(A978,'Docketed Comments'!H:H,0)),"")</f>
        <v>No</v>
      </c>
      <c r="O978" s="118" t="str">
        <f>IFERROR(INDEX('Docketed Comments'!L:L,MATCH(A978,'Docketed Comments'!H:H,0)),"")</f>
        <v>Yes</v>
      </c>
      <c r="P978" s="119">
        <f t="shared" si="30"/>
        <v>0</v>
      </c>
      <c r="Q978" s="60"/>
      <c r="R978" s="64" t="s">
        <v>75</v>
      </c>
      <c r="S978" s="64" t="s">
        <v>2077</v>
      </c>
    </row>
    <row r="979" spans="1:19" ht="21.95" customHeight="1">
      <c r="A979" s="66" t="s">
        <v>2078</v>
      </c>
      <c r="B979" s="64"/>
      <c r="C979" s="65"/>
      <c r="D979" s="64"/>
      <c r="E979" s="64"/>
      <c r="F979" s="60"/>
      <c r="G979" s="60" t="s">
        <v>88</v>
      </c>
      <c r="H979" s="60" t="str">
        <f>IFERROR(INDEX('Docketed Comments'!C:C,MATCH(A979,'Docketed Comments'!H:H,0))&amp;", "&amp;INDEX('Docketed Comments'!B:B,MATCH(A979,'Docketed Comments'!H:H,0)),"")</f>
        <v>Peter, Hunt</v>
      </c>
      <c r="I979" s="60" t="str">
        <f>IFERROR(INDEX('Docketed Comments'!D:D,MATCH(A979,'Docketed Comments'!H:H,0)),"")</f>
        <v>Buckeye</v>
      </c>
      <c r="J979" s="60" t="str">
        <f>IFERROR(INDEX('Docketed Comments'!I:I,MATCH(A979,'Docketed Comments'!H:H,0)),"")</f>
        <v>EPR6w/ET-2</v>
      </c>
      <c r="K979" s="60" t="str">
        <f t="shared" si="31"/>
        <v>⚠ Frozen Plan</v>
      </c>
      <c r="L979" s="60" t="str">
        <f>IFERROR(INDEX('Docketed Comments'!F:F,MATCH(A979,'Docketed Comments'!H:H,0)),"")</f>
        <v>I'm begging you to freeze the price increase. We simply can't afford to be squeezed any more,</v>
      </c>
      <c r="M979" s="120" t="str">
        <f>IFERROR(INDEX('Docketed Comments'!G:G,MATCH(A979,'Docketed Comments'!H:H,0)),"")</f>
        <v>https://docket.images.azcc.gov/E000048921.pdf</v>
      </c>
      <c r="N979" s="118" t="str">
        <f>IFERROR(INDEX('Docketed Comments'!N:N,MATCH(A979,'Docketed Comments'!H:H,0)),"")</f>
        <v>No</v>
      </c>
      <c r="O979" s="118" t="str">
        <f>IFERROR(INDEX('Docketed Comments'!L:L,MATCH(A979,'Docketed Comments'!H:H,0)),"")</f>
        <v>Frozen Plan</v>
      </c>
      <c r="P979" s="119">
        <f t="shared" si="30"/>
        <v>0</v>
      </c>
      <c r="Q979" s="60"/>
      <c r="R979" s="64" t="s">
        <v>75</v>
      </c>
      <c r="S979" s="64" t="s">
        <v>2079</v>
      </c>
    </row>
    <row r="980" spans="1:19" ht="21.95" customHeight="1">
      <c r="A980" s="66" t="s">
        <v>2080</v>
      </c>
      <c r="B980" s="64"/>
      <c r="C980" s="65"/>
      <c r="D980" s="64"/>
      <c r="E980" s="64"/>
      <c r="F980" s="60"/>
      <c r="G980" s="60" t="s">
        <v>88</v>
      </c>
      <c r="H980" s="60" t="str">
        <f>IFERROR(INDEX('Docketed Comments'!C:C,MATCH(A980,'Docketed Comments'!H:H,0))&amp;", "&amp;INDEX('Docketed Comments'!B:B,MATCH(A980,'Docketed Comments'!H:H,0)),"")</f>
        <v>Tina, Weston</v>
      </c>
      <c r="I980" s="60" t="str">
        <f>IFERROR(INDEX('Docketed Comments'!D:D,MATCH(A980,'Docketed Comments'!H:H,0)),"")</f>
        <v>Surprise</v>
      </c>
      <c r="J980" s="60" t="str">
        <f>IFERROR(INDEX('Docketed Comments'!I:I,MATCH(A980,'Docketed Comments'!H:H,0)),"")</f>
        <v>RCPw/RTOUE47</v>
      </c>
      <c r="K980" s="60" t="str">
        <f t="shared" si="31"/>
        <v>✅ On Best Plan</v>
      </c>
      <c r="L980" s="60" t="str">
        <f>IFERROR(INDEX('Docketed Comments'!F:F,MATCH(A980,'Docketed Comments'!H:H,0)),"")</f>
        <v>Your CEO and CFO and all the top executives are making a fortune off of us! Please think of the average Arizonans.</v>
      </c>
      <c r="M980" s="120" t="str">
        <f>IFERROR(INDEX('Docketed Comments'!G:G,MATCH(A980,'Docketed Comments'!H:H,0)),"")</f>
        <v>https://docket.images.azcc.gov/E000048921.pdf</v>
      </c>
      <c r="N980" s="118" t="str">
        <f>IFERROR(INDEX('Docketed Comments'!N:N,MATCH(A980,'Docketed Comments'!H:H,0)),"")</f>
        <v>No</v>
      </c>
      <c r="O980" s="118" t="str">
        <f>IFERROR(INDEX('Docketed Comments'!L:L,MATCH(A980,'Docketed Comments'!H:H,0)),"")</f>
        <v>Yes</v>
      </c>
      <c r="P980" s="119">
        <f t="shared" si="30"/>
        <v>0</v>
      </c>
      <c r="Q980" s="60"/>
      <c r="R980" s="64" t="s">
        <v>75</v>
      </c>
      <c r="S980" s="64" t="s">
        <v>2081</v>
      </c>
    </row>
    <row r="981" spans="1:19" ht="21.95" customHeight="1">
      <c r="A981" s="66" t="s">
        <v>2082</v>
      </c>
      <c r="B981" s="64"/>
      <c r="C981" s="65"/>
      <c r="D981" s="64"/>
      <c r="E981" s="64"/>
      <c r="F981" s="60"/>
      <c r="G981" s="60" t="s">
        <v>88</v>
      </c>
      <c r="H981" s="60" t="str">
        <f>IFERROR(INDEX('Docketed Comments'!C:C,MATCH(A981,'Docketed Comments'!H:H,0))&amp;", "&amp;INDEX('Docketed Comments'!B:B,MATCH(A981,'Docketed Comments'!H:H,0)),"")</f>
        <v>Daryl, Gunderson</v>
      </c>
      <c r="I981" s="60" t="str">
        <f>IFERROR(INDEX('Docketed Comments'!D:D,MATCH(A981,'Docketed Comments'!H:H,0)),"")</f>
        <v>Phoenix</v>
      </c>
      <c r="J981" s="60" t="str">
        <f>IFERROR(INDEX('Docketed Comments'!I:I,MATCH(A981,'Docketed Comments'!H:H,0)),"")</f>
        <v>R-XS</v>
      </c>
      <c r="K981" s="60" t="str">
        <f t="shared" si="31"/>
        <v>✅ On Best Plan</v>
      </c>
      <c r="L981" s="60" t="str">
        <f>IFERROR(INDEX('Docketed Comments'!F:F,MATCH(A981,'Docketed Comments'!H:H,0)),"")</f>
        <v>Please stop raising the utility rates</v>
      </c>
      <c r="M981" s="120" t="str">
        <f>IFERROR(INDEX('Docketed Comments'!G:G,MATCH(A981,'Docketed Comments'!H:H,0)),"")</f>
        <v>https://docket.images.azcc.gov/E000048921.pdf</v>
      </c>
      <c r="N981" s="118" t="str">
        <f>IFERROR(INDEX('Docketed Comments'!N:N,MATCH(A981,'Docketed Comments'!H:H,0)),"")</f>
        <v>No</v>
      </c>
      <c r="O981" s="118" t="str">
        <f>IFERROR(INDEX('Docketed Comments'!L:L,MATCH(A981,'Docketed Comments'!H:H,0)),"")</f>
        <v>Yes</v>
      </c>
      <c r="P981" s="119">
        <f t="shared" si="30"/>
        <v>0</v>
      </c>
      <c r="Q981" s="60"/>
      <c r="R981" s="64" t="s">
        <v>75</v>
      </c>
      <c r="S981" s="64" t="s">
        <v>2083</v>
      </c>
    </row>
    <row r="982" spans="1:19" ht="21.95" customHeight="1">
      <c r="A982" s="66" t="s">
        <v>2084</v>
      </c>
      <c r="B982" s="64"/>
      <c r="C982" s="65"/>
      <c r="D982" s="64"/>
      <c r="E982" s="64"/>
      <c r="F982" s="60"/>
      <c r="G982" s="60" t="s">
        <v>88</v>
      </c>
      <c r="H982" s="60" t="str">
        <f>IFERROR(INDEX('Docketed Comments'!C:C,MATCH(A982,'Docketed Comments'!H:H,0))&amp;", "&amp;INDEX('Docketed Comments'!B:B,MATCH(A982,'Docketed Comments'!H:H,0)),"")</f>
        <v>Audrey, DeMarco</v>
      </c>
      <c r="I982" s="60" t="str">
        <f>IFERROR(INDEX('Docketed Comments'!D:D,MATCH(A982,'Docketed Comments'!H:H,0)),"")</f>
        <v>Phoenix</v>
      </c>
      <c r="J982" s="60" t="str">
        <f>IFERROR(INDEX('Docketed Comments'!I:I,MATCH(A982,'Docketed Comments'!H:H,0)),"")</f>
        <v>R-BASIC</v>
      </c>
      <c r="K982" s="60" t="str">
        <f t="shared" si="31"/>
        <v>✅ On Best Plan</v>
      </c>
      <c r="L982" s="60" t="str">
        <f>IFERROR(INDEX('Docketed Comments'!F:F,MATCH(A982,'Docketed Comments'!H:H,0)),"")</f>
        <v>As it is as a senior it is hard enough to pay the electric bill now without a raise. Enough is enough.</v>
      </c>
      <c r="M982" s="120" t="str">
        <f>IFERROR(INDEX('Docketed Comments'!G:G,MATCH(A982,'Docketed Comments'!H:H,0)),"")</f>
        <v>https://docket.images.azcc.gov/E000048921.pdf</v>
      </c>
      <c r="N982" s="118" t="str">
        <f>IFERROR(INDEX('Docketed Comments'!N:N,MATCH(A982,'Docketed Comments'!H:H,0)),"")</f>
        <v>No</v>
      </c>
      <c r="O982" s="118" t="str">
        <f>IFERROR(INDEX('Docketed Comments'!L:L,MATCH(A982,'Docketed Comments'!H:H,0)),"")</f>
        <v>Yes</v>
      </c>
      <c r="P982" s="119">
        <f t="shared" si="30"/>
        <v>0</v>
      </c>
      <c r="Q982" s="60"/>
      <c r="R982" s="64" t="s">
        <v>75</v>
      </c>
      <c r="S982" s="64" t="s">
        <v>2085</v>
      </c>
    </row>
    <row r="983" spans="1:19" ht="21.95" customHeight="1">
      <c r="A983" s="66" t="s">
        <v>2086</v>
      </c>
      <c r="B983" s="64"/>
      <c r="C983" s="65"/>
      <c r="D983" s="64"/>
      <c r="E983" s="64"/>
      <c r="F983" s="60"/>
      <c r="G983" s="60" t="s">
        <v>88</v>
      </c>
      <c r="H983" s="60" t="str">
        <f>IFERROR(INDEX('Docketed Comments'!C:C,MATCH(A983,'Docketed Comments'!H:H,0))&amp;", "&amp;INDEX('Docketed Comments'!B:B,MATCH(A983,'Docketed Comments'!H:H,0)),"")</f>
        <v>Amy, Sluis</v>
      </c>
      <c r="I983" s="60" t="str">
        <f>IFERROR(INDEX('Docketed Comments'!D:D,MATCH(A983,'Docketed Comments'!H:H,0)),"")</f>
        <v>Payson</v>
      </c>
      <c r="J983" s="60" t="str">
        <f>IFERROR(INDEX('Docketed Comments'!I:I,MATCH(A983,'Docketed Comments'!H:H,0)),"")</f>
        <v>R-XS</v>
      </c>
      <c r="K983" s="60" t="str">
        <f t="shared" si="31"/>
        <v>✅ On Best Plan</v>
      </c>
      <c r="L983" s="60" t="str">
        <f>IFERROR(INDEX('Docketed Comments'!F:F,MATCH(A983,'Docketed Comments'!H:H,0)),"")</f>
        <v xml:space="preserve">I think the service fees are already very high. It is hard enough to pay the bills. </v>
      </c>
      <c r="M983" s="120" t="str">
        <f>IFERROR(INDEX('Docketed Comments'!G:G,MATCH(A983,'Docketed Comments'!H:H,0)),"")</f>
        <v>https://docket.images.azcc.gov/E000048921.pdf</v>
      </c>
      <c r="N983" s="118" t="str">
        <f>IFERROR(INDEX('Docketed Comments'!N:N,MATCH(A983,'Docketed Comments'!H:H,0)),"")</f>
        <v>No</v>
      </c>
      <c r="O983" s="118" t="str">
        <f>IFERROR(INDEX('Docketed Comments'!L:L,MATCH(A983,'Docketed Comments'!H:H,0)),"")</f>
        <v>Yes</v>
      </c>
      <c r="P983" s="119">
        <f t="shared" si="30"/>
        <v>0</v>
      </c>
      <c r="Q983" s="60"/>
      <c r="R983" s="64" t="s">
        <v>75</v>
      </c>
      <c r="S983" s="64" t="s">
        <v>2087</v>
      </c>
    </row>
    <row r="984" spans="1:19" ht="21.95" customHeight="1">
      <c r="A984" s="66" t="s">
        <v>2088</v>
      </c>
      <c r="B984" s="64"/>
      <c r="C984" s="65"/>
      <c r="D984" s="64"/>
      <c r="E984" s="64"/>
      <c r="F984" s="60"/>
      <c r="G984" s="60" t="s">
        <v>88</v>
      </c>
      <c r="H984" s="60" t="str">
        <f>IFERROR(INDEX('Docketed Comments'!C:C,MATCH(A984,'Docketed Comments'!H:H,0))&amp;", "&amp;INDEX('Docketed Comments'!B:B,MATCH(A984,'Docketed Comments'!H:H,0)),"")</f>
        <v>Debbie, Boyle</v>
      </c>
      <c r="I984" s="60" t="str">
        <f>IFERROR(INDEX('Docketed Comments'!D:D,MATCH(A984,'Docketed Comments'!H:H,0)),"")</f>
        <v>Buckeye</v>
      </c>
      <c r="J984" s="60" t="str">
        <f>IFERROR(INDEX('Docketed Comments'!I:I,MATCH(A984,'Docketed Comments'!H:H,0)),"")</f>
        <v>R3-47</v>
      </c>
      <c r="K984" s="60" t="str">
        <f t="shared" si="31"/>
        <v>✅ On Best Plan</v>
      </c>
      <c r="L984" s="60" t="str">
        <f>IFERROR(INDEX('Docketed Comments'!F:F,MATCH(A984,'Docketed Comments'!H:H,0)),"")</f>
        <v>nothing to do with improving services. They are pricing consumers right out of living.</v>
      </c>
      <c r="M984" s="120" t="str">
        <f>IFERROR(INDEX('Docketed Comments'!G:G,MATCH(A984,'Docketed Comments'!H:H,0)),"")</f>
        <v>https://docket.images.azcc.gov/E000048921.pdf</v>
      </c>
      <c r="N984" s="118" t="str">
        <f>IFERROR(INDEX('Docketed Comments'!N:N,MATCH(A984,'Docketed Comments'!H:H,0)),"")</f>
        <v>No</v>
      </c>
      <c r="O984" s="118" t="str">
        <f>IFERROR(INDEX('Docketed Comments'!L:L,MATCH(A984,'Docketed Comments'!H:H,0)),"")</f>
        <v>Yes</v>
      </c>
      <c r="P984" s="119">
        <f t="shared" si="30"/>
        <v>0</v>
      </c>
      <c r="Q984" s="60"/>
      <c r="R984" s="64" t="s">
        <v>75</v>
      </c>
      <c r="S984" s="64" t="s">
        <v>2089</v>
      </c>
    </row>
    <row r="985" spans="1:19" ht="21.95" customHeight="1">
      <c r="A985" s="66" t="s">
        <v>2090</v>
      </c>
      <c r="B985" s="64"/>
      <c r="C985" s="65"/>
      <c r="D985" s="64"/>
      <c r="E985" s="64"/>
      <c r="F985" s="60"/>
      <c r="G985" s="60" t="s">
        <v>88</v>
      </c>
      <c r="H985" s="60" t="str">
        <f>IFERROR(INDEX('Docketed Comments'!C:C,MATCH(A985,'Docketed Comments'!H:H,0))&amp;", "&amp;INDEX('Docketed Comments'!B:B,MATCH(A985,'Docketed Comments'!H:H,0)),"")</f>
        <v>Gayle, Anderson</v>
      </c>
      <c r="I985" s="60" t="str">
        <f>IFERROR(INDEX('Docketed Comments'!D:D,MATCH(A985,'Docketed Comments'!H:H,0)),"")</f>
        <v>Sun City West</v>
      </c>
      <c r="J985" s="60" t="str">
        <f>IFERROR(INDEX('Docketed Comments'!I:I,MATCH(A985,'Docketed Comments'!H:H,0)),"")</f>
        <v>R-2</v>
      </c>
      <c r="K985" s="60" t="str">
        <f t="shared" si="31"/>
        <v>⚠ Frozen Plan</v>
      </c>
      <c r="L985" s="60" t="str">
        <f>IFERROR(INDEX('Docketed Comments'!F:F,MATCH(A985,'Docketed Comments'!H:H,0)),"")</f>
        <v>APS is raping the customers! The educated have not forgotten the APS &amp; Republicans scandal just a few years ago! It's time to stop the corruption.</v>
      </c>
      <c r="M985" s="120" t="str">
        <f>IFERROR(INDEX('Docketed Comments'!G:G,MATCH(A985,'Docketed Comments'!H:H,0)),"")</f>
        <v>https://docket.images.azcc.gov/E000048921.pdf</v>
      </c>
      <c r="N985" s="118" t="str">
        <f>IFERROR(INDEX('Docketed Comments'!N:N,MATCH(A985,'Docketed Comments'!H:H,0)),"")</f>
        <v>No</v>
      </c>
      <c r="O985" s="118" t="str">
        <f>IFERROR(INDEX('Docketed Comments'!L:L,MATCH(A985,'Docketed Comments'!H:H,0)),"")</f>
        <v>Frozen Plan</v>
      </c>
      <c r="P985" s="119">
        <f t="shared" si="30"/>
        <v>0</v>
      </c>
      <c r="Q985" s="60"/>
      <c r="R985" s="64" t="s">
        <v>75</v>
      </c>
      <c r="S985" s="64" t="s">
        <v>2091</v>
      </c>
    </row>
    <row r="986" spans="1:19" ht="21.95" customHeight="1">
      <c r="A986" s="66" t="s">
        <v>2092</v>
      </c>
      <c r="B986" s="64"/>
      <c r="C986" s="65"/>
      <c r="D986" s="64"/>
      <c r="E986" s="64"/>
      <c r="F986" s="60"/>
      <c r="G986" s="60" t="s">
        <v>88</v>
      </c>
      <c r="H986" s="60" t="str">
        <f>IFERROR(INDEX('Docketed Comments'!C:C,MATCH(A986,'Docketed Comments'!H:H,0))&amp;", "&amp;INDEX('Docketed Comments'!B:B,MATCH(A986,'Docketed Comments'!H:H,0)),"")</f>
        <v>Susan, Vago</v>
      </c>
      <c r="I986" s="60" t="str">
        <f>IFERROR(INDEX('Docketed Comments'!D:D,MATCH(A986,'Docketed Comments'!H:H,0)),"")</f>
        <v>Phoenix</v>
      </c>
      <c r="J986" s="60" t="str">
        <f>IFERROR(INDEX('Docketed Comments'!I:I,MATCH(A986,'Docketed Comments'!H:H,0)),"")</f>
        <v>R3-47</v>
      </c>
      <c r="K986" s="60" t="str">
        <f t="shared" si="31"/>
        <v>✅ On Best Plan</v>
      </c>
      <c r="L986" s="60" t="str">
        <f>IFERROR(INDEX('Docketed Comments'!F:F,MATCH(A986,'Docketed Comments'!H:H,0)),"")</f>
        <v>Most of us are going to have to pay around 50.00 more per month than 2 years ago. When is the public going to get a break.</v>
      </c>
      <c r="M986" s="120" t="str">
        <f>IFERROR(INDEX('Docketed Comments'!G:G,MATCH(A986,'Docketed Comments'!H:H,0)),"")</f>
        <v>https://docket.images.azcc.gov/E000048921.pdf</v>
      </c>
      <c r="N986" s="118" t="str">
        <f>IFERROR(INDEX('Docketed Comments'!N:N,MATCH(A986,'Docketed Comments'!H:H,0)),"")</f>
        <v>No</v>
      </c>
      <c r="O986" s="118" t="str">
        <f>IFERROR(INDEX('Docketed Comments'!L:L,MATCH(A986,'Docketed Comments'!H:H,0)),"")</f>
        <v>Yes</v>
      </c>
      <c r="P986" s="119">
        <f t="shared" si="30"/>
        <v>0</v>
      </c>
      <c r="Q986" s="60"/>
      <c r="R986" s="64" t="s">
        <v>75</v>
      </c>
      <c r="S986" s="64" t="s">
        <v>2093</v>
      </c>
    </row>
    <row r="987" spans="1:19" ht="21.95" customHeight="1">
      <c r="A987" s="66" t="s">
        <v>2094</v>
      </c>
      <c r="B987" s="64"/>
      <c r="C987" s="65"/>
      <c r="D987" s="64"/>
      <c r="E987" s="64"/>
      <c r="F987" s="60"/>
      <c r="G987" s="60" t="s">
        <v>88</v>
      </c>
      <c r="H987" s="60" t="str">
        <f>IFERROR(INDEX('Docketed Comments'!C:C,MATCH(A987,'Docketed Comments'!H:H,0))&amp;", "&amp;INDEX('Docketed Comments'!B:B,MATCH(A987,'Docketed Comments'!H:H,0)),"")</f>
        <v>Scott, Dannen</v>
      </c>
      <c r="I987" s="60" t="str">
        <f>IFERROR(INDEX('Docketed Comments'!D:D,MATCH(A987,'Docketed Comments'!H:H,0)),"")</f>
        <v>Sun City West</v>
      </c>
      <c r="J987" s="60" t="str">
        <f>IFERROR(INDEX('Docketed Comments'!I:I,MATCH(A987,'Docketed Comments'!H:H,0)),"")</f>
        <v>RCPw/RTOUE47</v>
      </c>
      <c r="K987" s="60" t="str">
        <f t="shared" si="31"/>
        <v>✅ On Best Plan</v>
      </c>
      <c r="L987" s="60" t="str">
        <f>IFERROR(INDEX('Docketed Comments'!F:F,MATCH(A987,'Docketed Comments'!H:H,0)),"")</f>
        <v xml:space="preserve">APS needs to start cutting costs just like the rest of us... instead of running a poor business model and coming running to the Corporation Commission. </v>
      </c>
      <c r="M987" s="120" t="str">
        <f>IFERROR(INDEX('Docketed Comments'!G:G,MATCH(A987,'Docketed Comments'!H:H,0)),"")</f>
        <v>https://docket.images.azcc.gov/E000048921.pdf</v>
      </c>
      <c r="N987" s="118" t="str">
        <f>IFERROR(INDEX('Docketed Comments'!N:N,MATCH(A987,'Docketed Comments'!H:H,0)),"")</f>
        <v>No</v>
      </c>
      <c r="O987" s="118" t="str">
        <f>IFERROR(INDEX('Docketed Comments'!L:L,MATCH(A987,'Docketed Comments'!H:H,0)),"")</f>
        <v>Yes</v>
      </c>
      <c r="P987" s="119">
        <f t="shared" si="30"/>
        <v>0</v>
      </c>
      <c r="Q987" s="60"/>
      <c r="R987" s="64" t="s">
        <v>75</v>
      </c>
      <c r="S987" s="64" t="s">
        <v>2095</v>
      </c>
    </row>
    <row r="988" spans="1:19" ht="21.95" customHeight="1">
      <c r="A988" s="66" t="s">
        <v>2096</v>
      </c>
      <c r="B988" s="64"/>
      <c r="C988" s="65"/>
      <c r="D988" s="64"/>
      <c r="E988" s="64"/>
      <c r="F988" s="60"/>
      <c r="G988" s="60" t="s">
        <v>88</v>
      </c>
      <c r="H988" s="60" t="str">
        <f>IFERROR(INDEX('Docketed Comments'!C:C,MATCH(A988,'Docketed Comments'!H:H,0))&amp;", "&amp;INDEX('Docketed Comments'!B:B,MATCH(A988,'Docketed Comments'!H:H,0)),"")</f>
        <v>Heather, Bapst</v>
      </c>
      <c r="I988" s="60" t="str">
        <f>IFERROR(INDEX('Docketed Comments'!D:D,MATCH(A988,'Docketed Comments'!H:H,0)),"")</f>
        <v>Chino Valley</v>
      </c>
      <c r="J988" s="60" t="str">
        <f>IFERROR(INDEX('Docketed Comments'!I:I,MATCH(A988,'Docketed Comments'!H:H,0)),"")</f>
        <v>R-XS</v>
      </c>
      <c r="K988" s="60" t="str">
        <f t="shared" si="31"/>
        <v>✅ On Best Plan</v>
      </c>
      <c r="L988" s="60" t="str">
        <f>IFERROR(INDEX('Docketed Comments'!F:F,MATCH(A988,'Docketed Comments'!H:H,0)),"")</f>
        <v xml:space="preserve">I'm a single mom - I can't even afford internet let alone an increase in one of my normal costs. </v>
      </c>
      <c r="M988" s="120" t="str">
        <f>IFERROR(INDEX('Docketed Comments'!G:G,MATCH(A988,'Docketed Comments'!H:H,0)),"")</f>
        <v>https://docket.images.azcc.gov/E000048921.pdf</v>
      </c>
      <c r="N988" s="118" t="str">
        <f>IFERROR(INDEX('Docketed Comments'!N:N,MATCH(A988,'Docketed Comments'!H:H,0)),"")</f>
        <v>No</v>
      </c>
      <c r="O988" s="118" t="str">
        <f>IFERROR(INDEX('Docketed Comments'!L:L,MATCH(A988,'Docketed Comments'!H:H,0)),"")</f>
        <v>Yes</v>
      </c>
      <c r="P988" s="119">
        <f t="shared" si="30"/>
        <v>0</v>
      </c>
      <c r="Q988" s="60"/>
      <c r="R988" s="64" t="s">
        <v>75</v>
      </c>
      <c r="S988" s="64" t="s">
        <v>2097</v>
      </c>
    </row>
    <row r="989" spans="1:19" ht="21.95" customHeight="1">
      <c r="A989" s="66" t="s">
        <v>2098</v>
      </c>
      <c r="B989" s="64"/>
      <c r="C989" s="65"/>
      <c r="D989" s="64"/>
      <c r="E989" s="64"/>
      <c r="F989" s="60"/>
      <c r="G989" s="60" t="s">
        <v>88</v>
      </c>
      <c r="H989" s="60" t="str">
        <f>IFERROR(INDEX('Docketed Comments'!C:C,MATCH(A989,'Docketed Comments'!H:H,0))&amp;", "&amp;INDEX('Docketed Comments'!B:B,MATCH(A989,'Docketed Comments'!H:H,0)),"")</f>
        <v>James, Kamb</v>
      </c>
      <c r="I989" s="60" t="str">
        <f>IFERROR(INDEX('Docketed Comments'!D:D,MATCH(A989,'Docketed Comments'!H:H,0)),"")</f>
        <v>Gilbert</v>
      </c>
      <c r="J989" s="60" t="str">
        <f>IFERROR(INDEX('Docketed Comments'!I:I,MATCH(A989,'Docketed Comments'!H:H,0)),"")</f>
        <v>R-2</v>
      </c>
      <c r="K989" s="60" t="str">
        <f t="shared" si="31"/>
        <v>⚠ Frozen Plan</v>
      </c>
      <c r="L989" s="60" t="str">
        <f>IFERROR(INDEX('Docketed Comments'!F:F,MATCH(A989,'Docketed Comments'!H:H,0)),"")</f>
        <v>If the parent company is unable to run the utility without requiring huge profits from the public need, perhaps they should sell to the State of Arizona</v>
      </c>
      <c r="M989" s="120" t="str">
        <f>IFERROR(INDEX('Docketed Comments'!G:G,MATCH(A989,'Docketed Comments'!H:H,0)),"")</f>
        <v>https://docket.images.azcc.gov/E000048921.pdf</v>
      </c>
      <c r="N989" s="118" t="str">
        <f>IFERROR(INDEX('Docketed Comments'!N:N,MATCH(A989,'Docketed Comments'!H:H,0)),"")</f>
        <v>No</v>
      </c>
      <c r="O989" s="118" t="str">
        <f>IFERROR(INDEX('Docketed Comments'!L:L,MATCH(A989,'Docketed Comments'!H:H,0)),"")</f>
        <v>Frozen Plan</v>
      </c>
      <c r="P989" s="119">
        <f t="shared" si="30"/>
        <v>0</v>
      </c>
      <c r="Q989" s="60"/>
      <c r="R989" s="64" t="s">
        <v>75</v>
      </c>
      <c r="S989" s="64" t="s">
        <v>2099</v>
      </c>
    </row>
    <row r="990" spans="1:19" ht="21.95" customHeight="1">
      <c r="A990" s="66" t="s">
        <v>2100</v>
      </c>
      <c r="B990" s="64"/>
      <c r="C990" s="65"/>
      <c r="D990" s="64"/>
      <c r="E990" s="64"/>
      <c r="F990" s="60"/>
      <c r="G990" s="60" t="s">
        <v>88</v>
      </c>
      <c r="H990" s="60" t="str">
        <f>IFERROR(INDEX('Docketed Comments'!C:C,MATCH(A990,'Docketed Comments'!H:H,0))&amp;", "&amp;INDEX('Docketed Comments'!B:B,MATCH(A990,'Docketed Comments'!H:H,0)),"")</f>
        <v>Merry, Mikles</v>
      </c>
      <c r="I990" s="60" t="str">
        <f>IFERROR(INDEX('Docketed Comments'!D:D,MATCH(A990,'Docketed Comments'!H:H,0)),"")</f>
        <v>Coolidge</v>
      </c>
      <c r="J990" s="60" t="str">
        <f>IFERROR(INDEX('Docketed Comments'!I:I,MATCH(A990,'Docketed Comments'!H:H,0)),"")</f>
        <v>RCPw/RTOUE47</v>
      </c>
      <c r="K990" s="60" t="str">
        <f t="shared" si="31"/>
        <v>✅ On Best Plan</v>
      </c>
      <c r="L990" s="60" t="str">
        <f>IFERROR(INDEX('Docketed Comments'!F:F,MATCH(A990,'Docketed Comments'!H:H,0)),"")</f>
        <v>I invested in solar and they still charge excessive amounts in the summer when it's high usage in Arizona</v>
      </c>
      <c r="M990" s="120" t="str">
        <f>IFERROR(INDEX('Docketed Comments'!G:G,MATCH(A990,'Docketed Comments'!H:H,0)),"")</f>
        <v>https://docket.images.azcc.gov/E000048921.pdf</v>
      </c>
      <c r="N990" s="118" t="str">
        <f>IFERROR(INDEX('Docketed Comments'!N:N,MATCH(A990,'Docketed Comments'!H:H,0)),"")</f>
        <v>No</v>
      </c>
      <c r="O990" s="118" t="str">
        <f>IFERROR(INDEX('Docketed Comments'!L:L,MATCH(A990,'Docketed Comments'!H:H,0)),"")</f>
        <v>Yes</v>
      </c>
      <c r="P990" s="119">
        <f t="shared" si="30"/>
        <v>0</v>
      </c>
      <c r="Q990" s="60"/>
      <c r="R990" s="64" t="s">
        <v>75</v>
      </c>
      <c r="S990" s="64" t="s">
        <v>2101</v>
      </c>
    </row>
    <row r="991" spans="1:19" ht="21.95" customHeight="1">
      <c r="A991" s="66" t="s">
        <v>2046</v>
      </c>
      <c r="B991" s="64"/>
      <c r="C991" s="65"/>
      <c r="D991" s="64"/>
      <c r="E991" s="64"/>
      <c r="F991" s="60"/>
      <c r="G991" s="60" t="s">
        <v>88</v>
      </c>
      <c r="H991" s="60" t="str">
        <f>IFERROR(INDEX('Docketed Comments'!C:C,MATCH(A991,'Docketed Comments'!H:H,0))&amp;", "&amp;INDEX('Docketed Comments'!B:B,MATCH(A991,'Docketed Comments'!H:H,0)),"")</f>
        <v>Rosario, Zavala</v>
      </c>
      <c r="I991" s="60" t="str">
        <f>IFERROR(INDEX('Docketed Comments'!D:D,MATCH(A991,'Docketed Comments'!H:H,0)),"")</f>
        <v>Yuma</v>
      </c>
      <c r="J991" s="60" t="str">
        <f>IFERROR(INDEX('Docketed Comments'!I:I,MATCH(A991,'Docketed Comments'!H:H,0)),"")</f>
        <v>R-2</v>
      </c>
      <c r="K991" s="60" t="str">
        <f t="shared" si="31"/>
        <v>⚠ Frozen Plan</v>
      </c>
      <c r="L991" s="60" t="str">
        <f>IFERROR(INDEX('Docketed Comments'!F:F,MATCH(A991,'Docketed Comments'!H:H,0)),"")</f>
        <v>everything is so expensive we can't no longer are able to support ourselves on the income we receive from social security</v>
      </c>
      <c r="M991" s="120" t="str">
        <f>IFERROR(INDEX('Docketed Comments'!G:G,MATCH(A991,'Docketed Comments'!H:H,0)),"")</f>
        <v>https://docket.images.azcc.gov/E000048921.pdf</v>
      </c>
      <c r="N991" s="118" t="str">
        <f>IFERROR(INDEX('Docketed Comments'!N:N,MATCH(A991,'Docketed Comments'!H:H,0)),"")</f>
        <v>No</v>
      </c>
      <c r="O991" s="118" t="str">
        <f>IFERROR(INDEX('Docketed Comments'!L:L,MATCH(A991,'Docketed Comments'!H:H,0)),"")</f>
        <v>Frozen Plan</v>
      </c>
      <c r="P991" s="119">
        <f t="shared" si="30"/>
        <v>0</v>
      </c>
      <c r="Q991" s="60"/>
      <c r="R991" s="64" t="s">
        <v>75</v>
      </c>
      <c r="S991" s="64" t="s">
        <v>2102</v>
      </c>
    </row>
    <row r="992" spans="1:19" ht="21.95" customHeight="1">
      <c r="A992" s="66" t="s">
        <v>2103</v>
      </c>
      <c r="B992" s="64"/>
      <c r="C992" s="65"/>
      <c r="D992" s="64"/>
      <c r="E992" s="64"/>
      <c r="F992" s="60"/>
      <c r="G992" s="60" t="s">
        <v>88</v>
      </c>
      <c r="H992" s="60" t="str">
        <f>IFERROR(INDEX('Docketed Comments'!C:C,MATCH(A992,'Docketed Comments'!H:H,0))&amp;", "&amp;INDEX('Docketed Comments'!B:B,MATCH(A992,'Docketed Comments'!H:H,0)),"")</f>
        <v>Faith, Jorgensen</v>
      </c>
      <c r="I992" s="60" t="str">
        <f>IFERROR(INDEX('Docketed Comments'!D:D,MATCH(A992,'Docketed Comments'!H:H,0)),"")</f>
        <v>Arizona City</v>
      </c>
      <c r="J992" s="60" t="str">
        <f>IFERROR(INDEX('Docketed Comments'!I:I,MATCH(A992,'Docketed Comments'!H:H,0)),"")</f>
        <v>R3-47</v>
      </c>
      <c r="K992" s="60" t="str">
        <f t="shared" si="31"/>
        <v>✅ On Best Plan</v>
      </c>
      <c r="L992" s="60" t="str">
        <f>IFERROR(INDEX('Docketed Comments'!F:F,MATCH(A992,'Docketed Comments'!H:H,0)),"")</f>
        <v>We already pay incredibly high energy prices in the summer. I do not approve of any increases in prices.</v>
      </c>
      <c r="M992" s="120" t="str">
        <f>IFERROR(INDEX('Docketed Comments'!G:G,MATCH(A992,'Docketed Comments'!H:H,0)),"")</f>
        <v>https://docket.images.azcc.gov/E000048921.pdf</v>
      </c>
      <c r="N992" s="118" t="str">
        <f>IFERROR(INDEX('Docketed Comments'!N:N,MATCH(A992,'Docketed Comments'!H:H,0)),"")</f>
        <v>No</v>
      </c>
      <c r="O992" s="118" t="str">
        <f>IFERROR(INDEX('Docketed Comments'!L:L,MATCH(A992,'Docketed Comments'!H:H,0)),"")</f>
        <v>Yes</v>
      </c>
      <c r="P992" s="119">
        <f t="shared" si="30"/>
        <v>0</v>
      </c>
      <c r="Q992" s="60"/>
      <c r="R992" s="64" t="s">
        <v>75</v>
      </c>
      <c r="S992" s="64" t="s">
        <v>2104</v>
      </c>
    </row>
    <row r="993" spans="1:19" ht="21.95" customHeight="1">
      <c r="A993" s="66" t="s">
        <v>1936</v>
      </c>
      <c r="B993" s="64"/>
      <c r="C993" s="65"/>
      <c r="D993" s="64"/>
      <c r="E993" s="64"/>
      <c r="F993" s="60"/>
      <c r="G993" s="60" t="s">
        <v>88</v>
      </c>
      <c r="H993" s="60" t="str">
        <f>IFERROR(INDEX('Docketed Comments'!C:C,MATCH(A993,'Docketed Comments'!H:H,0))&amp;", "&amp;INDEX('Docketed Comments'!B:B,MATCH(A993,'Docketed Comments'!H:H,0)),"")</f>
        <v>Louis, Gardella</v>
      </c>
      <c r="I993" s="60" t="str">
        <f>IFERROR(INDEX('Docketed Comments'!D:D,MATCH(A993,'Docketed Comments'!H:H,0)),"")</f>
        <v>Sun City</v>
      </c>
      <c r="J993" s="60" t="str">
        <f>IFERROR(INDEX('Docketed Comments'!I:I,MATCH(A993,'Docketed Comments'!H:H,0)),"")</f>
        <v>R3-47</v>
      </c>
      <c r="K993" s="60" t="str">
        <f t="shared" si="31"/>
        <v>✅ On Best Plan</v>
      </c>
      <c r="L993" s="60" t="str">
        <f>IFERROR(INDEX('Docketed Comments'!F:F,MATCH(A993,'Docketed Comments'!H:H,0)),"")</f>
        <v>An average of $20 being added to simmer until bill will make it almost unmanageable for residents on a fixed income.</v>
      </c>
      <c r="M993" s="120" t="str">
        <f>IFERROR(INDEX('Docketed Comments'!G:G,MATCH(A993,'Docketed Comments'!H:H,0)),"")</f>
        <v>https://docket.images.azcc.gov/E000048995.pdf</v>
      </c>
      <c r="N993" s="118" t="str">
        <f>IFERROR(INDEX('Docketed Comments'!N:N,MATCH(A993,'Docketed Comments'!H:H,0)),"")</f>
        <v>No</v>
      </c>
      <c r="O993" s="118" t="str">
        <f>IFERROR(INDEX('Docketed Comments'!L:L,MATCH(A993,'Docketed Comments'!H:H,0)),"")</f>
        <v>Yes</v>
      </c>
      <c r="P993" s="119">
        <f t="shared" si="30"/>
        <v>0</v>
      </c>
      <c r="Q993" s="60"/>
      <c r="R993" s="64" t="s">
        <v>75</v>
      </c>
      <c r="S993" s="64" t="s">
        <v>2105</v>
      </c>
    </row>
    <row r="994" spans="1:19" ht="21.95" customHeight="1">
      <c r="A994" s="66" t="s">
        <v>2106</v>
      </c>
      <c r="B994" s="64"/>
      <c r="C994" s="65"/>
      <c r="D994" s="64"/>
      <c r="E994" s="64"/>
      <c r="F994" s="60"/>
      <c r="G994" s="60" t="s">
        <v>88</v>
      </c>
      <c r="H994" s="60" t="str">
        <f>IFERROR(INDEX('Docketed Comments'!C:C,MATCH(A994,'Docketed Comments'!H:H,0))&amp;", "&amp;INDEX('Docketed Comments'!B:B,MATCH(A994,'Docketed Comments'!H:H,0)),"")</f>
        <v>Jason, Thomas</v>
      </c>
      <c r="I994" s="60" t="str">
        <f>IFERROR(INDEX('Docketed Comments'!D:D,MATCH(A994,'Docketed Comments'!H:H,0)),"")</f>
        <v>Phoenix</v>
      </c>
      <c r="J994" s="60" t="str">
        <f>IFERROR(INDEX('Docketed Comments'!I:I,MATCH(A994,'Docketed Comments'!H:H,0)),"")</f>
        <v>R3-47</v>
      </c>
      <c r="K994" s="60" t="str">
        <f t="shared" si="31"/>
        <v>✅ On Best Plan</v>
      </c>
      <c r="L994" s="60" t="str">
        <f>IFERROR(INDEX('Docketed Comments'!F:F,MATCH(A994,'Docketed Comments'!H:H,0)),"")</f>
        <v>My experience with APS has been defined by a total lack of transparency and poor service</v>
      </c>
      <c r="M994" s="120" t="str">
        <f>IFERROR(INDEX('Docketed Comments'!G:G,MATCH(A994,'Docketed Comments'!H:H,0)),"")</f>
        <v>https://docket.images.azcc.gov/E000049100.pdf</v>
      </c>
      <c r="N994" s="118" t="str">
        <f>IFERROR(INDEX('Docketed Comments'!N:N,MATCH(A994,'Docketed Comments'!H:H,0)),"")</f>
        <v>No</v>
      </c>
      <c r="O994" s="118" t="str">
        <f>IFERROR(INDEX('Docketed Comments'!L:L,MATCH(A994,'Docketed Comments'!H:H,0)),"")</f>
        <v>Yes</v>
      </c>
      <c r="P994" s="119">
        <f t="shared" si="30"/>
        <v>0</v>
      </c>
      <c r="Q994" s="60"/>
      <c r="R994" s="64" t="s">
        <v>75</v>
      </c>
      <c r="S994" s="64" t="s">
        <v>2107</v>
      </c>
    </row>
    <row r="995" spans="1:19" ht="21.95" customHeight="1">
      <c r="A995" s="66" t="s">
        <v>2108</v>
      </c>
      <c r="B995" s="64"/>
      <c r="C995" s="65"/>
      <c r="D995" s="64"/>
      <c r="E995" s="64"/>
      <c r="F995" s="60"/>
      <c r="G995" s="60" t="s">
        <v>88</v>
      </c>
      <c r="H995" s="60" t="str">
        <f>IFERROR(INDEX('Docketed Comments'!C:C,MATCH(A995,'Docketed Comments'!H:H,0))&amp;", "&amp;INDEX('Docketed Comments'!B:B,MATCH(A995,'Docketed Comments'!H:H,0)),"")</f>
        <v>Christian, Pittman</v>
      </c>
      <c r="I995" s="60" t="str">
        <f>IFERROR(INDEX('Docketed Comments'!D:D,MATCH(A995,'Docketed Comments'!H:H,0)),"")</f>
        <v>Flagstaff</v>
      </c>
      <c r="J995" s="60" t="str">
        <f>IFERROR(INDEX('Docketed Comments'!I:I,MATCH(A995,'Docketed Comments'!H:H,0)),"")</f>
        <v>RTOUE47</v>
      </c>
      <c r="K995" s="60" t="str">
        <f t="shared" si="31"/>
        <v>✅ On Best Plan</v>
      </c>
      <c r="L995" s="60" t="str">
        <f>IFERROR(INDEX('Docketed Comments'!F:F,MATCH(A995,'Docketed Comments'!H:H,0)),"")</f>
        <v>you've supported everything the federal government has done in the last year. Eat your costs, provide your public service</v>
      </c>
      <c r="M995" s="120" t="str">
        <f>IFERROR(INDEX('Docketed Comments'!G:G,MATCH(A995,'Docketed Comments'!H:H,0)),"")</f>
        <v>https://docket.images.azcc.gov/E000049100.pdf</v>
      </c>
      <c r="N995" s="118" t="str">
        <f>IFERROR(INDEX('Docketed Comments'!N:N,MATCH(A995,'Docketed Comments'!H:H,0)),"")</f>
        <v>No</v>
      </c>
      <c r="O995" s="118" t="str">
        <f>IFERROR(INDEX('Docketed Comments'!L:L,MATCH(A995,'Docketed Comments'!H:H,0)),"")</f>
        <v>Yes</v>
      </c>
      <c r="P995" s="119">
        <f t="shared" si="30"/>
        <v>0</v>
      </c>
      <c r="Q995" s="60"/>
      <c r="R995" s="64" t="s">
        <v>75</v>
      </c>
      <c r="S995" s="64" t="s">
        <v>2109</v>
      </c>
    </row>
    <row r="996" spans="1:19" ht="21.95" customHeight="1">
      <c r="A996" s="66" t="s">
        <v>2110</v>
      </c>
      <c r="B996" s="64"/>
      <c r="C996" s="65"/>
      <c r="D996" s="64"/>
      <c r="E996" s="64"/>
      <c r="F996" s="60"/>
      <c r="G996" s="60" t="s">
        <v>88</v>
      </c>
      <c r="H996" s="60" t="str">
        <f>IFERROR(INDEX('Docketed Comments'!C:C,MATCH(A996,'Docketed Comments'!H:H,0))&amp;", "&amp;INDEX('Docketed Comments'!B:B,MATCH(A996,'Docketed Comments'!H:H,0)),"")</f>
        <v>Daniel, Vega</v>
      </c>
      <c r="I996" s="60" t="str">
        <f>IFERROR(INDEX('Docketed Comments'!D:D,MATCH(A996,'Docketed Comments'!H:H,0)),"")</f>
        <v>Phoenix</v>
      </c>
      <c r="J996" s="60" t="str">
        <f>IFERROR(INDEX('Docketed Comments'!I:I,MATCH(A996,'Docketed Comments'!H:H,0)),"")</f>
        <v>R-XS</v>
      </c>
      <c r="K996" s="60" t="str">
        <f t="shared" si="31"/>
        <v>✅ On Best Plan</v>
      </c>
      <c r="L996" s="60" t="str">
        <f>IFERROR(INDEX('Docketed Comments'!F:F,MATCH(A996,'Docketed Comments'!H:H,0)),"")</f>
        <v xml:space="preserve">My fiance and I are raising two kids as a middle-class household, but with these increasing costs, it doesn't even feel like we are middle class anymore. </v>
      </c>
      <c r="M996" s="120" t="str">
        <f>IFERROR(INDEX('Docketed Comments'!G:G,MATCH(A996,'Docketed Comments'!H:H,0)),"")</f>
        <v>https://docket.images.azcc.gov/E000049100.pdf</v>
      </c>
      <c r="N996" s="118" t="str">
        <f>IFERROR(INDEX('Docketed Comments'!N:N,MATCH(A996,'Docketed Comments'!H:H,0)),"")</f>
        <v>No</v>
      </c>
      <c r="O996" s="118" t="str">
        <f>IFERROR(INDEX('Docketed Comments'!L:L,MATCH(A996,'Docketed Comments'!H:H,0)),"")</f>
        <v>Yes</v>
      </c>
      <c r="P996" s="119">
        <f t="shared" si="30"/>
        <v>0</v>
      </c>
      <c r="Q996" s="60"/>
      <c r="R996" s="64" t="s">
        <v>75</v>
      </c>
      <c r="S996" s="64" t="s">
        <v>2111</v>
      </c>
    </row>
    <row r="997" spans="1:19" ht="21.95" customHeight="1">
      <c r="A997" s="66" t="s">
        <v>2112</v>
      </c>
      <c r="B997" s="64"/>
      <c r="C997" s="65"/>
      <c r="D997" s="64"/>
      <c r="E997" s="64"/>
      <c r="F997" s="60"/>
      <c r="G997" s="60" t="s">
        <v>88</v>
      </c>
      <c r="H997" s="60" t="str">
        <f>IFERROR(INDEX('Docketed Comments'!C:C,MATCH(A997,'Docketed Comments'!H:H,0))&amp;", "&amp;INDEX('Docketed Comments'!B:B,MATCH(A997,'Docketed Comments'!H:H,0)),"")</f>
        <v>Virginia, Crozier</v>
      </c>
      <c r="I997" s="60" t="str">
        <f>IFERROR(INDEX('Docketed Comments'!D:D,MATCH(A997,'Docketed Comments'!H:H,0)),"")</f>
        <v>Chino Valley</v>
      </c>
      <c r="J997" s="60" t="str">
        <f>IFERROR(INDEX('Docketed Comments'!I:I,MATCH(A997,'Docketed Comments'!H:H,0)),"")</f>
        <v>R-XS</v>
      </c>
      <c r="K997" s="60" t="str">
        <f t="shared" si="31"/>
        <v>✅ On Best Plan</v>
      </c>
      <c r="L997" s="60" t="str">
        <f>IFERROR(INDEX('Docketed Comments'!F:F,MATCH(A997,'Docketed Comments'!H:H,0)),"")</f>
        <v xml:space="preserve">We are living paycheck to paycheck, but it's just over the limit for help with our utilities. We live in a small trailer in a RV park. </v>
      </c>
      <c r="M997" s="120" t="str">
        <f>IFERROR(INDEX('Docketed Comments'!G:G,MATCH(A997,'Docketed Comments'!H:H,0)),"")</f>
        <v>https://docket.images.azcc.gov/E000049100.pdf</v>
      </c>
      <c r="N997" s="118" t="str">
        <f>IFERROR(INDEX('Docketed Comments'!N:N,MATCH(A997,'Docketed Comments'!H:H,0)),"")</f>
        <v>No</v>
      </c>
      <c r="O997" s="118" t="str">
        <f>IFERROR(INDEX('Docketed Comments'!L:L,MATCH(A997,'Docketed Comments'!H:H,0)),"")</f>
        <v>Yes</v>
      </c>
      <c r="P997" s="119">
        <f t="shared" si="30"/>
        <v>0</v>
      </c>
      <c r="Q997" s="60"/>
      <c r="R997" s="64" t="s">
        <v>75</v>
      </c>
      <c r="S997" s="64" t="s">
        <v>2113</v>
      </c>
    </row>
    <row r="998" spans="1:19" ht="21.95" customHeight="1">
      <c r="A998" s="66" t="s">
        <v>2114</v>
      </c>
      <c r="B998" s="64"/>
      <c r="C998" s="65"/>
      <c r="D998" s="64"/>
      <c r="E998" s="64"/>
      <c r="F998" s="60"/>
      <c r="G998" s="60" t="s">
        <v>88</v>
      </c>
      <c r="H998" s="60" t="str">
        <f>IFERROR(INDEX('Docketed Comments'!C:C,MATCH(A998,'Docketed Comments'!H:H,0))&amp;", "&amp;INDEX('Docketed Comments'!B:B,MATCH(A998,'Docketed Comments'!H:H,0)),"")</f>
        <v>Jennifer, Kolodinsky</v>
      </c>
      <c r="I998" s="60" t="str">
        <f>IFERROR(INDEX('Docketed Comments'!D:D,MATCH(A998,'Docketed Comments'!H:H,0)),"")</f>
        <v>Flagstaff</v>
      </c>
      <c r="J998" s="60" t="str">
        <f>IFERROR(INDEX('Docketed Comments'!I:I,MATCH(A998,'Docketed Comments'!H:H,0)),"")</f>
        <v>R-XS</v>
      </c>
      <c r="K998" s="60" t="str">
        <f t="shared" si="31"/>
        <v>✅ On Best Plan</v>
      </c>
      <c r="L998" s="60" t="str">
        <f>IFERROR(INDEX('Docketed Comments'!F:F,MATCH(A998,'Docketed Comments'!H:H,0)),"")</f>
        <v>seeking to skirt the historical process of public comment and rate making procedure. Particularly in light of the fact that APS has not followed through with prior commitment to clean energy</v>
      </c>
      <c r="M998" s="120" t="str">
        <f>IFERROR(INDEX('Docketed Comments'!G:G,MATCH(A998,'Docketed Comments'!H:H,0)),"")</f>
        <v>https://docket.images.azcc.gov/E000049100.pdf</v>
      </c>
      <c r="N998" s="118" t="str">
        <f>IFERROR(INDEX('Docketed Comments'!N:N,MATCH(A998,'Docketed Comments'!H:H,0)),"")</f>
        <v>No</v>
      </c>
      <c r="O998" s="118" t="str">
        <f>IFERROR(INDEX('Docketed Comments'!L:L,MATCH(A998,'Docketed Comments'!H:H,0)),"")</f>
        <v>Yes</v>
      </c>
      <c r="P998" s="119">
        <f t="shared" si="30"/>
        <v>0</v>
      </c>
      <c r="Q998" s="60"/>
      <c r="R998" s="64" t="s">
        <v>75</v>
      </c>
      <c r="S998" s="64" t="s">
        <v>2115</v>
      </c>
    </row>
    <row r="999" spans="1:19" ht="21.95" customHeight="1">
      <c r="A999" s="66" t="s">
        <v>2116</v>
      </c>
      <c r="B999" s="64"/>
      <c r="C999" s="65"/>
      <c r="D999" s="64"/>
      <c r="E999" s="64"/>
      <c r="F999" s="60"/>
      <c r="G999" s="60" t="s">
        <v>88</v>
      </c>
      <c r="H999" s="60" t="str">
        <f>IFERROR(INDEX('Docketed Comments'!C:C,MATCH(A999,'Docketed Comments'!H:H,0))&amp;", "&amp;INDEX('Docketed Comments'!B:B,MATCH(A999,'Docketed Comments'!H:H,0)),"")</f>
        <v>Darlene, Alsbrook</v>
      </c>
      <c r="I999" s="60" t="str">
        <f>IFERROR(INDEX('Docketed Comments'!D:D,MATCH(A999,'Docketed Comments'!H:H,0)),"")</f>
        <v>Scottsdale</v>
      </c>
      <c r="J999" s="60" t="str">
        <f>IFERROR(INDEX('Docketed Comments'!I:I,MATCH(A999,'Docketed Comments'!H:H,0)),"")</f>
        <v>RTOUE47</v>
      </c>
      <c r="K999" s="60" t="str">
        <f t="shared" si="31"/>
        <v>✅ On Best Plan</v>
      </c>
      <c r="L999" s="60" t="str">
        <f>IFERROR(INDEX('Docketed Comments'!F:F,MATCH(A999,'Docketed Comments'!H:H,0)),"")</f>
        <v>The  mental &amp; emotional impact of rising costs in each of these areas is contributing to the decline in mental health and directly to the riots &amp; civil unrest</v>
      </c>
      <c r="M999" s="120" t="str">
        <f>IFERROR(INDEX('Docketed Comments'!G:G,MATCH(A999,'Docketed Comments'!H:H,0)),"")</f>
        <v>https://docket.images.azcc.gov/E000049100.pdf</v>
      </c>
      <c r="N999" s="118" t="str">
        <f>IFERROR(INDEX('Docketed Comments'!N:N,MATCH(A999,'Docketed Comments'!H:H,0)),"")</f>
        <v>No</v>
      </c>
      <c r="O999" s="118" t="str">
        <f>IFERROR(INDEX('Docketed Comments'!L:L,MATCH(A999,'Docketed Comments'!H:H,0)),"")</f>
        <v>Yes</v>
      </c>
      <c r="P999" s="119">
        <f t="shared" si="30"/>
        <v>0</v>
      </c>
      <c r="Q999" s="60"/>
      <c r="R999" s="64" t="s">
        <v>75</v>
      </c>
      <c r="S999" s="64" t="s">
        <v>2117</v>
      </c>
    </row>
    <row r="1000" spans="1:19" ht="21.95" customHeight="1">
      <c r="A1000" s="66" t="s">
        <v>1500</v>
      </c>
      <c r="B1000" s="64"/>
      <c r="C1000" s="65"/>
      <c r="D1000" s="64"/>
      <c r="E1000" s="64"/>
      <c r="F1000" s="60"/>
      <c r="G1000" s="60" t="s">
        <v>88</v>
      </c>
      <c r="H1000" s="60" t="str">
        <f>IFERROR(INDEX('Docketed Comments'!C:C,MATCH(A1000,'Docketed Comments'!H:H,0))&amp;", "&amp;INDEX('Docketed Comments'!B:B,MATCH(A1000,'Docketed Comments'!H:H,0)),"")</f>
        <v>Frank, Craig</v>
      </c>
      <c r="I1000" s="60" t="str">
        <f>IFERROR(INDEX('Docketed Comments'!D:D,MATCH(A1000,'Docketed Comments'!H:H,0)),"")</f>
        <v>Cottonwood</v>
      </c>
      <c r="J1000" s="60" t="str">
        <f>IFERROR(INDEX('Docketed Comments'!I:I,MATCH(A1000,'Docketed Comments'!H:H,0)),"")</f>
        <v>RCPw/RTOUE47</v>
      </c>
      <c r="K1000" s="60" t="str">
        <f t="shared" si="31"/>
        <v>✅ On Best Plan</v>
      </c>
      <c r="L1000" s="60" t="str">
        <f>IFERROR(INDEX('Docketed Comments'!F:F,MATCH(A1000,'Docketed Comments'!H:H,0)),"")</f>
        <v>Opposed</v>
      </c>
      <c r="M1000" s="120" t="str">
        <f>IFERROR(INDEX('Docketed Comments'!G:G,MATCH(A1000,'Docketed Comments'!H:H,0)),"")</f>
        <v>https://docket.images.azcc.gov/E000046494.pdf</v>
      </c>
      <c r="N1000" s="118" t="str">
        <f>IFERROR(INDEX('Docketed Comments'!N:N,MATCH(A1000,'Docketed Comments'!H:H,0)),"")</f>
        <v>No</v>
      </c>
      <c r="O1000" s="118" t="str">
        <f>IFERROR(INDEX('Docketed Comments'!L:L,MATCH(A1000,'Docketed Comments'!H:H,0)),"")</f>
        <v>Yes</v>
      </c>
      <c r="P1000" s="119">
        <f t="shared" si="30"/>
        <v>0</v>
      </c>
      <c r="Q1000" s="60"/>
      <c r="R1000" s="64" t="s">
        <v>75</v>
      </c>
      <c r="S1000" s="64" t="s">
        <v>2118</v>
      </c>
    </row>
    <row r="1001" spans="1:19" ht="21.95" customHeight="1">
      <c r="A1001" s="66" t="s">
        <v>2119</v>
      </c>
      <c r="B1001" s="64"/>
      <c r="C1001" s="65"/>
      <c r="D1001" s="64"/>
      <c r="E1001" s="64"/>
      <c r="F1001" s="60"/>
      <c r="G1001" s="60" t="s">
        <v>88</v>
      </c>
      <c r="H1001" s="60" t="str">
        <f>IFERROR(INDEX('Docketed Comments'!C:C,MATCH(A1001,'Docketed Comments'!H:H,0))&amp;", "&amp;INDEX('Docketed Comments'!B:B,MATCH(A1001,'Docketed Comments'!H:H,0)),"")</f>
        <v>Hollie, Tolmachoff</v>
      </c>
      <c r="I1001" s="60" t="str">
        <f>IFERROR(INDEX('Docketed Comments'!D:D,MATCH(A1001,'Docketed Comments'!H:H,0)),"")</f>
        <v>Waddell</v>
      </c>
      <c r="J1001" s="60" t="str">
        <f>IFERROR(INDEX('Docketed Comments'!I:I,MATCH(A1001,'Docketed Comments'!H:H,0)),"")</f>
        <v>R3-47</v>
      </c>
      <c r="K1001" s="60" t="str">
        <f t="shared" si="31"/>
        <v>✅ On Best Plan</v>
      </c>
      <c r="L1001" s="60" t="str">
        <f>IFERROR(INDEX('Docketed Comments'!F:F,MATCH(A1001,'Docketed Comments'!H:H,0)),"")</f>
        <v>As a mom helping to support a family of six, our electricity costs are already overwhelming</v>
      </c>
      <c r="M1001" s="120" t="str">
        <f>IFERROR(INDEX('Docketed Comments'!G:G,MATCH(A1001,'Docketed Comments'!H:H,0)),"")</f>
        <v>https://docket.images.azcc.gov/E000049142.pdf</v>
      </c>
      <c r="N1001" s="118" t="str">
        <f>IFERROR(INDEX('Docketed Comments'!N:N,MATCH(A1001,'Docketed Comments'!H:H,0)),"")</f>
        <v>No</v>
      </c>
      <c r="O1001" s="118" t="str">
        <f>IFERROR(INDEX('Docketed Comments'!L:L,MATCH(A1001,'Docketed Comments'!H:H,0)),"")</f>
        <v>Yes</v>
      </c>
      <c r="P1001" s="119">
        <f t="shared" si="30"/>
        <v>0</v>
      </c>
      <c r="Q1001" s="60"/>
      <c r="R1001" s="64" t="s">
        <v>75</v>
      </c>
      <c r="S1001" s="64" t="s">
        <v>2120</v>
      </c>
    </row>
    <row r="1002" spans="1:19" ht="21.95" customHeight="1">
      <c r="A1002" s="66" t="s">
        <v>1940</v>
      </c>
      <c r="B1002" s="64"/>
      <c r="C1002" s="65"/>
      <c r="D1002" s="64"/>
      <c r="E1002" s="64"/>
      <c r="F1002" s="60"/>
      <c r="G1002" s="60" t="s">
        <v>88</v>
      </c>
      <c r="H1002" s="60" t="str">
        <f>IFERROR(INDEX('Docketed Comments'!C:C,MATCH(A1002,'Docketed Comments'!H:H,0))&amp;", "&amp;INDEX('Docketed Comments'!B:B,MATCH(A1002,'Docketed Comments'!H:H,0)),"")</f>
        <v>Adena, Franklin</v>
      </c>
      <c r="I1002" s="60" t="str">
        <f>IFERROR(INDEX('Docketed Comments'!D:D,MATCH(A1002,'Docketed Comments'!H:H,0)),"")</f>
        <v>Peoria</v>
      </c>
      <c r="J1002" s="60" t="str">
        <f>IFERROR(INDEX('Docketed Comments'!I:I,MATCH(A1002,'Docketed Comments'!H:H,0)),"")</f>
        <v>R3-47</v>
      </c>
      <c r="K1002" s="60" t="str">
        <f t="shared" si="31"/>
        <v>✅ On Best Plan</v>
      </c>
      <c r="L1002" s="60" t="str">
        <f>IFERROR(INDEX('Docketed Comments'!F:F,MATCH(A1002,'Docketed Comments'!H:H,0)),"")</f>
        <v>I live on a fixed income. Take care of an 82-year-old man you continuously increase these rates. I am unable to sustain payments so consider this my hardship letter if rates go up.</v>
      </c>
      <c r="M1002" s="120" t="str">
        <f>IFERROR(INDEX('Docketed Comments'!G:G,MATCH(A1002,'Docketed Comments'!H:H,0)),"")</f>
        <v>https://docket.images.azcc.gov/E000048995.pdf</v>
      </c>
      <c r="N1002" s="118" t="str">
        <f>IFERROR(INDEX('Docketed Comments'!N:N,MATCH(A1002,'Docketed Comments'!H:H,0)),"")</f>
        <v>No</v>
      </c>
      <c r="O1002" s="118" t="str">
        <f>IFERROR(INDEX('Docketed Comments'!L:L,MATCH(A1002,'Docketed Comments'!H:H,0)),"")</f>
        <v>Yes</v>
      </c>
      <c r="P1002" s="119">
        <f t="shared" si="30"/>
        <v>0</v>
      </c>
      <c r="Q1002" s="60"/>
      <c r="R1002" s="64" t="s">
        <v>75</v>
      </c>
      <c r="S1002" s="64" t="s">
        <v>2121</v>
      </c>
    </row>
    <row r="1003" spans="1:19" ht="21.95" customHeight="1">
      <c r="A1003" s="66" t="s">
        <v>1378</v>
      </c>
      <c r="B1003" s="64"/>
      <c r="C1003" s="65"/>
      <c r="D1003" s="64"/>
      <c r="E1003" s="64"/>
      <c r="F1003" s="60"/>
      <c r="G1003" s="60" t="s">
        <v>88</v>
      </c>
      <c r="H1003" s="60" t="str">
        <f>IFERROR(INDEX('Docketed Comments'!C:C,MATCH(A1003,'Docketed Comments'!H:H,0))&amp;", "&amp;INDEX('Docketed Comments'!B:B,MATCH(A1003,'Docketed Comments'!H:H,0)),"")</f>
        <v>Andrew, Lenick</v>
      </c>
      <c r="I1003" s="60" t="str">
        <f>IFERROR(INDEX('Docketed Comments'!D:D,MATCH(A1003,'Docketed Comments'!H:H,0)),"")</f>
        <v>Phoenix</v>
      </c>
      <c r="J1003" s="60" t="str">
        <f>IFERROR(INDEX('Docketed Comments'!I:I,MATCH(A1003,'Docketed Comments'!H:H,0)),"")</f>
        <v>R-2</v>
      </c>
      <c r="K1003" s="60" t="str">
        <f t="shared" si="31"/>
        <v>⚠ Frozen Rate</v>
      </c>
      <c r="L1003" s="60" t="str">
        <f>IFERROR(INDEX('Docketed Comments'!F:F,MATCH(A1003,'Docketed Comments'!H:H,0)),"")</f>
        <v>Form letter</v>
      </c>
      <c r="M1003" s="120" t="str">
        <f>IFERROR(INDEX('Docketed Comments'!G:G,MATCH(A1003,'Docketed Comments'!H:H,0)),"")</f>
        <v>https://docket.images.azcc.gov/E000046266.pdf</v>
      </c>
      <c r="N1003" s="118" t="str">
        <f>IFERROR(INDEX('Docketed Comments'!N:N,MATCH(A1003,'Docketed Comments'!H:H,0)),"")</f>
        <v>No</v>
      </c>
      <c r="O1003" s="118" t="str">
        <f>IFERROR(INDEX('Docketed Comments'!L:L,MATCH(A1003,'Docketed Comments'!H:H,0)),"")</f>
        <v>Frozen Rate</v>
      </c>
      <c r="P1003" s="119">
        <f t="shared" si="30"/>
        <v>0</v>
      </c>
      <c r="Q1003" s="60"/>
      <c r="R1003" s="64" t="s">
        <v>75</v>
      </c>
      <c r="S1003" s="64" t="s">
        <v>2122</v>
      </c>
    </row>
    <row r="1004" spans="1:19" ht="21.95" customHeight="1">
      <c r="A1004" s="66" t="s">
        <v>2123</v>
      </c>
      <c r="B1004" s="64"/>
      <c r="C1004" s="65"/>
      <c r="D1004" s="64"/>
      <c r="E1004" s="64"/>
      <c r="F1004" s="60"/>
      <c r="G1004" s="60" t="s">
        <v>88</v>
      </c>
      <c r="H1004" s="60" t="str">
        <f>IFERROR(INDEX('Docketed Comments'!C:C,MATCH(A1004,'Docketed Comments'!H:H,0))&amp;", "&amp;INDEX('Docketed Comments'!B:B,MATCH(A1004,'Docketed Comments'!H:H,0)),"")</f>
        <v>Siobhan, Ulreich-Power</v>
      </c>
      <c r="I1004" s="60" t="str">
        <f>IFERROR(INDEX('Docketed Comments'!D:D,MATCH(A1004,'Docketed Comments'!H:H,0)),"")</f>
        <v>Scottsdale</v>
      </c>
      <c r="J1004" s="60" t="str">
        <f>IFERROR(INDEX('Docketed Comments'!I:I,MATCH(A1004,'Docketed Comments'!H:H,0)),"")</f>
        <v>RCPw/R3-47</v>
      </c>
      <c r="K1004" s="60" t="str">
        <f t="shared" si="31"/>
        <v>✅ On Best Plan</v>
      </c>
      <c r="L1004" s="60" t="str">
        <f>IFERROR(INDEX('Docketed Comments'!F:F,MATCH(A1004,'Docketed Comments'!H:H,0)),"")</f>
        <v>Do NOT pass the bill to increase our costs. Encourage solar power - Arizona should be a leader in solar, not dragging our feet!</v>
      </c>
      <c r="M1004" s="120" t="str">
        <f>IFERROR(INDEX('Docketed Comments'!G:G,MATCH(A1004,'Docketed Comments'!H:H,0)),"")</f>
        <v>https://docket.images.azcc.gov/E000049142.pdf</v>
      </c>
      <c r="N1004" s="118" t="str">
        <f>IFERROR(INDEX('Docketed Comments'!N:N,MATCH(A1004,'Docketed Comments'!H:H,0)),"")</f>
        <v>No</v>
      </c>
      <c r="O1004" s="118" t="str">
        <f>IFERROR(INDEX('Docketed Comments'!L:L,MATCH(A1004,'Docketed Comments'!H:H,0)),"")</f>
        <v>Yes</v>
      </c>
      <c r="P1004" s="119">
        <f t="shared" si="30"/>
        <v>0</v>
      </c>
      <c r="Q1004" s="60"/>
      <c r="R1004" s="64" t="s">
        <v>75</v>
      </c>
      <c r="S1004" s="64" t="s">
        <v>2124</v>
      </c>
    </row>
    <row r="1005" spans="1:19" ht="21.95" customHeight="1">
      <c r="A1005" s="66" t="s">
        <v>2125</v>
      </c>
      <c r="B1005" s="64"/>
      <c r="C1005" s="65"/>
      <c r="D1005" s="64"/>
      <c r="E1005" s="64"/>
      <c r="F1005" s="60"/>
      <c r="G1005" s="60" t="s">
        <v>88</v>
      </c>
      <c r="H1005" s="60" t="str">
        <f>IFERROR(INDEX('Docketed Comments'!C:C,MATCH(A1005,'Docketed Comments'!H:H,0))&amp;", "&amp;INDEX('Docketed Comments'!B:B,MATCH(A1005,'Docketed Comments'!H:H,0)),"")</f>
        <v>Jan, Stittleburg</v>
      </c>
      <c r="I1005" s="60" t="str">
        <f>IFERROR(INDEX('Docketed Comments'!D:D,MATCH(A1005,'Docketed Comments'!H:H,0)),"")</f>
        <v>Sun City West</v>
      </c>
      <c r="J1005" s="60" t="str">
        <f>IFERROR(INDEX('Docketed Comments'!I:I,MATCH(A1005,'Docketed Comments'!H:H,0)),"")</f>
        <v>RCPw/RTOUE47</v>
      </c>
      <c r="K1005" s="60" t="str">
        <f t="shared" si="31"/>
        <v>✅ On Best Plan</v>
      </c>
      <c r="L1005" s="60" t="str">
        <f>IFERROR(INDEX('Docketed Comments'!F:F,MATCH(A1005,'Docketed Comments'!H:H,0)),"")</f>
        <v>we just can not afford all these increases. Especially not when we see the savings being passed on to the large customers in terms of lower rates.</v>
      </c>
      <c r="M1005" s="120" t="str">
        <f>IFERROR(INDEX('Docketed Comments'!G:G,MATCH(A1005,'Docketed Comments'!H:H,0)),"")</f>
        <v>https://docket.images.azcc.gov/E000049176.pdf</v>
      </c>
      <c r="N1005" s="118" t="str">
        <f>IFERROR(INDEX('Docketed Comments'!N:N,MATCH(A1005,'Docketed Comments'!H:H,0)),"")</f>
        <v>No</v>
      </c>
      <c r="O1005" s="118" t="str">
        <f>IFERROR(INDEX('Docketed Comments'!L:L,MATCH(A1005,'Docketed Comments'!H:H,0)),"")</f>
        <v>Yes</v>
      </c>
      <c r="P1005" s="119">
        <f t="shared" si="30"/>
        <v>0</v>
      </c>
      <c r="Q1005" s="60"/>
      <c r="R1005" s="64" t="s">
        <v>75</v>
      </c>
      <c r="S1005" s="64" t="s">
        <v>2126</v>
      </c>
    </row>
    <row r="1006" spans="1:19" ht="21.95" customHeight="1">
      <c r="A1006" s="66" t="s">
        <v>2127</v>
      </c>
      <c r="B1006" s="64"/>
      <c r="C1006" s="65"/>
      <c r="D1006" s="64"/>
      <c r="E1006" s="64"/>
      <c r="F1006" s="60"/>
      <c r="G1006" s="60" t="s">
        <v>88</v>
      </c>
      <c r="H1006" s="60" t="str">
        <f>IFERROR(INDEX('Docketed Comments'!C:C,MATCH(A1006,'Docketed Comments'!H:H,0))&amp;", "&amp;INDEX('Docketed Comments'!B:B,MATCH(A1006,'Docketed Comments'!H:H,0)),"")</f>
        <v>Brad, Thayer</v>
      </c>
      <c r="I1006" s="60" t="str">
        <f>IFERROR(INDEX('Docketed Comments'!D:D,MATCH(A1006,'Docketed Comments'!H:H,0)),"")</f>
        <v>Buckeye</v>
      </c>
      <c r="J1006" s="60" t="str">
        <f>IFERROR(INDEX('Docketed Comments'!I:I,MATCH(A1006,'Docketed Comments'!H:H,0)),"")</f>
        <v>R-BASIC</v>
      </c>
      <c r="K1006" s="60" t="str">
        <f t="shared" si="31"/>
        <v>✅ On Best Plan</v>
      </c>
      <c r="L1006" s="60" t="str">
        <f>IFERROR(INDEX('Docketed Comments'!F:F,MATCH(A1006,'Docketed Comments'!H:H,0)),"")</f>
        <v>No on APS rate increase until they stop all advertising at the Phoenix Suns! Do they have a suite there? No to data centers</v>
      </c>
      <c r="M1006" s="120" t="str">
        <f>IFERROR(INDEX('Docketed Comments'!G:G,MATCH(A1006,'Docketed Comments'!H:H,0)),"")</f>
        <v>https://docket.images.azcc.gov/E000049176.pdf</v>
      </c>
      <c r="N1006" s="118" t="str">
        <f>IFERROR(INDEX('Docketed Comments'!N:N,MATCH(A1006,'Docketed Comments'!H:H,0)),"")</f>
        <v>No</v>
      </c>
      <c r="O1006" s="118" t="str">
        <f>IFERROR(INDEX('Docketed Comments'!L:L,MATCH(A1006,'Docketed Comments'!H:H,0)),"")</f>
        <v>Yes</v>
      </c>
      <c r="P1006" s="119">
        <f t="shared" si="30"/>
        <v>0</v>
      </c>
      <c r="Q1006" s="60"/>
      <c r="R1006" s="64" t="s">
        <v>75</v>
      </c>
      <c r="S1006" s="64" t="s">
        <v>2128</v>
      </c>
    </row>
    <row r="1007" spans="1:19" ht="21.95" customHeight="1">
      <c r="A1007" s="66" t="s">
        <v>2129</v>
      </c>
      <c r="B1007" s="64"/>
      <c r="C1007" s="65"/>
      <c r="D1007" s="64"/>
      <c r="E1007" s="64"/>
      <c r="F1007" s="60"/>
      <c r="G1007" s="60" t="s">
        <v>88</v>
      </c>
      <c r="H1007" s="60" t="str">
        <f>IFERROR(INDEX('Docketed Comments'!C:C,MATCH(A1007,'Docketed Comments'!H:H,0))&amp;", "&amp;INDEX('Docketed Comments'!B:B,MATCH(A1007,'Docketed Comments'!H:H,0)),"")</f>
        <v>Lonnie and Billie, Wederski</v>
      </c>
      <c r="I1007" s="60" t="str">
        <f>IFERROR(INDEX('Docketed Comments'!D:D,MATCH(A1007,'Docketed Comments'!H:H,0)),"")</f>
        <v>Prescott</v>
      </c>
      <c r="J1007" s="60" t="str">
        <f>IFERROR(INDEX('Docketed Comments'!I:I,MATCH(A1007,'Docketed Comments'!H:H,0)),"")</f>
        <v>R3-47</v>
      </c>
      <c r="K1007" s="60" t="str">
        <f t="shared" si="31"/>
        <v>✅ On Best Plan</v>
      </c>
      <c r="L1007" s="60" t="str">
        <f>IFERROR(INDEX('Docketed Comments'!F:F,MATCH(A1007,'Docketed Comments'!H:H,0)),"")</f>
        <v>I'm writing to request a no vot on the FRM which would allow APS free reign to raise rates</v>
      </c>
      <c r="M1007" s="120" t="str">
        <f>IFERROR(INDEX('Docketed Comments'!G:G,MATCH(A1007,'Docketed Comments'!H:H,0)),"")</f>
        <v>https://docket.images.azcc.gov/E000049260.pdf</v>
      </c>
      <c r="N1007" s="118" t="str">
        <f>IFERROR(INDEX('Docketed Comments'!N:N,MATCH(A1007,'Docketed Comments'!H:H,0)),"")</f>
        <v>No</v>
      </c>
      <c r="O1007" s="118" t="str">
        <f>IFERROR(INDEX('Docketed Comments'!L:L,MATCH(A1007,'Docketed Comments'!H:H,0)),"")</f>
        <v>Yes</v>
      </c>
      <c r="P1007" s="119">
        <f t="shared" si="30"/>
        <v>0</v>
      </c>
      <c r="Q1007" s="60"/>
      <c r="R1007" s="64" t="s">
        <v>75</v>
      </c>
      <c r="S1007" s="124" t="s">
        <v>2130</v>
      </c>
    </row>
    <row r="1008" spans="1:19" ht="21.95" customHeight="1">
      <c r="A1008" s="66" t="s">
        <v>2131</v>
      </c>
      <c r="B1008" s="64"/>
      <c r="C1008" s="65"/>
      <c r="D1008" s="64"/>
      <c r="E1008" s="64"/>
      <c r="F1008" s="60"/>
      <c r="G1008" s="60" t="s">
        <v>88</v>
      </c>
      <c r="H1008" s="60" t="str">
        <f>IFERROR(INDEX('Docketed Comments'!C:C,MATCH(A1008,'Docketed Comments'!H:H,0))&amp;", "&amp;INDEX('Docketed Comments'!B:B,MATCH(A1008,'Docketed Comments'!H:H,0)),"")</f>
        <v>Maura, Valenzuela</v>
      </c>
      <c r="I1008" s="60" t="str">
        <f>IFERROR(INDEX('Docketed Comments'!D:D,MATCH(A1008,'Docketed Comments'!H:H,0)),"")</f>
        <v>Somerton</v>
      </c>
      <c r="J1008" s="60" t="str">
        <f>IFERROR(INDEX('Docketed Comments'!I:I,MATCH(A1008,'Docketed Comments'!H:H,0)),"")</f>
        <v>R-2</v>
      </c>
      <c r="K1008" s="60" t="str">
        <f t="shared" si="31"/>
        <v>⚠ Frozen Plan</v>
      </c>
      <c r="L1008" s="60" t="str">
        <f>IFERROR(INDEX('Docketed Comments'!F:F,MATCH(A1008,'Docketed Comments'!H:H,0)),"")</f>
        <v>*Spanish comments*</v>
      </c>
      <c r="M1008" s="120" t="str">
        <f>IFERROR(INDEX('Docketed Comments'!G:G,MATCH(A1008,'Docketed Comments'!H:H,0)),"")</f>
        <v>https://docket.images.azcc.gov/E000049260.pdf</v>
      </c>
      <c r="N1008" s="118" t="str">
        <f>IFERROR(INDEX('Docketed Comments'!N:N,MATCH(A1008,'Docketed Comments'!H:H,0)),"")</f>
        <v>No</v>
      </c>
      <c r="O1008" s="118" t="str">
        <f>IFERROR(INDEX('Docketed Comments'!L:L,MATCH(A1008,'Docketed Comments'!H:H,0)),"")</f>
        <v>Frozen Plan</v>
      </c>
      <c r="P1008" s="119">
        <f t="shared" si="30"/>
        <v>0</v>
      </c>
      <c r="Q1008" s="60"/>
      <c r="R1008" s="64" t="s">
        <v>75</v>
      </c>
      <c r="S1008" s="64" t="s">
        <v>2132</v>
      </c>
    </row>
    <row r="1009" spans="1:19" ht="21.95" customHeight="1">
      <c r="A1009" s="66" t="s">
        <v>2133</v>
      </c>
      <c r="B1009" s="64"/>
      <c r="C1009" s="65"/>
      <c r="D1009" s="64"/>
      <c r="E1009" s="64"/>
      <c r="F1009" s="60"/>
      <c r="G1009" s="60" t="s">
        <v>88</v>
      </c>
      <c r="H1009" s="60" t="str">
        <f>IFERROR(INDEX('Docketed Comments'!C:C,MATCH(A1009,'Docketed Comments'!H:H,0))&amp;", "&amp;INDEX('Docketed Comments'!B:B,MATCH(A1009,'Docketed Comments'!H:H,0)),"")</f>
        <v>Derek, Ostreicher</v>
      </c>
      <c r="I1009" s="60" t="str">
        <f>IFERROR(INDEX('Docketed Comments'!D:D,MATCH(A1009,'Docketed Comments'!H:H,0)),"")</f>
        <v>Phoenix</v>
      </c>
      <c r="J1009" s="60" t="str">
        <f>IFERROR(INDEX('Docketed Comments'!I:I,MATCH(A1009,'Docketed Comments'!H:H,0)),"")</f>
        <v>R3-47</v>
      </c>
      <c r="K1009" s="60" t="str">
        <f t="shared" si="31"/>
        <v>✅ On Best Plan</v>
      </c>
      <c r="L1009" s="60" t="str">
        <f>IFERROR(INDEX('Docketed Comments'!F:F,MATCH(A1009,'Docketed Comments'!H:H,0)),"")</f>
        <v>As a single father of 2 kids, a 14% rate increase in just over a year is ridiculous</v>
      </c>
      <c r="M1009" s="120" t="str">
        <f>IFERROR(INDEX('Docketed Comments'!G:G,MATCH(A1009,'Docketed Comments'!H:H,0)),"")</f>
        <v>https://docket.images.azcc.gov/E000049265.pdf</v>
      </c>
      <c r="N1009" s="118" t="str">
        <f>IFERROR(INDEX('Docketed Comments'!N:N,MATCH(A1009,'Docketed Comments'!H:H,0)),"")</f>
        <v>No</v>
      </c>
      <c r="O1009" s="118" t="str">
        <f>IFERROR(INDEX('Docketed Comments'!L:L,MATCH(A1009,'Docketed Comments'!H:H,0)),"")</f>
        <v>Yes</v>
      </c>
      <c r="P1009" s="119">
        <f t="shared" si="30"/>
        <v>0</v>
      </c>
      <c r="Q1009" s="60"/>
      <c r="R1009" s="64" t="s">
        <v>75</v>
      </c>
      <c r="S1009" s="64" t="s">
        <v>2134</v>
      </c>
    </row>
    <row r="1010" spans="1:19" ht="21.95" customHeight="1">
      <c r="A1010" s="66" t="s">
        <v>2135</v>
      </c>
      <c r="B1010" s="64"/>
      <c r="C1010" s="65"/>
      <c r="D1010" s="64"/>
      <c r="E1010" s="64"/>
      <c r="F1010" s="60"/>
      <c r="G1010" s="60" t="s">
        <v>88</v>
      </c>
      <c r="H1010" s="60" t="str">
        <f>IFERROR(INDEX('Docketed Comments'!C:C,MATCH(A1010,'Docketed Comments'!H:H,0))&amp;", "&amp;INDEX('Docketed Comments'!B:B,MATCH(A1010,'Docketed Comments'!H:H,0)),"")</f>
        <v>Timothy, Lewis</v>
      </c>
      <c r="I1010" s="60" t="str">
        <f>IFERROR(INDEX('Docketed Comments'!D:D,MATCH(A1010,'Docketed Comments'!H:H,0)),"")</f>
        <v>Chandler</v>
      </c>
      <c r="J1010" s="60" t="str">
        <f>IFERROR(INDEX('Docketed Comments'!I:I,MATCH(A1010,'Docketed Comments'!H:H,0)),"")</f>
        <v>R-XS</v>
      </c>
      <c r="K1010" s="60" t="str">
        <f t="shared" si="31"/>
        <v>✅ On Best Plan</v>
      </c>
      <c r="L1010" s="60" t="str">
        <f>IFERROR(INDEX('Docketed Comments'!F:F,MATCH(A1010,'Docketed Comments'!H:H,0)),"")</f>
        <v>I been living in my place for 24 years. I get low-income discounts and equalizer. I will start setting my AC to 85.</v>
      </c>
      <c r="M1010" s="120" t="str">
        <f>IFERROR(INDEX('Docketed Comments'!G:G,MATCH(A1010,'Docketed Comments'!H:H,0)),"")</f>
        <v>https://docket.images.azcc.gov/E000049336.pdf</v>
      </c>
      <c r="N1010" s="118" t="str">
        <f>IFERROR(INDEX('Docketed Comments'!N:N,MATCH(A1010,'Docketed Comments'!H:H,0)),"")</f>
        <v>No</v>
      </c>
      <c r="O1010" s="118" t="str">
        <f>IFERROR(INDEX('Docketed Comments'!L:L,MATCH(A1010,'Docketed Comments'!H:H,0)),"")</f>
        <v>Yes</v>
      </c>
      <c r="P1010" s="119">
        <f t="shared" si="30"/>
        <v>0</v>
      </c>
      <c r="Q1010" s="60"/>
      <c r="R1010" s="64" t="s">
        <v>75</v>
      </c>
      <c r="S1010" s="64" t="s">
        <v>2136</v>
      </c>
    </row>
    <row r="1011" spans="1:19" ht="21.95" customHeight="1">
      <c r="A1011" s="66" t="s">
        <v>2137</v>
      </c>
      <c r="B1011" s="64"/>
      <c r="C1011" s="65"/>
      <c r="D1011" s="64"/>
      <c r="E1011" s="64"/>
      <c r="F1011" s="60"/>
      <c r="G1011" s="60" t="s">
        <v>88</v>
      </c>
      <c r="H1011" s="60" t="str">
        <f>IFERROR(INDEX('Docketed Comments'!C:C,MATCH(A1011,'Docketed Comments'!H:H,0))&amp;", "&amp;INDEX('Docketed Comments'!B:B,MATCH(A1011,'Docketed Comments'!H:H,0)),"")</f>
        <v>David, Gerkin</v>
      </c>
      <c r="I1011" s="60" t="str">
        <f>IFERROR(INDEX('Docketed Comments'!D:D,MATCH(A1011,'Docketed Comments'!H:H,0)),"")</f>
        <v>Phoenix</v>
      </c>
      <c r="J1011" s="60" t="str">
        <f>IFERROR(INDEX('Docketed Comments'!I:I,MATCH(A1011,'Docketed Comments'!H:H,0)),"")</f>
        <v>R3-47</v>
      </c>
      <c r="K1011" s="60" t="str">
        <f t="shared" si="31"/>
        <v>✅ On Best Plan</v>
      </c>
      <c r="L1011" s="60" t="str">
        <f>IFERROR(INDEX('Docketed Comments'!F:F,MATCH(A1011,'Docketed Comments'!H:H,0)),"")</f>
        <v>$240 extra per year for the average household. I am retired and on a fixed income, so I and many others like me, cannot afford</v>
      </c>
      <c r="M1011" s="120" t="str">
        <f>IFERROR(INDEX('Docketed Comments'!G:G,MATCH(A1011,'Docketed Comments'!H:H,0)),"")</f>
        <v>https://docket.images.azcc.gov/E000049336.pdf</v>
      </c>
      <c r="N1011" s="118" t="str">
        <f>IFERROR(INDEX('Docketed Comments'!N:N,MATCH(A1011,'Docketed Comments'!H:H,0)),"")</f>
        <v>No</v>
      </c>
      <c r="O1011" s="118" t="str">
        <f>IFERROR(INDEX('Docketed Comments'!L:L,MATCH(A1011,'Docketed Comments'!H:H,0)),"")</f>
        <v>Yes</v>
      </c>
      <c r="P1011" s="119">
        <f t="shared" si="30"/>
        <v>0</v>
      </c>
      <c r="Q1011" s="60"/>
      <c r="R1011" s="64" t="s">
        <v>75</v>
      </c>
      <c r="S1011" s="64" t="s">
        <v>2138</v>
      </c>
    </row>
    <row r="1012" spans="1:19" ht="21.95" customHeight="1">
      <c r="A1012" s="66" t="s">
        <v>2139</v>
      </c>
      <c r="B1012" s="64"/>
      <c r="C1012" s="65"/>
      <c r="D1012" s="64"/>
      <c r="E1012" s="64"/>
      <c r="F1012" s="60"/>
      <c r="G1012" s="60" t="s">
        <v>88</v>
      </c>
      <c r="H1012" s="60" t="str">
        <f>IFERROR(INDEX('Docketed Comments'!C:C,MATCH(A1012,'Docketed Comments'!H:H,0))&amp;", "&amp;INDEX('Docketed Comments'!B:B,MATCH(A1012,'Docketed Comments'!H:H,0)),"")</f>
        <v>Michael, Graham</v>
      </c>
      <c r="I1012" s="60" t="str">
        <f>IFERROR(INDEX('Docketed Comments'!D:D,MATCH(A1012,'Docketed Comments'!H:H,0)),"")</f>
        <v>Sun City</v>
      </c>
      <c r="J1012" s="60" t="str">
        <f>IFERROR(INDEX('Docketed Comments'!I:I,MATCH(A1012,'Docketed Comments'!H:H,0)),"")</f>
        <v>R3-47</v>
      </c>
      <c r="K1012" s="60" t="str">
        <f t="shared" si="31"/>
        <v>✅ On Best Plan</v>
      </c>
      <c r="L1012" s="60" t="str">
        <f>IFERROR(INDEX('Docketed Comments'!F:F,MATCH(A1012,'Docketed Comments'!H:H,0)),"")</f>
        <v>86 y/o, lives alone, Social Security Cost of Living 2.8 percent</v>
      </c>
      <c r="M1012" s="120" t="str">
        <f>IFERROR(INDEX('Docketed Comments'!G:G,MATCH(A1012,'Docketed Comments'!H:H,0)),"")</f>
        <v>https://docket.images.azcc.gov/E000049357.pdf</v>
      </c>
      <c r="N1012" s="118" t="str">
        <f>IFERROR(INDEX('Docketed Comments'!N:N,MATCH(A1012,'Docketed Comments'!H:H,0)),"")</f>
        <v>No</v>
      </c>
      <c r="O1012" s="118" t="str">
        <f>IFERROR(INDEX('Docketed Comments'!L:L,MATCH(A1012,'Docketed Comments'!H:H,0)),"")</f>
        <v>Yes</v>
      </c>
      <c r="P1012" s="119">
        <f t="shared" si="30"/>
        <v>0</v>
      </c>
      <c r="Q1012" s="60"/>
      <c r="R1012" s="64" t="s">
        <v>75</v>
      </c>
      <c r="S1012" s="64" t="s">
        <v>2140</v>
      </c>
    </row>
    <row r="1013" spans="1:19" ht="21.95" customHeight="1">
      <c r="A1013" s="66" t="s">
        <v>2141</v>
      </c>
      <c r="B1013" s="64"/>
      <c r="C1013" s="65"/>
      <c r="D1013" s="64"/>
      <c r="E1013" s="64"/>
      <c r="F1013" s="60"/>
      <c r="G1013" s="60" t="s">
        <v>88</v>
      </c>
      <c r="H1013" s="60" t="str">
        <f>IFERROR(INDEX('Docketed Comments'!C:C,MATCH(A1013,'Docketed Comments'!H:H,0))&amp;", "&amp;INDEX('Docketed Comments'!B:B,MATCH(A1013,'Docketed Comments'!H:H,0)),"")</f>
        <v>Katherine, Litke</v>
      </c>
      <c r="I1013" s="60" t="str">
        <f>IFERROR(INDEX('Docketed Comments'!D:D,MATCH(A1013,'Docketed Comments'!H:H,0)),"")</f>
        <v>Prescott</v>
      </c>
      <c r="J1013" s="60" t="str">
        <f>IFERROR(INDEX('Docketed Comments'!I:I,MATCH(A1013,'Docketed Comments'!H:H,0)),"")</f>
        <v>R-XS</v>
      </c>
      <c r="K1013" s="60" t="str">
        <f t="shared" si="31"/>
        <v>✅ On Best Plan</v>
      </c>
      <c r="L1013" s="60" t="str">
        <f>IFERROR(INDEX('Docketed Comments'!F:F,MATCH(A1013,'Docketed Comments'!H:H,0)),"")</f>
        <v>Senior living in subsidized housing on a low income</v>
      </c>
      <c r="M1013" s="120" t="str">
        <f>IFERROR(INDEX('Docketed Comments'!G:G,MATCH(A1013,'Docketed Comments'!H:H,0)),"")</f>
        <v>https://docket.images.azcc.gov/E000049357.pdf</v>
      </c>
      <c r="N1013" s="118" t="str">
        <f>IFERROR(INDEX('Docketed Comments'!N:N,MATCH(A1013,'Docketed Comments'!H:H,0)),"")</f>
        <v>No</v>
      </c>
      <c r="O1013" s="118" t="str">
        <f>IFERROR(INDEX('Docketed Comments'!L:L,MATCH(A1013,'Docketed Comments'!H:H,0)),"")</f>
        <v>Yes</v>
      </c>
      <c r="P1013" s="119">
        <f t="shared" si="30"/>
        <v>0</v>
      </c>
      <c r="Q1013" s="60"/>
      <c r="R1013" s="64" t="s">
        <v>75</v>
      </c>
      <c r="S1013" s="64" t="s">
        <v>2142</v>
      </c>
    </row>
    <row r="1014" spans="1:19" ht="21.95" customHeight="1">
      <c r="A1014" s="66" t="s">
        <v>2143</v>
      </c>
      <c r="B1014" s="64"/>
      <c r="C1014" s="65"/>
      <c r="D1014" s="64"/>
      <c r="E1014" s="64"/>
      <c r="F1014" s="60"/>
      <c r="G1014" s="60" t="s">
        <v>88</v>
      </c>
      <c r="H1014" s="60" t="str">
        <f>IFERROR(INDEX('Docketed Comments'!C:C,MATCH(A1014,'Docketed Comments'!H:H,0))&amp;", "&amp;INDEX('Docketed Comments'!B:B,MATCH(A1014,'Docketed Comments'!H:H,0)),"")</f>
        <v>Joan, Varanauski</v>
      </c>
      <c r="I1014" s="60" t="str">
        <f>IFERROR(INDEX('Docketed Comments'!D:D,MATCH(A1014,'Docketed Comments'!H:H,0)),"")</f>
        <v>Sun City</v>
      </c>
      <c r="J1014" s="60" t="str">
        <f>IFERROR(INDEX('Docketed Comments'!I:I,MATCH(A1014,'Docketed Comments'!H:H,0)),"")</f>
        <v>RCPw/R-2</v>
      </c>
      <c r="K1014" s="60" t="str">
        <f t="shared" si="31"/>
        <v>⚠ Frozen Plan</v>
      </c>
      <c r="L1014" s="60" t="str">
        <f>IFERROR(INDEX('Docketed Comments'!F:F,MATCH(A1014,'Docketed Comments'!H:H,0)),"")</f>
        <v>A nearly 15% increase on my utility bill is an excessive financial burden that l simply cannot afford.</v>
      </c>
      <c r="M1014" s="120" t="str">
        <f>IFERROR(INDEX('Docketed Comments'!G:G,MATCH(A1014,'Docketed Comments'!H:H,0)),"")</f>
        <v>https://docket.images.azcc.gov/E000049357.pdf</v>
      </c>
      <c r="N1014" s="118" t="str">
        <f>IFERROR(INDEX('Docketed Comments'!N:N,MATCH(A1014,'Docketed Comments'!H:H,0)),"")</f>
        <v>No</v>
      </c>
      <c r="O1014" s="118" t="str">
        <f>IFERROR(INDEX('Docketed Comments'!L:L,MATCH(A1014,'Docketed Comments'!H:H,0)),"")</f>
        <v>Frozen Plan</v>
      </c>
      <c r="P1014" s="119">
        <f t="shared" si="30"/>
        <v>0</v>
      </c>
      <c r="Q1014" s="60"/>
      <c r="R1014" s="64" t="s">
        <v>75</v>
      </c>
      <c r="S1014" s="64" t="s">
        <v>2144</v>
      </c>
    </row>
    <row r="1015" spans="1:19" ht="21.95" customHeight="1">
      <c r="A1015" s="66" t="s">
        <v>2145</v>
      </c>
      <c r="B1015" s="64"/>
      <c r="C1015" s="65"/>
      <c r="D1015" s="64"/>
      <c r="E1015" s="64"/>
      <c r="F1015" s="60"/>
      <c r="G1015" s="60" t="s">
        <v>88</v>
      </c>
      <c r="H1015" s="60" t="str">
        <f>IFERROR(INDEX('Docketed Comments'!C:C,MATCH(A1015,'Docketed Comments'!H:H,0))&amp;", "&amp;INDEX('Docketed Comments'!B:B,MATCH(A1015,'Docketed Comments'!H:H,0)),"")</f>
        <v>Rosalie, Malter</v>
      </c>
      <c r="I1015" s="60" t="str">
        <f>IFERROR(INDEX('Docketed Comments'!D:D,MATCH(A1015,'Docketed Comments'!H:H,0)),"")</f>
        <v>Cottonwood</v>
      </c>
      <c r="J1015" s="60" t="str">
        <f>IFERROR(INDEX('Docketed Comments'!I:I,MATCH(A1015,'Docketed Comments'!H:H,0)),"")</f>
        <v>EPR6w/E-12</v>
      </c>
      <c r="K1015" s="60" t="str">
        <f t="shared" si="31"/>
        <v>⚠ Frozen Plan</v>
      </c>
      <c r="L1015" s="60" t="str">
        <f>IFERROR(INDEX('Docketed Comments'!F:F,MATCH(A1015,'Docketed Comments'!H:H,0)),"")</f>
        <v>APS greed is causing suffering among people like us 80+ aged seniors.</v>
      </c>
      <c r="M1015" s="120" t="str">
        <f>IFERROR(INDEX('Docketed Comments'!G:G,MATCH(A1015,'Docketed Comments'!H:H,0)),"")</f>
        <v>https://docket.images.azcc.gov/E000049357.pdf</v>
      </c>
      <c r="N1015" s="118" t="str">
        <f>IFERROR(INDEX('Docketed Comments'!N:N,MATCH(A1015,'Docketed Comments'!H:H,0)),"")</f>
        <v>No</v>
      </c>
      <c r="O1015" s="118" t="str">
        <f>IFERROR(INDEX('Docketed Comments'!L:L,MATCH(A1015,'Docketed Comments'!H:H,0)),"")</f>
        <v>Frozen Plan</v>
      </c>
      <c r="P1015" s="119">
        <f t="shared" si="30"/>
        <v>0</v>
      </c>
      <c r="Q1015" s="60"/>
      <c r="R1015" s="64" t="s">
        <v>75</v>
      </c>
      <c r="S1015" s="64" t="s">
        <v>2146</v>
      </c>
    </row>
    <row r="1016" spans="1:19" ht="21.95" customHeight="1">
      <c r="A1016" s="66" t="s">
        <v>2147</v>
      </c>
      <c r="B1016" s="64"/>
      <c r="C1016" s="65"/>
      <c r="D1016" s="64"/>
      <c r="E1016" s="64"/>
      <c r="F1016" s="60"/>
      <c r="G1016" s="60" t="s">
        <v>88</v>
      </c>
      <c r="H1016" s="60" t="str">
        <f>IFERROR(INDEX('Docketed Comments'!C:C,MATCH(A1016,'Docketed Comments'!H:H,0))&amp;", "&amp;INDEX('Docketed Comments'!B:B,MATCH(A1016,'Docketed Comments'!H:H,0)),"")</f>
        <v>Alan, Conner</v>
      </c>
      <c r="I1016" s="60" t="str">
        <f>IFERROR(INDEX('Docketed Comments'!D:D,MATCH(A1016,'Docketed Comments'!H:H,0)),"")</f>
        <v>Phoenix</v>
      </c>
      <c r="J1016" s="60" t="str">
        <f>IFERROR(INDEX('Docketed Comments'!I:I,MATCH(A1016,'Docketed Comments'!H:H,0)),"")</f>
        <v>RCPw/RTOUE47</v>
      </c>
      <c r="K1016" s="60" t="str">
        <f t="shared" si="31"/>
        <v>✅ On Best Plan</v>
      </c>
      <c r="L1016" s="60" t="str">
        <f>IFERROR(INDEX('Docketed Comments'!F:F,MATCH(A1016,'Docketed Comments'!H:H,0)),"")</f>
        <v xml:space="preserve">I am a retiree on a fixed income and am very concerned about the continuing raising costs of living. </v>
      </c>
      <c r="M1016" s="120" t="str">
        <f>IFERROR(INDEX('Docketed Comments'!G:G,MATCH(A1016,'Docketed Comments'!H:H,0)),"")</f>
        <v>https://docket.images.azcc.gov/E000049383.pdf</v>
      </c>
      <c r="N1016" s="118" t="str">
        <f>IFERROR(INDEX('Docketed Comments'!N:N,MATCH(A1016,'Docketed Comments'!H:H,0)),"")</f>
        <v>No</v>
      </c>
      <c r="O1016" s="118" t="str">
        <f>IFERROR(INDEX('Docketed Comments'!L:L,MATCH(A1016,'Docketed Comments'!H:H,0)),"")</f>
        <v>Yes</v>
      </c>
      <c r="P1016" s="119">
        <f t="shared" si="30"/>
        <v>0</v>
      </c>
      <c r="Q1016" s="60"/>
      <c r="R1016" s="64" t="s">
        <v>75</v>
      </c>
      <c r="S1016" s="64" t="s">
        <v>2148</v>
      </c>
    </row>
    <row r="1017" spans="1:19" ht="21.95" customHeight="1">
      <c r="A1017" s="66" t="s">
        <v>2149</v>
      </c>
      <c r="B1017" s="64"/>
      <c r="C1017" s="65"/>
      <c r="D1017" s="64"/>
      <c r="E1017" s="64"/>
      <c r="F1017" s="60"/>
      <c r="G1017" s="60" t="s">
        <v>88</v>
      </c>
      <c r="H1017" s="60" t="str">
        <f>IFERROR(INDEX('Docketed Comments'!C:C,MATCH(A1017,'Docketed Comments'!H:H,0))&amp;", "&amp;INDEX('Docketed Comments'!B:B,MATCH(A1017,'Docketed Comments'!H:H,0)),"")</f>
        <v>William, Pappin</v>
      </c>
      <c r="I1017" s="60" t="str">
        <f>IFERROR(INDEX('Docketed Comments'!D:D,MATCH(A1017,'Docketed Comments'!H:H,0)),"")</f>
        <v>Yuma</v>
      </c>
      <c r="J1017" s="60" t="str">
        <f>IFERROR(INDEX('Docketed Comments'!I:I,MATCH(A1017,'Docketed Comments'!H:H,0)),"")</f>
        <v>R3-47</v>
      </c>
      <c r="K1017" s="60" t="str">
        <f t="shared" si="31"/>
        <v>✅ On Best Plan</v>
      </c>
      <c r="L1017" s="60" t="str">
        <f>IFERROR(INDEX('Docketed Comments'!F:F,MATCH(A1017,'Docketed Comments'!H:H,0)),"")</f>
        <v>My wife and I are retired and our only income is from My Navy Retirement and Social Security Benefits. You should limit the rate increase to the COLA increase.</v>
      </c>
      <c r="M1017" s="120" t="str">
        <f>IFERROR(INDEX('Docketed Comments'!G:G,MATCH(A1017,'Docketed Comments'!H:H,0)),"")</f>
        <v>https://docket.images.azcc.gov/E000049378.pdf</v>
      </c>
      <c r="N1017" s="118" t="str">
        <f>IFERROR(INDEX('Docketed Comments'!N:N,MATCH(A1017,'Docketed Comments'!H:H,0)),"")</f>
        <v>No</v>
      </c>
      <c r="O1017" s="118" t="str">
        <f>IFERROR(INDEX('Docketed Comments'!L:L,MATCH(A1017,'Docketed Comments'!H:H,0)),"")</f>
        <v>Yes</v>
      </c>
      <c r="P1017" s="119">
        <f t="shared" si="30"/>
        <v>0</v>
      </c>
      <c r="Q1017" s="60"/>
      <c r="R1017" s="64" t="s">
        <v>75</v>
      </c>
      <c r="S1017" s="124" t="s">
        <v>2150</v>
      </c>
    </row>
    <row r="1018" spans="1:19" ht="21.95" customHeight="1">
      <c r="A1018" s="66" t="s">
        <v>2151</v>
      </c>
      <c r="B1018" s="64"/>
      <c r="C1018" s="65"/>
      <c r="D1018" s="64"/>
      <c r="E1018" s="64"/>
      <c r="F1018" s="60"/>
      <c r="G1018" s="60" t="s">
        <v>88</v>
      </c>
      <c r="H1018" s="60" t="str">
        <f>IFERROR(INDEX('Docketed Comments'!C:C,MATCH(A1018,'Docketed Comments'!H:H,0))&amp;", "&amp;INDEX('Docketed Comments'!B:B,MATCH(A1018,'Docketed Comments'!H:H,0)),"")</f>
        <v>Carol, Stoop</v>
      </c>
      <c r="I1018" s="60" t="str">
        <f>IFERROR(INDEX('Docketed Comments'!D:D,MATCH(A1018,'Docketed Comments'!H:H,0)),"")</f>
        <v>Buckeye</v>
      </c>
      <c r="J1018" s="60" t="str">
        <f>IFERROR(INDEX('Docketed Comments'!I:I,MATCH(A1018,'Docketed Comments'!H:H,0)),"")</f>
        <v>RCPw/RTOUE47</v>
      </c>
      <c r="K1018" s="60" t="str">
        <f t="shared" si="31"/>
        <v>✅ On Best Plan</v>
      </c>
      <c r="L1018" s="60" t="str">
        <f>IFERROR(INDEX('Docketed Comments'!F:F,MATCH(A1018,'Docketed Comments'!H:H,0)),"")</f>
        <v>I would like to know if The ACC is requiring APS to keep Four Corners Online?</v>
      </c>
      <c r="M1018" s="120" t="str">
        <f>IFERROR(INDEX('Docketed Comments'!G:G,MATCH(A1018,'Docketed Comments'!H:H,0)),"")</f>
        <v>https://docket.images.azcc.gov/E000049379.pdf</v>
      </c>
      <c r="N1018" s="118" t="str">
        <f>IFERROR(INDEX('Docketed Comments'!N:N,MATCH(A1018,'Docketed Comments'!H:H,0)),"")</f>
        <v>No</v>
      </c>
      <c r="O1018" s="118" t="str">
        <f>IFERROR(INDEX('Docketed Comments'!L:L,MATCH(A1018,'Docketed Comments'!H:H,0)),"")</f>
        <v>Yes</v>
      </c>
      <c r="P1018" s="119">
        <f t="shared" si="30"/>
        <v>0</v>
      </c>
      <c r="Q1018" s="60"/>
      <c r="R1018" s="64" t="s">
        <v>75</v>
      </c>
      <c r="S1018" s="64" t="s">
        <v>2152</v>
      </c>
    </row>
    <row r="1019" spans="1:19" ht="21.95" customHeight="1">
      <c r="A1019" s="66" t="s">
        <v>2153</v>
      </c>
      <c r="B1019" s="64"/>
      <c r="C1019" s="65"/>
      <c r="D1019" s="64"/>
      <c r="E1019" s="64"/>
      <c r="F1019" s="60"/>
      <c r="G1019" s="60" t="s">
        <v>88</v>
      </c>
      <c r="H1019" s="60" t="str">
        <f>IFERROR(INDEX('Docketed Comments'!C:C,MATCH(A1019,'Docketed Comments'!H:H,0))&amp;", "&amp;INDEX('Docketed Comments'!B:B,MATCH(A1019,'Docketed Comments'!H:H,0)),"")</f>
        <v>Jesse, Williams</v>
      </c>
      <c r="I1019" s="60" t="str">
        <f>IFERROR(INDEX('Docketed Comments'!D:D,MATCH(A1019,'Docketed Comments'!H:H,0)),"")</f>
        <v>Phoenix</v>
      </c>
      <c r="J1019" s="60" t="str">
        <f>IFERROR(INDEX('Docketed Comments'!I:I,MATCH(A1019,'Docketed Comments'!H:H,0)),"")</f>
        <v>R3-47</v>
      </c>
      <c r="K1019" s="60" t="str">
        <f t="shared" si="31"/>
        <v>✅ On Best Plan</v>
      </c>
      <c r="L1019" s="60" t="str">
        <f>IFERROR(INDEX('Docketed Comments'!F:F,MATCH(A1019,'Docketed Comments'!H:H,0)),"")</f>
        <v>not all that long ago that APS did not need to have an "on peak/offpeak" ... renewable energy sources are driving up costs.</v>
      </c>
      <c r="M1019" s="120" t="str">
        <f>IFERROR(INDEX('Docketed Comments'!G:G,MATCH(A1019,'Docketed Comments'!H:H,0)),"")</f>
        <v>https://docket.images.azcc.gov/E000049400.pdf</v>
      </c>
      <c r="N1019" s="118" t="str">
        <f>IFERROR(INDEX('Docketed Comments'!N:N,MATCH(A1019,'Docketed Comments'!H:H,0)),"")</f>
        <v>No</v>
      </c>
      <c r="O1019" s="118" t="str">
        <f>IFERROR(INDEX('Docketed Comments'!L:L,MATCH(A1019,'Docketed Comments'!H:H,0)),"")</f>
        <v>Yes</v>
      </c>
      <c r="P1019" s="119">
        <f t="shared" si="30"/>
        <v>0</v>
      </c>
      <c r="Q1019" s="60"/>
      <c r="R1019" s="64" t="s">
        <v>75</v>
      </c>
      <c r="S1019" s="64" t="s">
        <v>2154</v>
      </c>
    </row>
    <row r="1020" spans="1:19" ht="21.95" customHeight="1">
      <c r="A1020" s="66" t="s">
        <v>2155</v>
      </c>
      <c r="B1020" s="64"/>
      <c r="C1020" s="65"/>
      <c r="D1020" s="64"/>
      <c r="E1020" s="64"/>
      <c r="F1020" s="60"/>
      <c r="G1020" s="60" t="s">
        <v>88</v>
      </c>
      <c r="H1020" s="60" t="str">
        <f>IFERROR(INDEX('Docketed Comments'!C:C,MATCH(A1020,'Docketed Comments'!H:H,0))&amp;", "&amp;INDEX('Docketed Comments'!B:B,MATCH(A1020,'Docketed Comments'!H:H,0)),"")</f>
        <v>Kathleen, Murphy</v>
      </c>
      <c r="I1020" s="60" t="str">
        <f>IFERROR(INDEX('Docketed Comments'!D:D,MATCH(A1020,'Docketed Comments'!H:H,0)),"")</f>
        <v>Prescott</v>
      </c>
      <c r="J1020" s="60" t="str">
        <f>IFERROR(INDEX('Docketed Comments'!I:I,MATCH(A1020,'Docketed Comments'!H:H,0)),"")</f>
        <v>R-XS</v>
      </c>
      <c r="K1020" s="60" t="str">
        <f t="shared" si="31"/>
        <v>✅ On Best Plan</v>
      </c>
      <c r="L1020" s="60" t="str">
        <f>IFERROR(INDEX('Docketed Comments'!F:F,MATCH(A1020,'Docketed Comments'!H:H,0)),"")</f>
        <v>We had a rateincrease of 8% in 2024 another 8% increase in 2025 and now you expect that we should allow another increase of 14%</v>
      </c>
      <c r="M1020" s="120" t="str">
        <f>IFERROR(INDEX('Docketed Comments'!G:G,MATCH(A1020,'Docketed Comments'!H:H,0)),"")</f>
        <v>https://docket.images.azcc.gov/E000049400.pdf</v>
      </c>
      <c r="N1020" s="118" t="str">
        <f>IFERROR(INDEX('Docketed Comments'!N:N,MATCH(A1020,'Docketed Comments'!H:H,0)),"")</f>
        <v>No</v>
      </c>
      <c r="O1020" s="118" t="str">
        <f>IFERROR(INDEX('Docketed Comments'!L:L,MATCH(A1020,'Docketed Comments'!H:H,0)),"")</f>
        <v>Yes</v>
      </c>
      <c r="P1020" s="119">
        <f t="shared" si="30"/>
        <v>0</v>
      </c>
      <c r="Q1020" s="60"/>
      <c r="R1020" s="64" t="s">
        <v>75</v>
      </c>
      <c r="S1020" s="64" t="s">
        <v>2156</v>
      </c>
    </row>
    <row r="1021" spans="1:19" ht="21.95" customHeight="1">
      <c r="A1021" s="66" t="s">
        <v>2157</v>
      </c>
      <c r="B1021" s="64"/>
      <c r="C1021" s="65"/>
      <c r="D1021" s="64"/>
      <c r="E1021" s="64"/>
      <c r="F1021" s="60"/>
      <c r="G1021" s="60" t="s">
        <v>88</v>
      </c>
      <c r="H1021" s="60" t="str">
        <f>IFERROR(INDEX('Docketed Comments'!C:C,MATCH(A1021,'Docketed Comments'!H:H,0))&amp;", "&amp;INDEX('Docketed Comments'!B:B,MATCH(A1021,'Docketed Comments'!H:H,0)),"")</f>
        <v>Wesley, Little</v>
      </c>
      <c r="I1021" s="60" t="str">
        <f>IFERROR(INDEX('Docketed Comments'!D:D,MATCH(A1021,'Docketed Comments'!H:H,0)),"")</f>
        <v>Sedona</v>
      </c>
      <c r="J1021" s="60" t="str">
        <f>IFERROR(INDEX('Docketed Comments'!I:I,MATCH(A1021,'Docketed Comments'!H:H,0)),"")</f>
        <v>RCPw/RTOUE47</v>
      </c>
      <c r="K1021" s="60" t="str">
        <f t="shared" si="31"/>
        <v>✅ On Best Plan</v>
      </c>
      <c r="L1021" s="60" t="str">
        <f>IFERROR(INDEX('Docketed Comments'!F:F,MATCH(A1021,'Docketed Comments'!H:H,0)),"")</f>
        <v>Despite ratepayers using virtually the same or fewer KWHs, we are now being asked AGAIN to accommodate a rate increase. Let those that use the most, pay the most.</v>
      </c>
      <c r="M1021" s="120" t="str">
        <f>IFERROR(INDEX('Docketed Comments'!G:G,MATCH(A1021,'Docketed Comments'!H:H,0)),"")</f>
        <v>https://docket.images.azcc.gov/E000049387.pdf</v>
      </c>
      <c r="N1021" s="118" t="str">
        <f>IFERROR(INDEX('Docketed Comments'!N:N,MATCH(A1021,'Docketed Comments'!H:H,0)),"")</f>
        <v>No</v>
      </c>
      <c r="O1021" s="118" t="str">
        <f>IFERROR(INDEX('Docketed Comments'!L:L,MATCH(A1021,'Docketed Comments'!H:H,0)),"")</f>
        <v>Yes</v>
      </c>
      <c r="P1021" s="119">
        <f t="shared" si="30"/>
        <v>0</v>
      </c>
      <c r="Q1021" s="60"/>
      <c r="R1021" s="64" t="s">
        <v>75</v>
      </c>
      <c r="S1021" s="64" t="s">
        <v>2158</v>
      </c>
    </row>
    <row r="1022" spans="1:19" ht="21.95" customHeight="1">
      <c r="A1022" s="66" t="s">
        <v>2159</v>
      </c>
      <c r="B1022" s="64"/>
      <c r="C1022" s="65"/>
      <c r="D1022" s="64"/>
      <c r="E1022" s="64"/>
      <c r="F1022" s="60"/>
      <c r="G1022" s="60" t="s">
        <v>88</v>
      </c>
      <c r="H1022" s="60" t="str">
        <f>IFERROR(INDEX('Docketed Comments'!C:C,MATCH(A1022,'Docketed Comments'!H:H,0))&amp;", "&amp;INDEX('Docketed Comments'!B:B,MATCH(A1022,'Docketed Comments'!H:H,0)),"")</f>
        <v>Kelly, St Clair</v>
      </c>
      <c r="I1022" s="60" t="str">
        <f>IFERROR(INDEX('Docketed Comments'!D:D,MATCH(A1022,'Docketed Comments'!H:H,0)),"")</f>
        <v>Sedona</v>
      </c>
      <c r="J1022" s="60" t="str">
        <f>IFERROR(INDEX('Docketed Comments'!I:I,MATCH(A1022,'Docketed Comments'!H:H,0)),"")</f>
        <v>R3-47</v>
      </c>
      <c r="K1022" s="60" t="str">
        <f t="shared" si="31"/>
        <v>✅ On Best Plan</v>
      </c>
      <c r="L1022" s="60" t="str">
        <f>IFERROR(INDEX('Docketed Comments'!F:F,MATCH(A1022,'Docketed Comments'!H:H,0)),"")</f>
        <v>APS rate increase. When is enough, enough!?!? No more rate increases. It's outrageous!</v>
      </c>
      <c r="M1022" s="120" t="str">
        <f>IFERROR(INDEX('Docketed Comments'!G:G,MATCH(A1022,'Docketed Comments'!H:H,0)),"")</f>
        <v>https://docket.images.azcc.gov/E000049387.pdf</v>
      </c>
      <c r="N1022" s="118" t="str">
        <f>IFERROR(INDEX('Docketed Comments'!N:N,MATCH(A1022,'Docketed Comments'!H:H,0)),"")</f>
        <v>No</v>
      </c>
      <c r="O1022" s="118" t="str">
        <f>IFERROR(INDEX('Docketed Comments'!L:L,MATCH(A1022,'Docketed Comments'!H:H,0)),"")</f>
        <v>Yes</v>
      </c>
      <c r="P1022" s="119">
        <f t="shared" si="30"/>
        <v>0</v>
      </c>
      <c r="Q1022" s="60"/>
      <c r="R1022" s="64" t="s">
        <v>75</v>
      </c>
      <c r="S1022" s="64" t="s">
        <v>2160</v>
      </c>
    </row>
    <row r="1023" spans="1:19" ht="21.95" customHeight="1">
      <c r="A1023" s="66" t="s">
        <v>2161</v>
      </c>
      <c r="B1023" s="64"/>
      <c r="C1023" s="65"/>
      <c r="D1023" s="64"/>
      <c r="E1023" s="64"/>
      <c r="F1023" s="60"/>
      <c r="G1023" s="60" t="s">
        <v>88</v>
      </c>
      <c r="H1023" s="60" t="str">
        <f>IFERROR(INDEX('Docketed Comments'!C:C,MATCH(A1023,'Docketed Comments'!H:H,0))&amp;", "&amp;INDEX('Docketed Comments'!B:B,MATCH(A1023,'Docketed Comments'!H:H,0)),"")</f>
        <v>Emily, Bowman</v>
      </c>
      <c r="I1023" s="60" t="str">
        <f>IFERROR(INDEX('Docketed Comments'!D:D,MATCH(A1023,'Docketed Comments'!H:H,0)),"")</f>
        <v>Flagstaff</v>
      </c>
      <c r="J1023" s="60" t="str">
        <f>IFERROR(INDEX('Docketed Comments'!I:I,MATCH(A1023,'Docketed Comments'!H:H,0)),"")</f>
        <v>R-XS</v>
      </c>
      <c r="K1023" s="60" t="str">
        <f t="shared" si="31"/>
        <v>✅ On Best Plan</v>
      </c>
      <c r="L1023" s="60" t="str">
        <f>IFERROR(INDEX('Docketed Comments'!F:F,MATCH(A1023,'Docketed Comments'!H:H,0)),"")</f>
        <v>My husband and I are both nurses and we have one child. Even living modestly with two professional degrees and employment, we struggle to keep up</v>
      </c>
      <c r="M1023" s="120" t="str">
        <f>IFERROR(INDEX('Docketed Comments'!G:G,MATCH(A1023,'Docketed Comments'!H:H,0)),"")</f>
        <v>https://docket.images.azcc.gov/E000049387.pdf</v>
      </c>
      <c r="N1023" s="118" t="str">
        <f>IFERROR(INDEX('Docketed Comments'!N:N,MATCH(A1023,'Docketed Comments'!H:H,0)),"")</f>
        <v>No</v>
      </c>
      <c r="O1023" s="118" t="str">
        <f>IFERROR(INDEX('Docketed Comments'!L:L,MATCH(A1023,'Docketed Comments'!H:H,0)),"")</f>
        <v>Yes</v>
      </c>
      <c r="P1023" s="119">
        <f t="shared" si="30"/>
        <v>0</v>
      </c>
      <c r="Q1023" s="60"/>
      <c r="R1023" s="64" t="s">
        <v>75</v>
      </c>
      <c r="S1023" s="64" t="s">
        <v>2162</v>
      </c>
    </row>
    <row r="1024" spans="1:19" ht="21.95" customHeight="1">
      <c r="A1024" s="66" t="s">
        <v>2163</v>
      </c>
      <c r="B1024" s="64"/>
      <c r="C1024" s="65"/>
      <c r="D1024" s="64"/>
      <c r="E1024" s="64"/>
      <c r="F1024" s="60"/>
      <c r="G1024" s="60" t="s">
        <v>88</v>
      </c>
      <c r="H1024" s="60" t="str">
        <f>IFERROR(INDEX('Docketed Comments'!C:C,MATCH(A1024,'Docketed Comments'!H:H,0))&amp;", "&amp;INDEX('Docketed Comments'!B:B,MATCH(A1024,'Docketed Comments'!H:H,0)),"")</f>
        <v>Mike, Noyes</v>
      </c>
      <c r="I1024" s="60" t="str">
        <f>IFERROR(INDEX('Docketed Comments'!D:D,MATCH(A1024,'Docketed Comments'!H:H,0)),"")</f>
        <v>Gilbert</v>
      </c>
      <c r="J1024" s="60" t="str">
        <f>IFERROR(INDEX('Docketed Comments'!I:I,MATCH(A1024,'Docketed Comments'!H:H,0)),"")</f>
        <v>R-2</v>
      </c>
      <c r="K1024" s="60" t="str">
        <f t="shared" si="31"/>
        <v>⚠ Frozen Plan</v>
      </c>
      <c r="L1024" s="60" t="str">
        <f>IFERROR(INDEX('Docketed Comments'!F:F,MATCH(A1024,'Docketed Comments'!H:H,0)),"")</f>
        <v>Wage growth has not caught up to the rising costs of living, especially here in Arizona</v>
      </c>
      <c r="M1024" s="120" t="str">
        <f>IFERROR(INDEX('Docketed Comments'!G:G,MATCH(A1024,'Docketed Comments'!H:H,0)),"")</f>
        <v>https://docket.images.azcc.gov/E000049387.pdf</v>
      </c>
      <c r="N1024" s="118" t="str">
        <f>IFERROR(INDEX('Docketed Comments'!N:N,MATCH(A1024,'Docketed Comments'!H:H,0)),"")</f>
        <v>No</v>
      </c>
      <c r="O1024" s="118" t="str">
        <f>IFERROR(INDEX('Docketed Comments'!L:L,MATCH(A1024,'Docketed Comments'!H:H,0)),"")</f>
        <v>Frozen Plan</v>
      </c>
      <c r="P1024" s="119">
        <f t="shared" si="30"/>
        <v>0</v>
      </c>
      <c r="Q1024" s="60"/>
      <c r="R1024" s="64" t="s">
        <v>75</v>
      </c>
      <c r="S1024" s="64" t="s">
        <v>2164</v>
      </c>
    </row>
    <row r="1025" spans="1:19" ht="21.95" customHeight="1">
      <c r="A1025" s="66" t="s">
        <v>2165</v>
      </c>
      <c r="B1025" s="64"/>
      <c r="C1025" s="65"/>
      <c r="D1025" s="64"/>
      <c r="E1025" s="64"/>
      <c r="F1025" s="60"/>
      <c r="G1025" s="60" t="s">
        <v>88</v>
      </c>
      <c r="H1025" s="60" t="str">
        <f>IFERROR(INDEX('Docketed Comments'!C:C,MATCH(A1025,'Docketed Comments'!H:H,0))&amp;", "&amp;INDEX('Docketed Comments'!B:B,MATCH(A1025,'Docketed Comments'!H:H,0)),"")</f>
        <v>Michelle, Jack</v>
      </c>
      <c r="I1025" s="60" t="str">
        <f>IFERROR(INDEX('Docketed Comments'!D:D,MATCH(A1025,'Docketed Comments'!H:H,0)),"")</f>
        <v>Sedona</v>
      </c>
      <c r="J1025" s="60" t="str">
        <f>IFERROR(INDEX('Docketed Comments'!I:I,MATCH(A1025,'Docketed Comments'!H:H,0)),"")</f>
        <v>R-XS</v>
      </c>
      <c r="K1025" s="60" t="str">
        <f t="shared" si="31"/>
        <v>✅ On Best Plan</v>
      </c>
      <c r="L1025" s="60" t="str">
        <f>IFERROR(INDEX('Docketed Comments'!F:F,MATCH(A1025,'Docketed Comments'!H:H,0)),"")</f>
        <v>I am a native born Arizonan and always believed APS was here to serve the people who lived in Arizona.But I no longer feel that way.</v>
      </c>
      <c r="M1025" s="120" t="str">
        <f>IFERROR(INDEX('Docketed Comments'!G:G,MATCH(A1025,'Docketed Comments'!H:H,0)),"")</f>
        <v>https://docket.images.azcc.gov/E000049387.pdf</v>
      </c>
      <c r="N1025" s="118" t="str">
        <f>IFERROR(INDEX('Docketed Comments'!N:N,MATCH(A1025,'Docketed Comments'!H:H,0)),"")</f>
        <v>No</v>
      </c>
      <c r="O1025" s="118" t="str">
        <f>IFERROR(INDEX('Docketed Comments'!L:L,MATCH(A1025,'Docketed Comments'!H:H,0)),"")</f>
        <v>Yes</v>
      </c>
      <c r="P1025" s="119">
        <f t="shared" si="30"/>
        <v>0</v>
      </c>
      <c r="Q1025" s="60"/>
      <c r="R1025" s="64" t="s">
        <v>75</v>
      </c>
      <c r="S1025" s="64" t="s">
        <v>2166</v>
      </c>
    </row>
    <row r="1026" spans="1:19" ht="21.95" customHeight="1">
      <c r="A1026" s="66" t="s">
        <v>2167</v>
      </c>
      <c r="B1026" s="64"/>
      <c r="C1026" s="65"/>
      <c r="D1026" s="64"/>
      <c r="E1026" s="64"/>
      <c r="F1026" s="60"/>
      <c r="G1026" s="60" t="s">
        <v>88</v>
      </c>
      <c r="H1026" s="60" t="str">
        <f>IFERROR(INDEX('Docketed Comments'!C:C,MATCH(A1026,'Docketed Comments'!H:H,0))&amp;", "&amp;INDEX('Docketed Comments'!B:B,MATCH(A1026,'Docketed Comments'!H:H,0)),"")</f>
        <v>Cheryl, Fleet</v>
      </c>
      <c r="I1026" s="60" t="str">
        <f>IFERROR(INDEX('Docketed Comments'!D:D,MATCH(A1026,'Docketed Comments'!H:H,0)),"")</f>
        <v>Sedona</v>
      </c>
      <c r="J1026" s="60" t="str">
        <f>IFERROR(INDEX('Docketed Comments'!I:I,MATCH(A1026,'Docketed Comments'!H:H,0)),"")</f>
        <v>RCPw/TOUE47</v>
      </c>
      <c r="K1026" s="60" t="str">
        <f t="shared" si="31"/>
        <v>✅ On Best Plan</v>
      </c>
      <c r="L1026" s="60" t="str">
        <f>IFERROR(INDEX('Docketed Comments'!F:F,MATCH(A1026,'Docketed Comments'!H:H,0)),"")</f>
        <v>October 2023 $67 credit, October 2024 $71 credit, October 2025 $81 bill</v>
      </c>
      <c r="M1026" s="120" t="str">
        <f>IFERROR(INDEX('Docketed Comments'!G:G,MATCH(A1026,'Docketed Comments'!H:H,0)),"")</f>
        <v>https://docket.images.azcc.gov/E000049387.pdf</v>
      </c>
      <c r="N1026" s="118" t="str">
        <f>IFERROR(INDEX('Docketed Comments'!N:N,MATCH(A1026,'Docketed Comments'!H:H,0)),"")</f>
        <v>No</v>
      </c>
      <c r="O1026" s="118" t="str">
        <f>IFERROR(INDEX('Docketed Comments'!L:L,MATCH(A1026,'Docketed Comments'!H:H,0)),"")</f>
        <v>Yes</v>
      </c>
      <c r="P1026" s="119">
        <f t="shared" ref="P1026:P1089" si="32">IFERROR(IF(ISNUMBER(SEARCH("$",O1026)),VALUE(SUBSTITUTE(SUBSTITUTE(MID(O1026,FIND("$",O1026)+1,FIND(")",O1026)-FIND("$",O1026)-1),",","")," ","")),VALUE(SUBSTITUTE(SUBSTITUTE(MID(O1026,FIND("(",O1026)+1,FIND(")",O1026)-FIND("(",O1026)-1),",","")," ",""))),0)</f>
        <v>0</v>
      </c>
      <c r="Q1026" s="60"/>
      <c r="R1026" s="64" t="s">
        <v>75</v>
      </c>
      <c r="S1026" s="64" t="s">
        <v>2168</v>
      </c>
    </row>
    <row r="1027" spans="1:19" ht="21.95" customHeight="1">
      <c r="A1027" s="66" t="s">
        <v>2169</v>
      </c>
      <c r="B1027" s="64"/>
      <c r="C1027" s="65"/>
      <c r="D1027" s="64"/>
      <c r="E1027" s="64"/>
      <c r="F1027" s="60"/>
      <c r="G1027" s="60" t="s">
        <v>88</v>
      </c>
      <c r="H1027" s="60" t="str">
        <f>IFERROR(INDEX('Docketed Comments'!C:C,MATCH(A1027,'Docketed Comments'!H:H,0))&amp;", "&amp;INDEX('Docketed Comments'!B:B,MATCH(A1027,'Docketed Comments'!H:H,0)),"")</f>
        <v>Carolyn, Thompson</v>
      </c>
      <c r="I1027" s="60" t="str">
        <f>IFERROR(INDEX('Docketed Comments'!D:D,MATCH(A1027,'Docketed Comments'!H:H,0)),"")</f>
        <v>Surprise</v>
      </c>
      <c r="J1027" s="60" t="str">
        <f>IFERROR(INDEX('Docketed Comments'!I:I,MATCH(A1027,'Docketed Comments'!H:H,0)),"")</f>
        <v>R3-47</v>
      </c>
      <c r="K1027" s="60" t="str">
        <f t="shared" ref="K1027:K1090" si="33">IFERROR(IF(OR(LEFT(O1027,2)="No",LEFT(O1027,3)="Not"),"❌ Not on Best Plan",IF(OR(O1027="Yes",O1027="Y",O1027="Yes "),"✅ On Best Plan","⚠ "&amp;O1027)),"")</f>
        <v>✅ On Best Plan</v>
      </c>
      <c r="L1027" s="60" t="str">
        <f>IFERROR(INDEX('Docketed Comments'!F:F,MATCH(A1027,'Docketed Comments'!H:H,0)),"")</f>
        <v>As a senior citizen the rate increase will impact me but I do have an income. My COLA from Social Security was 2.8% this past year.</v>
      </c>
      <c r="M1027" s="120" t="str">
        <f>IFERROR(INDEX('Docketed Comments'!G:G,MATCH(A1027,'Docketed Comments'!H:H,0)),"")</f>
        <v>https://docket.images.azcc.gov/E000049441.pdf</v>
      </c>
      <c r="N1027" s="118" t="str">
        <f>IFERROR(INDEX('Docketed Comments'!N:N,MATCH(A1027,'Docketed Comments'!H:H,0)),"")</f>
        <v>No</v>
      </c>
      <c r="O1027" s="118" t="str">
        <f>IFERROR(INDEX('Docketed Comments'!L:L,MATCH(A1027,'Docketed Comments'!H:H,0)),"")</f>
        <v>Yes</v>
      </c>
      <c r="P1027" s="119">
        <f t="shared" si="32"/>
        <v>0</v>
      </c>
      <c r="Q1027" s="60"/>
      <c r="R1027" s="64" t="s">
        <v>75</v>
      </c>
      <c r="S1027" s="64" t="s">
        <v>2170</v>
      </c>
    </row>
    <row r="1028" spans="1:19" ht="21.95" customHeight="1">
      <c r="A1028" s="66" t="s">
        <v>2171</v>
      </c>
      <c r="B1028" s="64"/>
      <c r="C1028" s="65"/>
      <c r="D1028" s="64"/>
      <c r="E1028" s="64"/>
      <c r="F1028" s="60"/>
      <c r="G1028" s="60" t="s">
        <v>88</v>
      </c>
      <c r="H1028" s="60" t="str">
        <f>IFERROR(INDEX('Docketed Comments'!C:C,MATCH(A1028,'Docketed Comments'!H:H,0))&amp;", "&amp;INDEX('Docketed Comments'!B:B,MATCH(A1028,'Docketed Comments'!H:H,0)),"")</f>
        <v>ILiya, Sapundzhiev</v>
      </c>
      <c r="I1028" s="60" t="str">
        <f>IFERROR(INDEX('Docketed Comments'!D:D,MATCH(A1028,'Docketed Comments'!H:H,0)),"")</f>
        <v>Surprise</v>
      </c>
      <c r="J1028" s="60" t="str">
        <f>IFERROR(INDEX('Docketed Comments'!I:I,MATCH(A1028,'Docketed Comments'!H:H,0)),"")</f>
        <v>RCPw/RTOUE47</v>
      </c>
      <c r="K1028" s="60" t="str">
        <f t="shared" si="33"/>
        <v>✅ On Best Plan</v>
      </c>
      <c r="L1028" s="60" t="str">
        <f>IFERROR(INDEX('Docketed Comments'!F:F,MATCH(A1028,'Docketed Comments'!H:H,0)),"")</f>
        <v xml:space="preserve">I am an Arizona resident, a small business owner, and a solar customer since 2020. I am writing to strongly oppose. </v>
      </c>
      <c r="M1028" s="120" t="str">
        <f>IFERROR(INDEX('Docketed Comments'!G:G,MATCH(A1028,'Docketed Comments'!H:H,0)),"")</f>
        <v>https://docket.images.azcc.gov/E000049487.pdf</v>
      </c>
      <c r="N1028" s="118" t="str">
        <f>IFERROR(INDEX('Docketed Comments'!N:N,MATCH(A1028,'Docketed Comments'!H:H,0)),"")</f>
        <v>No</v>
      </c>
      <c r="O1028" s="118" t="str">
        <f>IFERROR(INDEX('Docketed Comments'!L:L,MATCH(A1028,'Docketed Comments'!H:H,0)),"")</f>
        <v>Yes</v>
      </c>
      <c r="P1028" s="119">
        <f t="shared" si="32"/>
        <v>0</v>
      </c>
      <c r="Q1028" s="60"/>
      <c r="R1028" s="64" t="s">
        <v>75</v>
      </c>
      <c r="S1028" s="64" t="s">
        <v>2172</v>
      </c>
    </row>
    <row r="1029" spans="1:19" ht="21.95" customHeight="1">
      <c r="A1029" s="66" t="s">
        <v>2173</v>
      </c>
      <c r="B1029" s="64"/>
      <c r="C1029" s="65"/>
      <c r="D1029" s="64"/>
      <c r="E1029" s="64"/>
      <c r="F1029" s="60"/>
      <c r="G1029" s="60" t="s">
        <v>88</v>
      </c>
      <c r="H1029" s="60" t="str">
        <f>IFERROR(INDEX('Docketed Comments'!C:C,MATCH(A1029,'Docketed Comments'!H:H,0))&amp;", "&amp;INDEX('Docketed Comments'!B:B,MATCH(A1029,'Docketed Comments'!H:H,0)),"")</f>
        <v>Michael, Dallam</v>
      </c>
      <c r="I1029" s="60" t="str">
        <f>IFERROR(INDEX('Docketed Comments'!D:D,MATCH(A1029,'Docketed Comments'!H:H,0)),"")</f>
        <v>Flagstaff</v>
      </c>
      <c r="J1029" s="60" t="str">
        <f>IFERROR(INDEX('Docketed Comments'!I:I,MATCH(A1029,'Docketed Comments'!H:H,0)),"")</f>
        <v>RCPw/R3-47</v>
      </c>
      <c r="K1029" s="60" t="str">
        <f t="shared" si="33"/>
        <v>✅ On Best Plan</v>
      </c>
      <c r="L1029" s="60" t="str">
        <f>IFERROR(INDEX('Docketed Comments'!F:F,MATCH(A1029,'Docketed Comments'!H:H,0)),"")</f>
        <v>Enough with these unnecessary rate increases! You folks campaigned on the promise of keeping rates reasonable, what happened to that?</v>
      </c>
      <c r="M1029" s="120" t="str">
        <f>IFERROR(INDEX('Docketed Comments'!G:G,MATCH(A1029,'Docketed Comments'!H:H,0)),"")</f>
        <v>https://docket.images.azcc.gov/E000049487.pdf</v>
      </c>
      <c r="N1029" s="118" t="str">
        <f>IFERROR(INDEX('Docketed Comments'!N:N,MATCH(A1029,'Docketed Comments'!H:H,0)),"")</f>
        <v>No</v>
      </c>
      <c r="O1029" s="118" t="str">
        <f>IFERROR(INDEX('Docketed Comments'!L:L,MATCH(A1029,'Docketed Comments'!H:H,0)),"")</f>
        <v>Yes</v>
      </c>
      <c r="P1029" s="119">
        <f t="shared" si="32"/>
        <v>0</v>
      </c>
      <c r="Q1029" s="60"/>
      <c r="R1029" s="64" t="s">
        <v>75</v>
      </c>
      <c r="S1029" s="64" t="s">
        <v>2174</v>
      </c>
    </row>
    <row r="1030" spans="1:19" ht="21.95" customHeight="1">
      <c r="A1030" s="66" t="s">
        <v>2175</v>
      </c>
      <c r="B1030" s="64"/>
      <c r="C1030" s="65"/>
      <c r="D1030" s="64"/>
      <c r="E1030" s="64"/>
      <c r="F1030" s="60"/>
      <c r="G1030" s="60" t="s">
        <v>88</v>
      </c>
      <c r="H1030" s="60" t="str">
        <f>IFERROR(INDEX('Docketed Comments'!C:C,MATCH(A1030,'Docketed Comments'!H:H,0))&amp;", "&amp;INDEX('Docketed Comments'!B:B,MATCH(A1030,'Docketed Comments'!H:H,0)),"")</f>
        <v>Wayne, Johnson</v>
      </c>
      <c r="I1030" s="60" t="str">
        <f>IFERROR(INDEX('Docketed Comments'!D:D,MATCH(A1030,'Docketed Comments'!H:H,0)),"")</f>
        <v>Glendale</v>
      </c>
      <c r="J1030" s="60" t="str">
        <f>IFERROR(INDEX('Docketed Comments'!I:I,MATCH(A1030,'Docketed Comments'!H:H,0)),"")</f>
        <v>EPR6w/ET-1</v>
      </c>
      <c r="K1030" s="60" t="str">
        <f t="shared" si="33"/>
        <v>⚠ Frozen Plan</v>
      </c>
      <c r="L1030" s="60" t="str">
        <f>IFERROR(INDEX('Docketed Comments'!F:F,MATCH(A1030,'Docketed Comments'!H:H,0)),"")</f>
        <v>We don't need rate hikes, we need more investment in solar and other lower cost forms of power.</v>
      </c>
      <c r="M1030" s="120" t="str">
        <f>IFERROR(INDEX('Docketed Comments'!G:G,MATCH(A1030,'Docketed Comments'!H:H,0)),"")</f>
        <v>https://docket.images.azcc.gov/E000049487.pdf</v>
      </c>
      <c r="N1030" s="118" t="str">
        <f>IFERROR(INDEX('Docketed Comments'!N:N,MATCH(A1030,'Docketed Comments'!H:H,0)),"")</f>
        <v>No</v>
      </c>
      <c r="O1030" s="118" t="str">
        <f>IFERROR(INDEX('Docketed Comments'!L:L,MATCH(A1030,'Docketed Comments'!H:H,0)),"")</f>
        <v>Frozen Plan</v>
      </c>
      <c r="P1030" s="119">
        <f t="shared" si="32"/>
        <v>0</v>
      </c>
      <c r="Q1030" s="60"/>
      <c r="R1030" s="64" t="s">
        <v>75</v>
      </c>
      <c r="S1030" s="64" t="s">
        <v>2176</v>
      </c>
    </row>
    <row r="1031" spans="1:19" ht="21.95" customHeight="1">
      <c r="A1031" s="66" t="s">
        <v>2177</v>
      </c>
      <c r="B1031" s="64"/>
      <c r="C1031" s="65"/>
      <c r="D1031" s="64"/>
      <c r="E1031" s="64"/>
      <c r="F1031" s="60"/>
      <c r="G1031" s="60" t="s">
        <v>88</v>
      </c>
      <c r="H1031" s="60" t="str">
        <f>IFERROR(INDEX('Docketed Comments'!C:C,MATCH(A1031,'Docketed Comments'!H:H,0))&amp;", "&amp;INDEX('Docketed Comments'!B:B,MATCH(A1031,'Docketed Comments'!H:H,0)),"")</f>
        <v>Leonard, Lipson</v>
      </c>
      <c r="I1031" s="60" t="str">
        <f>IFERROR(INDEX('Docketed Comments'!D:D,MATCH(A1031,'Docketed Comments'!H:H,0)),"")</f>
        <v>Casa Grande</v>
      </c>
      <c r="J1031" s="60" t="str">
        <f>IFERROR(INDEX('Docketed Comments'!I:I,MATCH(A1031,'Docketed Comments'!H:H,0)),"")</f>
        <v>RCPw/TOUE47</v>
      </c>
      <c r="K1031" s="60" t="str">
        <f t="shared" si="33"/>
        <v>✅ On Best Plan</v>
      </c>
      <c r="L1031" s="60" t="str">
        <f>IFERROR(INDEX('Docketed Comments'!F:F,MATCH(A1031,'Docketed Comments'!H:H,0)),"")</f>
        <v>Solar panels worth les Retired on fixed income Paying enough now.</v>
      </c>
      <c r="M1031" s="120" t="str">
        <f>IFERROR(INDEX('Docketed Comments'!G:G,MATCH(A1031,'Docketed Comments'!H:H,0)),"")</f>
        <v>https://docket.images.azcc.gov/E000049487.pdf</v>
      </c>
      <c r="N1031" s="118" t="str">
        <f>IFERROR(INDEX('Docketed Comments'!N:N,MATCH(A1031,'Docketed Comments'!H:H,0)),"")</f>
        <v>No</v>
      </c>
      <c r="O1031" s="118" t="str">
        <f>IFERROR(INDEX('Docketed Comments'!L:L,MATCH(A1031,'Docketed Comments'!H:H,0)),"")</f>
        <v>Yes</v>
      </c>
      <c r="P1031" s="119">
        <f t="shared" si="32"/>
        <v>0</v>
      </c>
      <c r="Q1031" s="60"/>
      <c r="R1031" s="64" t="s">
        <v>75</v>
      </c>
      <c r="S1031" s="64" t="s">
        <v>2178</v>
      </c>
    </row>
    <row r="1032" spans="1:19" ht="21.95" customHeight="1">
      <c r="A1032" s="66" t="s">
        <v>2179</v>
      </c>
      <c r="B1032" s="64"/>
      <c r="C1032" s="65"/>
      <c r="D1032" s="64"/>
      <c r="E1032" s="64"/>
      <c r="F1032" s="60"/>
      <c r="G1032" s="60" t="s">
        <v>88</v>
      </c>
      <c r="H1032" s="60" t="str">
        <f>IFERROR(INDEX('Docketed Comments'!C:C,MATCH(A1032,'Docketed Comments'!H:H,0))&amp;", "&amp;INDEX('Docketed Comments'!B:B,MATCH(A1032,'Docketed Comments'!H:H,0)),"")</f>
        <v>David, Perez</v>
      </c>
      <c r="I1032" s="60" t="str">
        <f>IFERROR(INDEX('Docketed Comments'!D:D,MATCH(A1032,'Docketed Comments'!H:H,0)),"")</f>
        <v>Phoenix</v>
      </c>
      <c r="J1032" s="60" t="str">
        <f>IFERROR(INDEX('Docketed Comments'!I:I,MATCH(A1032,'Docketed Comments'!H:H,0)),"")</f>
        <v>RCPw/TOUE47</v>
      </c>
      <c r="K1032" s="60" t="str">
        <f t="shared" si="33"/>
        <v>✅ On Best Plan</v>
      </c>
      <c r="L1032" s="60" t="str">
        <f>IFERROR(INDEX('Docketed Comments'!F:F,MATCH(A1032,'Docketed Comments'!H:H,0)),"")</f>
        <v>even with solar panels, I have to still pay APS bc of their rate increase through the years</v>
      </c>
      <c r="M1032" s="120" t="str">
        <f>IFERROR(INDEX('Docketed Comments'!G:G,MATCH(A1032,'Docketed Comments'!H:H,0)),"")</f>
        <v>https://docket.images.azcc.gov/E000049487.pdf</v>
      </c>
      <c r="N1032" s="118" t="str">
        <f>IFERROR(INDEX('Docketed Comments'!N:N,MATCH(A1032,'Docketed Comments'!H:H,0)),"")</f>
        <v>No</v>
      </c>
      <c r="O1032" s="118" t="str">
        <f>IFERROR(INDEX('Docketed Comments'!L:L,MATCH(A1032,'Docketed Comments'!H:H,0)),"")</f>
        <v>Yes</v>
      </c>
      <c r="P1032" s="119">
        <f t="shared" si="32"/>
        <v>0</v>
      </c>
      <c r="Q1032" s="60"/>
      <c r="R1032" s="64" t="s">
        <v>75</v>
      </c>
      <c r="S1032" s="64" t="s">
        <v>2180</v>
      </c>
    </row>
    <row r="1033" spans="1:19" ht="21.95" customHeight="1">
      <c r="A1033" s="66" t="s">
        <v>2181</v>
      </c>
      <c r="B1033" s="64"/>
      <c r="C1033" s="65"/>
      <c r="D1033" s="64"/>
      <c r="E1033" s="64"/>
      <c r="F1033" s="60"/>
      <c r="G1033" s="60" t="s">
        <v>88</v>
      </c>
      <c r="H1033" s="60" t="str">
        <f>IFERROR(INDEX('Docketed Comments'!C:C,MATCH(A1033,'Docketed Comments'!H:H,0))&amp;", "&amp;INDEX('Docketed Comments'!B:B,MATCH(A1033,'Docketed Comments'!H:H,0)),"")</f>
        <v>Dwayne, Osborn</v>
      </c>
      <c r="I1033" s="60" t="str">
        <f>IFERROR(INDEX('Docketed Comments'!D:D,MATCH(A1033,'Docketed Comments'!H:H,0)),"")</f>
        <v>Tonopah</v>
      </c>
      <c r="J1033" s="60" t="str">
        <f>IFERROR(INDEX('Docketed Comments'!I:I,MATCH(A1033,'Docketed Comments'!H:H,0)),"")</f>
        <v>RCPw/RTOUE47</v>
      </c>
      <c r="K1033" s="60" t="str">
        <f t="shared" si="33"/>
        <v>✅ On Best Plan</v>
      </c>
      <c r="L1033" s="60" t="str">
        <f>IFERROR(INDEX('Docketed Comments'!F:F,MATCH(A1033,'Docketed Comments'!H:H,0)),"")</f>
        <v xml:space="preserve">fixed income, with solar, do not support any increase in APS rate increases while continuing to set record profits. </v>
      </c>
      <c r="M1033" s="120" t="str">
        <f>IFERROR(INDEX('Docketed Comments'!G:G,MATCH(A1033,'Docketed Comments'!H:H,0)),"")</f>
        <v>https://docket.images.azcc.gov/E000049487.pdf</v>
      </c>
      <c r="N1033" s="118" t="str">
        <f>IFERROR(INDEX('Docketed Comments'!N:N,MATCH(A1033,'Docketed Comments'!H:H,0)),"")</f>
        <v>No</v>
      </c>
      <c r="O1033" s="118" t="str">
        <f>IFERROR(INDEX('Docketed Comments'!L:L,MATCH(A1033,'Docketed Comments'!H:H,0)),"")</f>
        <v>Yes</v>
      </c>
      <c r="P1033" s="119">
        <f t="shared" si="32"/>
        <v>0</v>
      </c>
      <c r="Q1033" s="60"/>
      <c r="R1033" s="64" t="s">
        <v>75</v>
      </c>
      <c r="S1033" s="64" t="s">
        <v>2182</v>
      </c>
    </row>
    <row r="1034" spans="1:19" ht="21.95" customHeight="1">
      <c r="A1034" s="66" t="s">
        <v>2183</v>
      </c>
      <c r="B1034" s="64"/>
      <c r="C1034" s="65"/>
      <c r="D1034" s="64"/>
      <c r="E1034" s="64"/>
      <c r="F1034" s="60"/>
      <c r="G1034" s="60" t="s">
        <v>88</v>
      </c>
      <c r="H1034" s="60" t="str">
        <f>IFERROR(INDEX('Docketed Comments'!C:C,MATCH(A1034,'Docketed Comments'!H:H,0))&amp;", "&amp;INDEX('Docketed Comments'!B:B,MATCH(A1034,'Docketed Comments'!H:H,0)),"")</f>
        <v>Kathleen, Armstrong</v>
      </c>
      <c r="I1034" s="60" t="str">
        <f>IFERROR(INDEX('Docketed Comments'!D:D,MATCH(A1034,'Docketed Comments'!H:H,0)),"")</f>
        <v>Flagstaff</v>
      </c>
      <c r="J1034" s="60" t="str">
        <f>IFERROR(INDEX('Docketed Comments'!I:I,MATCH(A1034,'Docketed Comments'!H:H,0)),"")</f>
        <v>R-XS</v>
      </c>
      <c r="K1034" s="60" t="str">
        <f t="shared" si="33"/>
        <v>✅ On Best Plan</v>
      </c>
      <c r="L1034" s="60" t="str">
        <f>IFERROR(INDEX('Docketed Comments'!F:F,MATCH(A1034,'Docketed Comments'!H:H,0)),"")</f>
        <v>It is criminal to ignore cheaper clearn energy like solar and wind. APS would not need to even consider a rate hike if they stopped ignoring clean</v>
      </c>
      <c r="M1034" s="120" t="str">
        <f>IFERROR(INDEX('Docketed Comments'!G:G,MATCH(A1034,'Docketed Comments'!H:H,0)),"")</f>
        <v>https://docket.images.azcc.gov/E000049487.pdf</v>
      </c>
      <c r="N1034" s="118" t="str">
        <f>IFERROR(INDEX('Docketed Comments'!N:N,MATCH(A1034,'Docketed Comments'!H:H,0)),"")</f>
        <v>No</v>
      </c>
      <c r="O1034" s="118" t="str">
        <f>IFERROR(INDEX('Docketed Comments'!L:L,MATCH(A1034,'Docketed Comments'!H:H,0)),"")</f>
        <v>Yes</v>
      </c>
      <c r="P1034" s="119">
        <f t="shared" si="32"/>
        <v>0</v>
      </c>
      <c r="Q1034" s="60"/>
      <c r="R1034" s="64" t="s">
        <v>75</v>
      </c>
      <c r="S1034" s="64" t="s">
        <v>2184</v>
      </c>
    </row>
    <row r="1035" spans="1:19" ht="21.95" customHeight="1">
      <c r="A1035" s="66" t="s">
        <v>2185</v>
      </c>
      <c r="B1035" s="64"/>
      <c r="C1035" s="65"/>
      <c r="D1035" s="64"/>
      <c r="E1035" s="64"/>
      <c r="F1035" s="60"/>
      <c r="G1035" s="60" t="s">
        <v>88</v>
      </c>
      <c r="H1035" s="60" t="str">
        <f>IFERROR(INDEX('Docketed Comments'!C:C,MATCH(A1035,'Docketed Comments'!H:H,0))&amp;", "&amp;INDEX('Docketed Comments'!B:B,MATCH(A1035,'Docketed Comments'!H:H,0)),"")</f>
        <v>Judy, Martinez</v>
      </c>
      <c r="I1035" s="60" t="str">
        <f>IFERROR(INDEX('Docketed Comments'!D:D,MATCH(A1035,'Docketed Comments'!H:H,0)),"")</f>
        <v>Williams</v>
      </c>
      <c r="J1035" s="60" t="str">
        <f>IFERROR(INDEX('Docketed Comments'!I:I,MATCH(A1035,'Docketed Comments'!H:H,0)),"")</f>
        <v>R3-47</v>
      </c>
      <c r="K1035" s="60" t="str">
        <f t="shared" si="33"/>
        <v>✅ On Best Plan</v>
      </c>
      <c r="L1035" s="60" t="str">
        <f>IFERROR(INDEX('Docketed Comments'!F:F,MATCH(A1035,'Docketed Comments'!H:H,0)),"")</f>
        <v>Families across this state already struggle to pay their mortgages, cover their bills and make ends meet</v>
      </c>
      <c r="M1035" s="120" t="str">
        <f>IFERROR(INDEX('Docketed Comments'!G:G,MATCH(A1035,'Docketed Comments'!H:H,0)),"")</f>
        <v>https://docket.images.azcc.gov/E000049487.pdf</v>
      </c>
      <c r="N1035" s="118" t="str">
        <f>IFERROR(INDEX('Docketed Comments'!N:N,MATCH(A1035,'Docketed Comments'!H:H,0)),"")</f>
        <v>No</v>
      </c>
      <c r="O1035" s="118" t="str">
        <f>IFERROR(INDEX('Docketed Comments'!L:L,MATCH(A1035,'Docketed Comments'!H:H,0)),"")</f>
        <v>Yes</v>
      </c>
      <c r="P1035" s="119">
        <f t="shared" si="32"/>
        <v>0</v>
      </c>
      <c r="Q1035" s="60"/>
      <c r="R1035" s="64" t="s">
        <v>75</v>
      </c>
      <c r="S1035" s="64" t="s">
        <v>2186</v>
      </c>
    </row>
    <row r="1036" spans="1:19" ht="21.95" customHeight="1">
      <c r="A1036" s="66" t="s">
        <v>2187</v>
      </c>
      <c r="B1036" s="64"/>
      <c r="C1036" s="65"/>
      <c r="D1036" s="64"/>
      <c r="E1036" s="64"/>
      <c r="F1036" s="60"/>
      <c r="G1036" s="60" t="s">
        <v>88</v>
      </c>
      <c r="H1036" s="60" t="str">
        <f>IFERROR(INDEX('Docketed Comments'!C:C,MATCH(A1036,'Docketed Comments'!H:H,0))&amp;", "&amp;INDEX('Docketed Comments'!B:B,MATCH(A1036,'Docketed Comments'!H:H,0)),"")</f>
        <v>Shawn, Newell</v>
      </c>
      <c r="I1036" s="60" t="str">
        <f>IFERROR(INDEX('Docketed Comments'!D:D,MATCH(A1036,'Docketed Comments'!H:H,0)),"")</f>
        <v>Flagstaff</v>
      </c>
      <c r="J1036" s="60" t="str">
        <f>IFERROR(INDEX('Docketed Comments'!I:I,MATCH(A1036,'Docketed Comments'!H:H,0)),"")</f>
        <v>EPR6w/E-12</v>
      </c>
      <c r="K1036" s="60" t="str">
        <f t="shared" si="33"/>
        <v>⚠ Frozen Plan</v>
      </c>
      <c r="L1036" s="60" t="str">
        <f>IFERROR(INDEX('Docketed Comments'!F:F,MATCH(A1036,'Docketed Comments'!H:H,0)),"")</f>
        <v>when APS customers like me are struggling with affordability, APS should not be guaranteed higher profits</v>
      </c>
      <c r="M1036" s="120" t="str">
        <f>IFERROR(INDEX('Docketed Comments'!G:G,MATCH(A1036,'Docketed Comments'!H:H,0)),"")</f>
        <v>https://docket.images.azcc.gov/E000049487.pdf</v>
      </c>
      <c r="N1036" s="118" t="str">
        <f>IFERROR(INDEX('Docketed Comments'!N:N,MATCH(A1036,'Docketed Comments'!H:H,0)),"")</f>
        <v>No</v>
      </c>
      <c r="O1036" s="118" t="str">
        <f>IFERROR(INDEX('Docketed Comments'!L:L,MATCH(A1036,'Docketed Comments'!H:H,0)),"")</f>
        <v>Frozen Plan</v>
      </c>
      <c r="P1036" s="119">
        <f t="shared" si="32"/>
        <v>0</v>
      </c>
      <c r="Q1036" s="60"/>
      <c r="R1036" s="64" t="s">
        <v>75</v>
      </c>
      <c r="S1036" s="64" t="s">
        <v>2188</v>
      </c>
    </row>
    <row r="1037" spans="1:19" ht="21.95" customHeight="1">
      <c r="A1037" s="66" t="s">
        <v>2189</v>
      </c>
      <c r="B1037" s="64"/>
      <c r="C1037" s="65"/>
      <c r="D1037" s="64"/>
      <c r="E1037" s="64"/>
      <c r="F1037" s="60"/>
      <c r="G1037" s="60" t="s">
        <v>88</v>
      </c>
      <c r="H1037" s="60" t="str">
        <f>IFERROR(INDEX('Docketed Comments'!C:C,MATCH(A1037,'Docketed Comments'!H:H,0))&amp;", "&amp;INDEX('Docketed Comments'!B:B,MATCH(A1037,'Docketed Comments'!H:H,0)),"")</f>
        <v>Jay, Budde</v>
      </c>
      <c r="I1037" s="60" t="str">
        <f>IFERROR(INDEX('Docketed Comments'!D:D,MATCH(A1037,'Docketed Comments'!H:H,0)),"")</f>
        <v>Peoria</v>
      </c>
      <c r="J1037" s="60" t="str">
        <f>IFERROR(INDEX('Docketed Comments'!I:I,MATCH(A1037,'Docketed Comments'!H:H,0)),"")</f>
        <v>R3-47</v>
      </c>
      <c r="K1037" s="60" t="str">
        <f t="shared" si="33"/>
        <v>✅ On Best Plan</v>
      </c>
      <c r="L1037" s="60" t="str">
        <f>IFERROR(INDEX('Docketed Comments'!F:F,MATCH(A1037,'Docketed Comments'!H:H,0)),"")</f>
        <v>How about APS stop doing commercials using the money they charge us customers for</v>
      </c>
      <c r="M1037" s="120" t="str">
        <f>IFERROR(INDEX('Docketed Comments'!G:G,MATCH(A1037,'Docketed Comments'!H:H,0)),"")</f>
        <v>https://docket.images.azcc.gov/E000049487.pdf</v>
      </c>
      <c r="N1037" s="118" t="str">
        <f>IFERROR(INDEX('Docketed Comments'!N:N,MATCH(A1037,'Docketed Comments'!H:H,0)),"")</f>
        <v>No</v>
      </c>
      <c r="O1037" s="118" t="str">
        <f>IFERROR(INDEX('Docketed Comments'!L:L,MATCH(A1037,'Docketed Comments'!H:H,0)),"")</f>
        <v>Yes</v>
      </c>
      <c r="P1037" s="119">
        <f t="shared" si="32"/>
        <v>0</v>
      </c>
      <c r="Q1037" s="60"/>
      <c r="R1037" s="64" t="s">
        <v>75</v>
      </c>
      <c r="S1037" s="64" t="s">
        <v>2190</v>
      </c>
    </row>
    <row r="1038" spans="1:19" ht="21.95" customHeight="1">
      <c r="A1038" s="66" t="s">
        <v>2191</v>
      </c>
      <c r="B1038" s="64"/>
      <c r="C1038" s="65"/>
      <c r="D1038" s="64"/>
      <c r="E1038" s="64"/>
      <c r="F1038" s="60"/>
      <c r="G1038" s="60" t="s">
        <v>88</v>
      </c>
      <c r="H1038" s="60" t="str">
        <f>IFERROR(INDEX('Docketed Comments'!C:C,MATCH(A1038,'Docketed Comments'!H:H,0))&amp;", "&amp;INDEX('Docketed Comments'!B:B,MATCH(A1038,'Docketed Comments'!H:H,0)),"")</f>
        <v>Mike, Martin</v>
      </c>
      <c r="I1038" s="60" t="str">
        <f>IFERROR(INDEX('Docketed Comments'!D:D,MATCH(A1038,'Docketed Comments'!H:H,0)),"")</f>
        <v>Phoenix</v>
      </c>
      <c r="J1038" s="60" t="str">
        <f>IFERROR(INDEX('Docketed Comments'!I:I,MATCH(A1038,'Docketed Comments'!H:H,0)),"")</f>
        <v>RCPw/R3-47</v>
      </c>
      <c r="K1038" s="60" t="str">
        <f t="shared" si="33"/>
        <v>✅ On Best Plan</v>
      </c>
      <c r="L1038" s="60" t="str">
        <f>IFERROR(INDEX('Docketed Comments'!F:F,MATCH(A1038,'Docketed Comments'!H:H,0)),"")</f>
        <v>l am a retired postal employee and on a pension. I am sick and tired of APS ripping off its Customers</v>
      </c>
      <c r="M1038" s="120" t="str">
        <f>IFERROR(INDEX('Docketed Comments'!G:G,MATCH(A1038,'Docketed Comments'!H:H,0)),"")</f>
        <v>https://docket.images.azcc.gov/E000049487.pdf</v>
      </c>
      <c r="N1038" s="118" t="str">
        <f>IFERROR(INDEX('Docketed Comments'!N:N,MATCH(A1038,'Docketed Comments'!H:H,0)),"")</f>
        <v>No</v>
      </c>
      <c r="O1038" s="118" t="str">
        <f>IFERROR(INDEX('Docketed Comments'!L:L,MATCH(A1038,'Docketed Comments'!H:H,0)),"")</f>
        <v>Yes</v>
      </c>
      <c r="P1038" s="119">
        <f t="shared" si="32"/>
        <v>0</v>
      </c>
      <c r="Q1038" s="60"/>
      <c r="R1038" s="64" t="s">
        <v>75</v>
      </c>
      <c r="S1038" s="64" t="s">
        <v>2192</v>
      </c>
    </row>
    <row r="1039" spans="1:19" ht="21.95" customHeight="1">
      <c r="A1039" s="66" t="s">
        <v>2193</v>
      </c>
      <c r="B1039" s="64"/>
      <c r="C1039" s="65"/>
      <c r="D1039" s="64"/>
      <c r="E1039" s="64"/>
      <c r="F1039" s="60"/>
      <c r="G1039" s="60" t="s">
        <v>88</v>
      </c>
      <c r="H1039" s="60" t="str">
        <f>IFERROR(INDEX('Docketed Comments'!C:C,MATCH(A1039,'Docketed Comments'!H:H,0))&amp;", "&amp;INDEX('Docketed Comments'!B:B,MATCH(A1039,'Docketed Comments'!H:H,0)),"")</f>
        <v>James, Wesolowski</v>
      </c>
      <c r="I1039" s="60" t="str">
        <f>IFERROR(INDEX('Docketed Comments'!D:D,MATCH(A1039,'Docketed Comments'!H:H,0)),"")</f>
        <v>Tonto Basin</v>
      </c>
      <c r="J1039" s="60" t="str">
        <f>IFERROR(INDEX('Docketed Comments'!I:I,MATCH(A1039,'Docketed Comments'!H:H,0)),"")</f>
        <v>R-2</v>
      </c>
      <c r="K1039" s="60" t="str">
        <f t="shared" si="33"/>
        <v>⚠ Frozen Plan</v>
      </c>
      <c r="L1039" s="60" t="str">
        <f>IFERROR(INDEX('Docketed Comments'!F:F,MATCH(A1039,'Docketed Comments'!H:H,0)),"")</f>
        <v>Spent over 140k on solar to negate the costs of my electricity bills and used to actually get credit on my bill each month. 2025 I never once had a month where I got a credit</v>
      </c>
      <c r="M1039" s="120" t="str">
        <f>IFERROR(INDEX('Docketed Comments'!G:G,MATCH(A1039,'Docketed Comments'!H:H,0)),"")</f>
        <v>https://docket.images.azcc.gov/E000049493.pdf</v>
      </c>
      <c r="N1039" s="118" t="str">
        <f>IFERROR(INDEX('Docketed Comments'!N:N,MATCH(A1039,'Docketed Comments'!H:H,0)),"")</f>
        <v>No</v>
      </c>
      <c r="O1039" s="118" t="str">
        <f>IFERROR(INDEX('Docketed Comments'!L:L,MATCH(A1039,'Docketed Comments'!H:H,0)),"")</f>
        <v>Frozen Plan</v>
      </c>
      <c r="P1039" s="119">
        <f t="shared" si="32"/>
        <v>0</v>
      </c>
      <c r="Q1039" s="60"/>
      <c r="R1039" s="64" t="s">
        <v>75</v>
      </c>
      <c r="S1039" s="64" t="s">
        <v>2194</v>
      </c>
    </row>
    <row r="1040" spans="1:19" ht="21.95" customHeight="1">
      <c r="A1040" s="66" t="s">
        <v>2195</v>
      </c>
      <c r="B1040" s="64"/>
      <c r="C1040" s="65"/>
      <c r="D1040" s="64"/>
      <c r="E1040" s="64"/>
      <c r="F1040" s="60"/>
      <c r="G1040" s="60" t="s">
        <v>88</v>
      </c>
      <c r="H1040" s="60" t="str">
        <f>IFERROR(INDEX('Docketed Comments'!C:C,MATCH(A1040,'Docketed Comments'!H:H,0))&amp;", "&amp;INDEX('Docketed Comments'!B:B,MATCH(A1040,'Docketed Comments'!H:H,0)),"")</f>
        <v>Donald, Pratt</v>
      </c>
      <c r="I1040" s="60" t="str">
        <f>IFERROR(INDEX('Docketed Comments'!D:D,MATCH(A1040,'Docketed Comments'!H:H,0)),"")</f>
        <v>Prescott</v>
      </c>
      <c r="J1040" s="60" t="str">
        <f>IFERROR(INDEX('Docketed Comments'!I:I,MATCH(A1040,'Docketed Comments'!H:H,0)),"")</f>
        <v>RCPw/RTOUE47</v>
      </c>
      <c r="K1040" s="60" t="str">
        <f t="shared" si="33"/>
        <v>✅ On Best Plan</v>
      </c>
      <c r="L1040" s="60" t="str">
        <f>IFERROR(INDEX('Docketed Comments'!F:F,MATCH(A1040,'Docketed Comments'!H:H,0)),"")</f>
        <v>As a retiree, fixed income, invested in solar, prior APS rate increase negated much of my actual financial benefit and anticipated return on investment.</v>
      </c>
      <c r="M1040" s="120" t="str">
        <f>IFERROR(INDEX('Docketed Comments'!G:G,MATCH(A1040,'Docketed Comments'!H:H,0)),"")</f>
        <v>https://docket.images.azcc.gov/E000049493.pdf</v>
      </c>
      <c r="N1040" s="118" t="str">
        <f>IFERROR(INDEX('Docketed Comments'!N:N,MATCH(A1040,'Docketed Comments'!H:H,0)),"")</f>
        <v>No</v>
      </c>
      <c r="O1040" s="118" t="str">
        <f>IFERROR(INDEX('Docketed Comments'!L:L,MATCH(A1040,'Docketed Comments'!H:H,0)),"")</f>
        <v>Yes</v>
      </c>
      <c r="P1040" s="119">
        <f t="shared" si="32"/>
        <v>0</v>
      </c>
      <c r="Q1040" s="60"/>
      <c r="R1040" s="64" t="s">
        <v>75</v>
      </c>
      <c r="S1040" s="64" t="s">
        <v>2196</v>
      </c>
    </row>
    <row r="1041" spans="1:19" ht="21.95" customHeight="1">
      <c r="A1041" s="66" t="s">
        <v>2197</v>
      </c>
      <c r="B1041" s="64"/>
      <c r="C1041" s="65"/>
      <c r="D1041" s="64"/>
      <c r="E1041" s="64"/>
      <c r="F1041" s="60"/>
      <c r="G1041" s="60" t="s">
        <v>88</v>
      </c>
      <c r="H1041" s="60" t="str">
        <f>IFERROR(INDEX('Docketed Comments'!C:C,MATCH(A1041,'Docketed Comments'!H:H,0))&amp;", "&amp;INDEX('Docketed Comments'!B:B,MATCH(A1041,'Docketed Comments'!H:H,0)),"")</f>
        <v>Jewell, Hawthorne</v>
      </c>
      <c r="I1041" s="60" t="str">
        <f>IFERROR(INDEX('Docketed Comments'!D:D,MATCH(A1041,'Docketed Comments'!H:H,0)),"")</f>
        <v>Phoenix</v>
      </c>
      <c r="J1041" s="60" t="str">
        <f>IFERROR(INDEX('Docketed Comments'!I:I,MATCH(A1041,'Docketed Comments'!H:H,0)),"")</f>
        <v>EPR6w/E-12</v>
      </c>
      <c r="K1041" s="60" t="str">
        <f t="shared" si="33"/>
        <v>⚠ Frozen Plan</v>
      </c>
      <c r="L1041" s="60" t="str">
        <f>IFERROR(INDEX('Docketed Comments'!F:F,MATCH(A1041,'Docketed Comments'!H:H,0)),"")</f>
        <v>Three rate hikes in the past three years. And to make matters worse, the utility's proposed "formula rates" would allow them to increase annually</v>
      </c>
      <c r="M1041" s="120" t="str">
        <f>IFERROR(INDEX('Docketed Comments'!G:G,MATCH(A1041,'Docketed Comments'!H:H,0)),"")</f>
        <v>https://docket.images.azcc.gov/E000049493.pdf</v>
      </c>
      <c r="N1041" s="118" t="str">
        <f>IFERROR(INDEX('Docketed Comments'!N:N,MATCH(A1041,'Docketed Comments'!H:H,0)),"")</f>
        <v>No</v>
      </c>
      <c r="O1041" s="118" t="str">
        <f>IFERROR(INDEX('Docketed Comments'!L:L,MATCH(A1041,'Docketed Comments'!H:H,0)),"")</f>
        <v>Frozen Plan</v>
      </c>
      <c r="P1041" s="119">
        <f t="shared" si="32"/>
        <v>0</v>
      </c>
      <c r="Q1041" s="60"/>
      <c r="R1041" s="64" t="s">
        <v>75</v>
      </c>
      <c r="S1041" s="64" t="s">
        <v>2198</v>
      </c>
    </row>
    <row r="1042" spans="1:19" ht="21.95" customHeight="1">
      <c r="A1042" s="66" t="s">
        <v>2199</v>
      </c>
      <c r="B1042" s="64"/>
      <c r="C1042" s="65"/>
      <c r="D1042" s="64"/>
      <c r="E1042" s="64"/>
      <c r="F1042" s="60"/>
      <c r="G1042" s="60" t="s">
        <v>88</v>
      </c>
      <c r="H1042" s="60" t="str">
        <f>IFERROR(INDEX('Docketed Comments'!C:C,MATCH(A1042,'Docketed Comments'!H:H,0))&amp;", "&amp;INDEX('Docketed Comments'!B:B,MATCH(A1042,'Docketed Comments'!H:H,0)),"")</f>
        <v>Katherine, McClellan</v>
      </c>
      <c r="I1042" s="60" t="str">
        <f>IFERROR(INDEX('Docketed Comments'!D:D,MATCH(A1042,'Docketed Comments'!H:H,0)),"")</f>
        <v>Glendale</v>
      </c>
      <c r="J1042" s="60" t="str">
        <f>IFERROR(INDEX('Docketed Comments'!I:I,MATCH(A1042,'Docketed Comments'!H:H,0)),"")</f>
        <v>RCPw/R3-47</v>
      </c>
      <c r="K1042" s="60" t="str">
        <f t="shared" si="33"/>
        <v>✅ On Best Plan</v>
      </c>
      <c r="L1042" s="60" t="str">
        <f>IFERROR(INDEX('Docketed Comments'!F:F,MATCH(A1042,'Docketed Comments'!H:H,0)),"")</f>
        <v xml:space="preserve">I am putting in more energy to their grid with my solar panels then I take out and yet they have still found back door methods to take money from  me. </v>
      </c>
      <c r="M1042" s="120" t="str">
        <f>IFERROR(INDEX('Docketed Comments'!G:G,MATCH(A1042,'Docketed Comments'!H:H,0)),"")</f>
        <v>https://docket.images.azcc.gov/E000049493.pdf</v>
      </c>
      <c r="N1042" s="118" t="str">
        <f>IFERROR(INDEX('Docketed Comments'!N:N,MATCH(A1042,'Docketed Comments'!H:H,0)),"")</f>
        <v>No</v>
      </c>
      <c r="O1042" s="118" t="str">
        <f>IFERROR(INDEX('Docketed Comments'!L:L,MATCH(A1042,'Docketed Comments'!H:H,0)),"")</f>
        <v>Yes</v>
      </c>
      <c r="P1042" s="119">
        <f t="shared" si="32"/>
        <v>0</v>
      </c>
      <c r="Q1042" s="60"/>
      <c r="R1042" s="64" t="s">
        <v>75</v>
      </c>
      <c r="S1042" s="64" t="s">
        <v>2200</v>
      </c>
    </row>
    <row r="1043" spans="1:19" ht="21.95" customHeight="1">
      <c r="A1043" s="66" t="s">
        <v>2201</v>
      </c>
      <c r="B1043" s="64"/>
      <c r="C1043" s="65"/>
      <c r="D1043" s="64"/>
      <c r="E1043" s="64"/>
      <c r="F1043" s="60"/>
      <c r="G1043" s="60" t="s">
        <v>88</v>
      </c>
      <c r="H1043" s="60" t="str">
        <f>IFERROR(INDEX('Docketed Comments'!C:C,MATCH(A1043,'Docketed Comments'!H:H,0))&amp;", "&amp;INDEX('Docketed Comments'!B:B,MATCH(A1043,'Docketed Comments'!H:H,0)),"")</f>
        <v>Chris, Soto</v>
      </c>
      <c r="I1043" s="60" t="str">
        <f>IFERROR(INDEX('Docketed Comments'!D:D,MATCH(A1043,'Docketed Comments'!H:H,0)),"")</f>
        <v>Florence</v>
      </c>
      <c r="J1043" s="60" t="str">
        <f>IFERROR(INDEX('Docketed Comments'!I:I,MATCH(A1043,'Docketed Comments'!H:H,0)),"")</f>
        <v>RCPw/RTOUE47</v>
      </c>
      <c r="K1043" s="60" t="str">
        <f t="shared" si="33"/>
        <v>✅ On Best Plan</v>
      </c>
      <c r="L1043" s="60" t="str">
        <f>IFERROR(INDEX('Docketed Comments'!F:F,MATCH(A1043,'Docketed Comments'!H:H,0)),"")</f>
        <v xml:space="preserve">Ratepayers should not be asked to keep footing the bill for old, expensive coal plant when cleaner, cheaper options are available. </v>
      </c>
      <c r="M1043" s="120" t="str">
        <f>IFERROR(INDEX('Docketed Comments'!G:G,MATCH(A1043,'Docketed Comments'!H:H,0)),"")</f>
        <v>https://docket.images.azcc.gov/E000049493.pdf</v>
      </c>
      <c r="N1043" s="118" t="str">
        <f>IFERROR(INDEX('Docketed Comments'!N:N,MATCH(A1043,'Docketed Comments'!H:H,0)),"")</f>
        <v>No</v>
      </c>
      <c r="O1043" s="118" t="str">
        <f>IFERROR(INDEX('Docketed Comments'!L:L,MATCH(A1043,'Docketed Comments'!H:H,0)),"")</f>
        <v>Yes</v>
      </c>
      <c r="P1043" s="119">
        <f t="shared" si="32"/>
        <v>0</v>
      </c>
      <c r="Q1043" s="60"/>
      <c r="R1043" s="64" t="s">
        <v>75</v>
      </c>
      <c r="S1043" s="64" t="s">
        <v>2202</v>
      </c>
    </row>
    <row r="1044" spans="1:19" ht="21.95" customHeight="1">
      <c r="A1044" s="66" t="s">
        <v>2203</v>
      </c>
      <c r="B1044" s="64"/>
      <c r="C1044" s="65"/>
      <c r="D1044" s="64"/>
      <c r="E1044" s="64"/>
      <c r="F1044" s="60"/>
      <c r="G1044" s="60" t="s">
        <v>88</v>
      </c>
      <c r="H1044" s="60" t="str">
        <f>IFERROR(INDEX('Docketed Comments'!C:C,MATCH(A1044,'Docketed Comments'!H:H,0))&amp;", "&amp;INDEX('Docketed Comments'!B:B,MATCH(A1044,'Docketed Comments'!H:H,0)),"")</f>
        <v>Adarsh, Ayyar</v>
      </c>
      <c r="I1044" s="60" t="str">
        <f>IFERROR(INDEX('Docketed Comments'!D:D,MATCH(A1044,'Docketed Comments'!H:H,0)),"")</f>
        <v>Paradise Valley</v>
      </c>
      <c r="J1044" s="60" t="str">
        <f>IFERROR(INDEX('Docketed Comments'!I:I,MATCH(A1044,'Docketed Comments'!H:H,0)),"")</f>
        <v>R-TOUE47</v>
      </c>
      <c r="K1044" s="60" t="str">
        <f t="shared" si="33"/>
        <v>✅ On Best Plan</v>
      </c>
      <c r="L1044" s="60" t="str">
        <f>IFERROR(INDEX('Docketed Comments'!F:F,MATCH(A1044,'Docketed Comments'!H:H,0)),"")</f>
        <v>concern with APS's proposed rate increases, particularly the solar Grid Access Charge</v>
      </c>
      <c r="M1044" s="120" t="str">
        <f>IFERROR(INDEX('Docketed Comments'!G:G,MATCH(A1044,'Docketed Comments'!H:H,0)),"")</f>
        <v>https://docket.images.azcc.gov/E000049493.pdf</v>
      </c>
      <c r="N1044" s="118" t="str">
        <f>IFERROR(INDEX('Docketed Comments'!N:N,MATCH(A1044,'Docketed Comments'!H:H,0)),"")</f>
        <v>No</v>
      </c>
      <c r="O1044" s="118" t="str">
        <f>IFERROR(INDEX('Docketed Comments'!L:L,MATCH(A1044,'Docketed Comments'!H:H,0)),"")</f>
        <v>Yes</v>
      </c>
      <c r="P1044" s="119">
        <f t="shared" si="32"/>
        <v>0</v>
      </c>
      <c r="Q1044" s="60"/>
      <c r="R1044" s="64" t="s">
        <v>75</v>
      </c>
      <c r="S1044" s="64" t="s">
        <v>2204</v>
      </c>
    </row>
    <row r="1045" spans="1:19" ht="21.95" customHeight="1">
      <c r="A1045" s="66" t="s">
        <v>2205</v>
      </c>
      <c r="B1045" s="64"/>
      <c r="C1045" s="65"/>
      <c r="D1045" s="64"/>
      <c r="E1045" s="64"/>
      <c r="F1045" s="60"/>
      <c r="G1045" s="60" t="s">
        <v>88</v>
      </c>
      <c r="H1045" s="60" t="str">
        <f>IFERROR(INDEX('Docketed Comments'!C:C,MATCH(A1045,'Docketed Comments'!H:H,0))&amp;", "&amp;INDEX('Docketed Comments'!B:B,MATCH(A1045,'Docketed Comments'!H:H,0)),"")</f>
        <v>Sally, Rings</v>
      </c>
      <c r="I1045" s="60" t="str">
        <f>IFERROR(INDEX('Docketed Comments'!D:D,MATCH(A1045,'Docketed Comments'!H:H,0)),"")</f>
        <v>Phoenix</v>
      </c>
      <c r="J1045" s="60" t="str">
        <f>IFERROR(INDEX('Docketed Comments'!I:I,MATCH(A1045,'Docketed Comments'!H:H,0)),"")</f>
        <v>EPR6w/E-12</v>
      </c>
      <c r="K1045" s="60" t="str">
        <f t="shared" si="33"/>
        <v>⚠ Frozen Plan</v>
      </c>
      <c r="L1045" s="60" t="str">
        <f>IFERROR(INDEX('Docketed Comments'!F:F,MATCH(A1045,'Docketed Comments'!H:H,0)),"")</f>
        <v xml:space="preserve">After rate increases in both 2023 and 2024, this is unconscionable, especially when APS profits last year were over $6 million. </v>
      </c>
      <c r="M1045" s="120" t="str">
        <f>IFERROR(INDEX('Docketed Comments'!G:G,MATCH(A1045,'Docketed Comments'!H:H,0)),"")</f>
        <v>https://docket.images.azcc.gov/E000049493.pdf</v>
      </c>
      <c r="N1045" s="118" t="str">
        <f>IFERROR(INDEX('Docketed Comments'!N:N,MATCH(A1045,'Docketed Comments'!H:H,0)),"")</f>
        <v>No</v>
      </c>
      <c r="O1045" s="118" t="str">
        <f>IFERROR(INDEX('Docketed Comments'!L:L,MATCH(A1045,'Docketed Comments'!H:H,0)),"")</f>
        <v>Frozen Plan</v>
      </c>
      <c r="P1045" s="119">
        <f t="shared" si="32"/>
        <v>0</v>
      </c>
      <c r="Q1045" s="60"/>
      <c r="R1045" s="64" t="s">
        <v>75</v>
      </c>
      <c r="S1045" s="64" t="s">
        <v>2206</v>
      </c>
    </row>
    <row r="1046" spans="1:19" ht="21.95" customHeight="1">
      <c r="A1046" s="66" t="s">
        <v>2207</v>
      </c>
      <c r="B1046" s="64"/>
      <c r="C1046" s="65"/>
      <c r="D1046" s="64"/>
      <c r="E1046" s="64"/>
      <c r="F1046" s="60"/>
      <c r="G1046" s="60" t="s">
        <v>88</v>
      </c>
      <c r="H1046" s="60" t="str">
        <f>IFERROR(INDEX('Docketed Comments'!C:C,MATCH(A1046,'Docketed Comments'!H:H,0))&amp;", "&amp;INDEX('Docketed Comments'!B:B,MATCH(A1046,'Docketed Comments'!H:H,0)),"")</f>
        <v>Barbara, Lyall</v>
      </c>
      <c r="I1046" s="60" t="str">
        <f>IFERROR(INDEX('Docketed Comments'!D:D,MATCH(A1046,'Docketed Comments'!H:H,0)),"")</f>
        <v>Prescott Valley</v>
      </c>
      <c r="J1046" s="60" t="str">
        <f>IFERROR(INDEX('Docketed Comments'!I:I,MATCH(A1046,'Docketed Comments'!H:H,0)),"")</f>
        <v>R-XS</v>
      </c>
      <c r="K1046" s="60" t="str">
        <f t="shared" si="33"/>
        <v>✅ On Best Plan</v>
      </c>
      <c r="L1046" s="60" t="str">
        <f>IFERROR(INDEX('Docketed Comments'!F:F,MATCH(A1046,'Docketed Comments'!H:H,0)),"")</f>
        <v xml:space="preserve">I am an 80 y/o low income senior citizen of Prescott Valley, AZ. I have trouble making ends meet on my Social Security income. </v>
      </c>
      <c r="M1046" s="120" t="str">
        <f>IFERROR(INDEX('Docketed Comments'!G:G,MATCH(A1046,'Docketed Comments'!H:H,0)),"")</f>
        <v>https://docket.images.azcc.gov/E000049524.pdf</v>
      </c>
      <c r="N1046" s="118" t="str">
        <f>IFERROR(INDEX('Docketed Comments'!N:N,MATCH(A1046,'Docketed Comments'!H:H,0)),"")</f>
        <v>No</v>
      </c>
      <c r="O1046" s="118" t="str">
        <f>IFERROR(INDEX('Docketed Comments'!L:L,MATCH(A1046,'Docketed Comments'!H:H,0)),"")</f>
        <v>Yes</v>
      </c>
      <c r="P1046" s="119">
        <f t="shared" si="32"/>
        <v>0</v>
      </c>
      <c r="Q1046" s="60"/>
      <c r="R1046" s="64" t="s">
        <v>75</v>
      </c>
      <c r="S1046" s="64" t="s">
        <v>2208</v>
      </c>
    </row>
    <row r="1047" spans="1:19" ht="21.95" customHeight="1">
      <c r="A1047" s="66" t="s">
        <v>2209</v>
      </c>
      <c r="B1047" s="64"/>
      <c r="C1047" s="65"/>
      <c r="D1047" s="64"/>
      <c r="E1047" s="64"/>
      <c r="F1047" s="60"/>
      <c r="G1047" s="60" t="s">
        <v>88</v>
      </c>
      <c r="H1047" s="60" t="str">
        <f>IFERROR(INDEX('Docketed Comments'!C:C,MATCH(A1047,'Docketed Comments'!H:H,0))&amp;", "&amp;INDEX('Docketed Comments'!B:B,MATCH(A1047,'Docketed Comments'!H:H,0)),"")</f>
        <v>Jovita, Fine</v>
      </c>
      <c r="I1047" s="60" t="str">
        <f>IFERROR(INDEX('Docketed Comments'!D:D,MATCH(A1047,'Docketed Comments'!H:H,0)),"")</f>
        <v>Prescott</v>
      </c>
      <c r="J1047" s="60" t="str">
        <f>IFERROR(INDEX('Docketed Comments'!I:I,MATCH(A1047,'Docketed Comments'!H:H,0)),"")</f>
        <v>RCPw/RTOUE47</v>
      </c>
      <c r="K1047" s="60" t="str">
        <f t="shared" si="33"/>
        <v>✅ On Best Plan</v>
      </c>
      <c r="L1047" s="60" t="str">
        <f>IFERROR(INDEX('Docketed Comments'!F:F,MATCH(A1047,'Docketed Comments'!H:H,0)),"")</f>
        <v>installed solar on my house a few years ago, which I appreciate having, but already APS uses most of the energy</v>
      </c>
      <c r="M1047" s="120" t="str">
        <f>IFERROR(INDEX('Docketed Comments'!G:G,MATCH(A1047,'Docketed Comments'!H:H,0)),"")</f>
        <v>https://docket.images.azcc.gov/E000049524.pdf</v>
      </c>
      <c r="N1047" s="118" t="str">
        <f>IFERROR(INDEX('Docketed Comments'!N:N,MATCH(A1047,'Docketed Comments'!H:H,0)),"")</f>
        <v>No</v>
      </c>
      <c r="O1047" s="118" t="str">
        <f>IFERROR(INDEX('Docketed Comments'!L:L,MATCH(A1047,'Docketed Comments'!H:H,0)),"")</f>
        <v>Yes</v>
      </c>
      <c r="P1047" s="119">
        <f t="shared" si="32"/>
        <v>0</v>
      </c>
      <c r="Q1047" s="60"/>
      <c r="R1047" s="64" t="s">
        <v>75</v>
      </c>
      <c r="S1047" s="64" t="s">
        <v>2210</v>
      </c>
    </row>
    <row r="1048" spans="1:19" ht="21.95" customHeight="1">
      <c r="A1048" s="66" t="s">
        <v>2211</v>
      </c>
      <c r="B1048" s="64"/>
      <c r="C1048" s="65"/>
      <c r="D1048" s="64"/>
      <c r="E1048" s="64"/>
      <c r="F1048" s="60"/>
      <c r="G1048" s="60" t="s">
        <v>88</v>
      </c>
      <c r="H1048" s="60" t="str">
        <f>IFERROR(INDEX('Docketed Comments'!C:C,MATCH(A1048,'Docketed Comments'!H:H,0))&amp;", "&amp;INDEX('Docketed Comments'!B:B,MATCH(A1048,'Docketed Comments'!H:H,0)),"")</f>
        <v>Kelly, Daily</v>
      </c>
      <c r="I1048" s="60" t="str">
        <f>IFERROR(INDEX('Docketed Comments'!D:D,MATCH(A1048,'Docketed Comments'!H:H,0)),"")</f>
        <v>Camp Verde</v>
      </c>
      <c r="J1048" s="60" t="str">
        <f>IFERROR(INDEX('Docketed Comments'!I:I,MATCH(A1048,'Docketed Comments'!H:H,0)),"")</f>
        <v>R-XS</v>
      </c>
      <c r="K1048" s="60" t="str">
        <f t="shared" si="33"/>
        <v>✅ On Best Plan</v>
      </c>
      <c r="L1048" s="60" t="str">
        <f>IFERROR(INDEX('Docketed Comments'!F:F,MATCH(A1048,'Docketed Comments'!H:H,0)),"")</f>
        <v xml:space="preserve">I think that a 14 % rate increase is a little to much to ask for all at once. Our COLA increase this year doesn't come clos to that. </v>
      </c>
      <c r="M1048" s="120" t="str">
        <f>IFERROR(INDEX('Docketed Comments'!G:G,MATCH(A1048,'Docketed Comments'!H:H,0)),"")</f>
        <v>https://docket.images.azcc.gov/E000049524.pdf</v>
      </c>
      <c r="N1048" s="118" t="str">
        <f>IFERROR(INDEX('Docketed Comments'!N:N,MATCH(A1048,'Docketed Comments'!H:H,0)),"")</f>
        <v>No</v>
      </c>
      <c r="O1048" s="118" t="str">
        <f>IFERROR(INDEX('Docketed Comments'!L:L,MATCH(A1048,'Docketed Comments'!H:H,0)),"")</f>
        <v>Yes</v>
      </c>
      <c r="P1048" s="119">
        <f t="shared" si="32"/>
        <v>0</v>
      </c>
      <c r="Q1048" s="60"/>
      <c r="R1048" s="64" t="s">
        <v>75</v>
      </c>
      <c r="S1048" s="64" t="s">
        <v>2212</v>
      </c>
    </row>
    <row r="1049" spans="1:19" ht="21.95" customHeight="1">
      <c r="A1049" s="66" t="s">
        <v>2213</v>
      </c>
      <c r="B1049" s="64"/>
      <c r="C1049" s="65"/>
      <c r="D1049" s="64"/>
      <c r="E1049" s="64"/>
      <c r="F1049" s="60"/>
      <c r="G1049" s="60" t="s">
        <v>88</v>
      </c>
      <c r="H1049" s="60" t="str">
        <f>IFERROR(INDEX('Docketed Comments'!C:C,MATCH(A1049,'Docketed Comments'!H:H,0))&amp;", "&amp;INDEX('Docketed Comments'!B:B,MATCH(A1049,'Docketed Comments'!H:H,0)),"")</f>
        <v>Judith, Bihary</v>
      </c>
      <c r="I1049" s="60" t="str">
        <f>IFERROR(INDEX('Docketed Comments'!D:D,MATCH(A1049,'Docketed Comments'!H:H,0)),"")</f>
        <v>Goodyear</v>
      </c>
      <c r="J1049" s="60" t="str">
        <f>IFERROR(INDEX('Docketed Comments'!I:I,MATCH(A1049,'Docketed Comments'!H:H,0)),"")</f>
        <v>R3-47</v>
      </c>
      <c r="K1049" s="60" t="str">
        <f t="shared" si="33"/>
        <v>✅ On Best Plan</v>
      </c>
      <c r="L1049" s="60" t="str">
        <f>IFERROR(INDEX('Docketed Comments'!F:F,MATCH(A1049,'Docketed Comments'!H:H,0)),"")</f>
        <v xml:space="preserve">We need some assurances that rate hikes will have public oversight, so future rate hikes will not be easy for APS to put through. </v>
      </c>
      <c r="M1049" s="120" t="str">
        <f>IFERROR(INDEX('Docketed Comments'!G:G,MATCH(A1049,'Docketed Comments'!H:H,0)),"")</f>
        <v>https://docket.images.azcc.gov/E000049524.pdf</v>
      </c>
      <c r="N1049" s="118" t="str">
        <f>IFERROR(INDEX('Docketed Comments'!N:N,MATCH(A1049,'Docketed Comments'!H:H,0)),"")</f>
        <v>No</v>
      </c>
      <c r="O1049" s="118" t="str">
        <f>IFERROR(INDEX('Docketed Comments'!L:L,MATCH(A1049,'Docketed Comments'!H:H,0)),"")</f>
        <v>Yes</v>
      </c>
      <c r="P1049" s="119">
        <f t="shared" si="32"/>
        <v>0</v>
      </c>
      <c r="Q1049" s="60"/>
      <c r="R1049" s="64" t="s">
        <v>75</v>
      </c>
      <c r="S1049" s="64" t="s">
        <v>2214</v>
      </c>
    </row>
    <row r="1050" spans="1:19" ht="21.95" customHeight="1">
      <c r="A1050" s="66" t="s">
        <v>2215</v>
      </c>
      <c r="B1050" s="64"/>
      <c r="C1050" s="65"/>
      <c r="D1050" s="64"/>
      <c r="E1050" s="64"/>
      <c r="F1050" s="60"/>
      <c r="G1050" s="60" t="s">
        <v>88</v>
      </c>
      <c r="H1050" s="60" t="str">
        <f>IFERROR(INDEX('Docketed Comments'!C:C,MATCH(A1050,'Docketed Comments'!H:H,0))&amp;", "&amp;INDEX('Docketed Comments'!B:B,MATCH(A1050,'Docketed Comments'!H:H,0)),"")</f>
        <v>Amy, Paul</v>
      </c>
      <c r="I1050" s="60" t="str">
        <f>IFERROR(INDEX('Docketed Comments'!D:D,MATCH(A1050,'Docketed Comments'!H:H,0)),"")</f>
        <v>Phoenix</v>
      </c>
      <c r="J1050" s="60" t="str">
        <f>IFERROR(INDEX('Docketed Comments'!I:I,MATCH(A1050,'Docketed Comments'!H:H,0)),"")</f>
        <v>EPR6w/ET-1</v>
      </c>
      <c r="K1050" s="60" t="str">
        <f t="shared" si="33"/>
        <v>⚠ Frozen Plan</v>
      </c>
      <c r="L1050" s="60" t="str">
        <f>IFERROR(INDEX('Docketed Comments'!F:F,MATCH(A1050,'Docketed Comments'!H:H,0)),"")</f>
        <v xml:space="preserve">considering their profits, and that they should be charging the data centers the appropriate rates they will consume, I believe they need to give consideration to permanent residents first, partial residents secondary and then businesses. </v>
      </c>
      <c r="M1050" s="120" t="str">
        <f>IFERROR(INDEX('Docketed Comments'!G:G,MATCH(A1050,'Docketed Comments'!H:H,0)),"")</f>
        <v>https://docket.images.azcc.gov/E000049524.pdf</v>
      </c>
      <c r="N1050" s="118" t="str">
        <f>IFERROR(INDEX('Docketed Comments'!N:N,MATCH(A1050,'Docketed Comments'!H:H,0)),"")</f>
        <v>No</v>
      </c>
      <c r="O1050" s="118" t="str">
        <f>IFERROR(INDEX('Docketed Comments'!L:L,MATCH(A1050,'Docketed Comments'!H:H,0)),"")</f>
        <v>Frozen Plan</v>
      </c>
      <c r="P1050" s="119">
        <f t="shared" si="32"/>
        <v>0</v>
      </c>
      <c r="Q1050" s="60"/>
      <c r="R1050" s="64" t="s">
        <v>75</v>
      </c>
      <c r="S1050" s="64" t="s">
        <v>2216</v>
      </c>
    </row>
    <row r="1051" spans="1:19" ht="21.95" customHeight="1">
      <c r="A1051" s="66" t="s">
        <v>2217</v>
      </c>
      <c r="B1051" s="64"/>
      <c r="C1051" s="65"/>
      <c r="D1051" s="64"/>
      <c r="E1051" s="64"/>
      <c r="F1051" s="60"/>
      <c r="G1051" s="60" t="s">
        <v>88</v>
      </c>
      <c r="H1051" s="60" t="str">
        <f>IFERROR(INDEX('Docketed Comments'!C:C,MATCH(A1051,'Docketed Comments'!H:H,0))&amp;", "&amp;INDEX('Docketed Comments'!B:B,MATCH(A1051,'Docketed Comments'!H:H,0)),"")</f>
        <v>Leslie, Stallcop</v>
      </c>
      <c r="I1051" s="60" t="str">
        <f>IFERROR(INDEX('Docketed Comments'!D:D,MATCH(A1051,'Docketed Comments'!H:H,0)),"")</f>
        <v>Phoenix</v>
      </c>
      <c r="J1051" s="60" t="str">
        <f>IFERROR(INDEX('Docketed Comments'!I:I,MATCH(A1051,'Docketed Comments'!H:H,0)),"")</f>
        <v>R3-47</v>
      </c>
      <c r="K1051" s="60" t="str">
        <f t="shared" si="33"/>
        <v>✅ On Best Plan</v>
      </c>
      <c r="L1051" s="60" t="str">
        <f>IFERROR(INDEX('Docketed Comments'!F:F,MATCH(A1051,'Docketed Comments'!H:H,0)),"")</f>
        <v>I vehemently oppose the "formula rates," which would allow the utility to fast-track rate increases every year</v>
      </c>
      <c r="M1051" s="120" t="str">
        <f>IFERROR(INDEX('Docketed Comments'!G:G,MATCH(A1051,'Docketed Comments'!H:H,0)),"")</f>
        <v>https://docket.images.azcc.gov/E000049524.pdf</v>
      </c>
      <c r="N1051" s="118" t="str">
        <f>IFERROR(INDEX('Docketed Comments'!N:N,MATCH(A1051,'Docketed Comments'!H:H,0)),"")</f>
        <v>No</v>
      </c>
      <c r="O1051" s="118" t="str">
        <f>IFERROR(INDEX('Docketed Comments'!L:L,MATCH(A1051,'Docketed Comments'!H:H,0)),"")</f>
        <v>Yes</v>
      </c>
      <c r="P1051" s="119">
        <f t="shared" si="32"/>
        <v>0</v>
      </c>
      <c r="Q1051" s="60"/>
      <c r="R1051" s="64" t="s">
        <v>75</v>
      </c>
      <c r="S1051" s="64" t="s">
        <v>2218</v>
      </c>
    </row>
    <row r="1052" spans="1:19" ht="21.95" customHeight="1">
      <c r="A1052" s="66" t="s">
        <v>2219</v>
      </c>
      <c r="B1052" s="64"/>
      <c r="C1052" s="65"/>
      <c r="D1052" s="64"/>
      <c r="E1052" s="64"/>
      <c r="F1052" s="60"/>
      <c r="G1052" s="60" t="s">
        <v>88</v>
      </c>
      <c r="H1052" s="60" t="str">
        <f>IFERROR(INDEX('Docketed Comments'!C:C,MATCH(A1052,'Docketed Comments'!H:H,0))&amp;", "&amp;INDEX('Docketed Comments'!B:B,MATCH(A1052,'Docketed Comments'!H:H,0)),"")</f>
        <v>Lana, Hakari</v>
      </c>
      <c r="I1052" s="60" t="str">
        <f>IFERROR(INDEX('Docketed Comments'!D:D,MATCH(A1052,'Docketed Comments'!H:H,0)),"")</f>
        <v>Sun City</v>
      </c>
      <c r="J1052" s="60" t="str">
        <f>IFERROR(INDEX('Docketed Comments'!I:I,MATCH(A1052,'Docketed Comments'!H:H,0)),"")</f>
        <v>R-BASIC</v>
      </c>
      <c r="K1052" s="60" t="str">
        <f t="shared" si="33"/>
        <v>✅ On Best Plan</v>
      </c>
      <c r="L1052" s="60" t="str">
        <f>IFERROR(INDEX('Docketed Comments'!F:F,MATCH(A1052,'Docketed Comments'!H:H,0)),"")</f>
        <v>The considerable increase of 14% would disproportionately affect fixed-income customers, such as myself</v>
      </c>
      <c r="M1052" s="120" t="str">
        <f>IFERROR(INDEX('Docketed Comments'!G:G,MATCH(A1052,'Docketed Comments'!H:H,0)),"")</f>
        <v>https://docket.images.azcc.gov/E000049528.pdf</v>
      </c>
      <c r="N1052" s="118" t="str">
        <f>IFERROR(INDEX('Docketed Comments'!N:N,MATCH(A1052,'Docketed Comments'!H:H,0)),"")</f>
        <v>No</v>
      </c>
      <c r="O1052" s="118" t="str">
        <f>IFERROR(INDEX('Docketed Comments'!L:L,MATCH(A1052,'Docketed Comments'!H:H,0)),"")</f>
        <v>Yes</v>
      </c>
      <c r="P1052" s="119">
        <f t="shared" si="32"/>
        <v>0</v>
      </c>
      <c r="Q1052" s="60"/>
      <c r="R1052" s="64" t="s">
        <v>75</v>
      </c>
      <c r="S1052" s="64" t="s">
        <v>2220</v>
      </c>
    </row>
    <row r="1053" spans="1:19" ht="21.95" customHeight="1">
      <c r="A1053" s="66" t="s">
        <v>2221</v>
      </c>
      <c r="B1053" s="64"/>
      <c r="C1053" s="65"/>
      <c r="D1053" s="64"/>
      <c r="E1053" s="64"/>
      <c r="F1053" s="60"/>
      <c r="G1053" s="60" t="s">
        <v>88</v>
      </c>
      <c r="H1053" s="60" t="str">
        <f>IFERROR(INDEX('Docketed Comments'!C:C,MATCH(A1053,'Docketed Comments'!H:H,0))&amp;", "&amp;INDEX('Docketed Comments'!B:B,MATCH(A1053,'Docketed Comments'!H:H,0)),"")</f>
        <v>Karen, Peterson</v>
      </c>
      <c r="I1053" s="60" t="str">
        <f>IFERROR(INDEX('Docketed Comments'!D:D,MATCH(A1053,'Docketed Comments'!H:H,0)),"")</f>
        <v>Phoenix</v>
      </c>
      <c r="J1053" s="60" t="str">
        <f>IFERROR(INDEX('Docketed Comments'!I:I,MATCH(A1053,'Docketed Comments'!H:H,0)),"")</f>
        <v>RCPw/RTOUE</v>
      </c>
      <c r="K1053" s="60" t="str">
        <f t="shared" si="33"/>
        <v>✅ On Best Plan</v>
      </c>
      <c r="L1053" s="60" t="str">
        <f>IFERROR(INDEX('Docketed Comments'!F:F,MATCH(A1053,'Docketed Comments'!H:H,0)),"")</f>
        <v xml:space="preserve">I feel that APS is unfairly raising bills on homeowners without requiring the new chip manufacturers and the housing developers to pay their share of the rate increases. </v>
      </c>
      <c r="M1053" s="120" t="str">
        <f>IFERROR(INDEX('Docketed Comments'!G:G,MATCH(A1053,'Docketed Comments'!H:H,0)),"")</f>
        <v>https://docket.images.azcc.gov/E000049528.pdf</v>
      </c>
      <c r="N1053" s="118" t="str">
        <f>IFERROR(INDEX('Docketed Comments'!N:N,MATCH(A1053,'Docketed Comments'!H:H,0)),"")</f>
        <v>No</v>
      </c>
      <c r="O1053" s="118" t="str">
        <f>IFERROR(INDEX('Docketed Comments'!L:L,MATCH(A1053,'Docketed Comments'!H:H,0)),"")</f>
        <v>Yes</v>
      </c>
      <c r="P1053" s="119">
        <f t="shared" si="32"/>
        <v>0</v>
      </c>
      <c r="Q1053" s="60"/>
      <c r="R1053" s="64" t="s">
        <v>75</v>
      </c>
      <c r="S1053" s="64" t="s">
        <v>2222</v>
      </c>
    </row>
    <row r="1054" spans="1:19" ht="21.95" customHeight="1">
      <c r="A1054" s="66" t="s">
        <v>2223</v>
      </c>
      <c r="B1054" s="64"/>
      <c r="C1054" s="65"/>
      <c r="D1054" s="64"/>
      <c r="E1054" s="64"/>
      <c r="F1054" s="60"/>
      <c r="G1054" s="60" t="s">
        <v>88</v>
      </c>
      <c r="H1054" s="60" t="str">
        <f>IFERROR(INDEX('Docketed Comments'!C:C,MATCH(A1054,'Docketed Comments'!H:H,0))&amp;", "&amp;INDEX('Docketed Comments'!B:B,MATCH(A1054,'Docketed Comments'!H:H,0)),"")</f>
        <v>Jeffrey, Brame</v>
      </c>
      <c r="I1054" s="60" t="str">
        <f>IFERROR(INDEX('Docketed Comments'!D:D,MATCH(A1054,'Docketed Comments'!H:H,0)),"")</f>
        <v>Sedona</v>
      </c>
      <c r="J1054" s="60" t="str">
        <f>IFERROR(INDEX('Docketed Comments'!I:I,MATCH(A1054,'Docketed Comments'!H:H,0)),"")</f>
        <v>R-XS</v>
      </c>
      <c r="K1054" s="60" t="str">
        <f t="shared" si="33"/>
        <v>✅ On Best Plan</v>
      </c>
      <c r="L1054" s="60" t="str">
        <f>IFERROR(INDEX('Docketed Comments'!F:F,MATCH(A1054,'Docketed Comments'!H:H,0)),"")</f>
        <v>conern with APS's proposed rate increases, particularly the solar Grid Access Charge</v>
      </c>
      <c r="M1054" s="120" t="str">
        <f>IFERROR(INDEX('Docketed Comments'!G:G,MATCH(A1054,'Docketed Comments'!H:H,0)),"")</f>
        <v>https://docket.images.azcc.gov/E000049547.pdf</v>
      </c>
      <c r="N1054" s="118" t="str">
        <f>IFERROR(INDEX('Docketed Comments'!N:N,MATCH(A1054,'Docketed Comments'!H:H,0)),"")</f>
        <v>No</v>
      </c>
      <c r="O1054" s="118" t="str">
        <f>IFERROR(INDEX('Docketed Comments'!L:L,MATCH(A1054,'Docketed Comments'!H:H,0)),"")</f>
        <v>Yes</v>
      </c>
      <c r="P1054" s="119">
        <f t="shared" si="32"/>
        <v>0</v>
      </c>
      <c r="Q1054" s="60"/>
      <c r="R1054" s="64" t="s">
        <v>75</v>
      </c>
      <c r="S1054" s="64" t="s">
        <v>2224</v>
      </c>
    </row>
    <row r="1055" spans="1:19" ht="21.95" customHeight="1">
      <c r="A1055" s="66" t="s">
        <v>2225</v>
      </c>
      <c r="B1055" s="64"/>
      <c r="C1055" s="65"/>
      <c r="D1055" s="64"/>
      <c r="E1055" s="64"/>
      <c r="F1055" s="60"/>
      <c r="G1055" s="60" t="s">
        <v>88</v>
      </c>
      <c r="H1055" s="60" t="str">
        <f>IFERROR(INDEX('Docketed Comments'!C:C,MATCH(A1055,'Docketed Comments'!H:H,0))&amp;", "&amp;INDEX('Docketed Comments'!B:B,MATCH(A1055,'Docketed Comments'!H:H,0)),"")</f>
        <v>Jan, Kerata</v>
      </c>
      <c r="I1055" s="60" t="str">
        <f>IFERROR(INDEX('Docketed Comments'!D:D,MATCH(A1055,'Docketed Comments'!H:H,0)),"")</f>
        <v>Flagstaff</v>
      </c>
      <c r="J1055" s="60" t="str">
        <f>IFERROR(INDEX('Docketed Comments'!I:I,MATCH(A1055,'Docketed Comments'!H:H,0)),"")</f>
        <v>R-XS</v>
      </c>
      <c r="K1055" s="60" t="str">
        <f t="shared" si="33"/>
        <v>✅ On Best Plan</v>
      </c>
      <c r="L1055" s="60" t="str">
        <f>IFERROR(INDEX('Docketed Comments'!F:F,MATCH(A1055,'Docketed Comments'!H:H,0)),"")</f>
        <v>Pleas consider supporting solar power, solar tax credits and infrastructure so these electricity rates start to Go Down instead of continually UP.</v>
      </c>
      <c r="M1055" s="120" t="str">
        <f>IFERROR(INDEX('Docketed Comments'!G:G,MATCH(A1055,'Docketed Comments'!H:H,0)),"")</f>
        <v>https://docket.images.azcc.gov/E000049547.pdf</v>
      </c>
      <c r="N1055" s="118" t="str">
        <f>IFERROR(INDEX('Docketed Comments'!N:N,MATCH(A1055,'Docketed Comments'!H:H,0)),"")</f>
        <v>No</v>
      </c>
      <c r="O1055" s="118" t="str">
        <f>IFERROR(INDEX('Docketed Comments'!L:L,MATCH(A1055,'Docketed Comments'!H:H,0)),"")</f>
        <v>Yes</v>
      </c>
      <c r="P1055" s="119">
        <f t="shared" si="32"/>
        <v>0</v>
      </c>
      <c r="Q1055" s="60"/>
      <c r="R1055" s="64" t="s">
        <v>75</v>
      </c>
      <c r="S1055" s="64" t="s">
        <v>2226</v>
      </c>
    </row>
    <row r="1056" spans="1:19" ht="21.95" customHeight="1">
      <c r="A1056" s="66" t="s">
        <v>2227</v>
      </c>
      <c r="B1056" s="64"/>
      <c r="C1056" s="65"/>
      <c r="D1056" s="64"/>
      <c r="E1056" s="64"/>
      <c r="F1056" s="60"/>
      <c r="G1056" s="60" t="s">
        <v>88</v>
      </c>
      <c r="H1056" s="60" t="str">
        <f>IFERROR(INDEX('Docketed Comments'!C:C,MATCH(A1056,'Docketed Comments'!H:H,0))&amp;", "&amp;INDEX('Docketed Comments'!B:B,MATCH(A1056,'Docketed Comments'!H:H,0)),"")</f>
        <v>Carol, Engelman</v>
      </c>
      <c r="I1056" s="60" t="str">
        <f>IFERROR(INDEX('Docketed Comments'!D:D,MATCH(A1056,'Docketed Comments'!H:H,0)),"")</f>
        <v>Peoria</v>
      </c>
      <c r="J1056" s="60" t="str">
        <f>IFERROR(INDEX('Docketed Comments'!I:I,MATCH(A1056,'Docketed Comments'!H:H,0)),"")</f>
        <v>RCPw/RTOUE</v>
      </c>
      <c r="K1056" s="60" t="str">
        <f t="shared" si="33"/>
        <v>✅ On Best Plan</v>
      </c>
      <c r="L1056" s="60" t="str">
        <f>IFERROR(INDEX('Docketed Comments'!F:F,MATCH(A1056,'Docketed Comments'!H:H,0)),"")</f>
        <v xml:space="preserve">try living in the AZ heat with minimal air conditioning such as this. Try it, and I can assure you, you would never approve a rate hike. </v>
      </c>
      <c r="M1056" s="120" t="str">
        <f>IFERROR(INDEX('Docketed Comments'!G:G,MATCH(A1056,'Docketed Comments'!H:H,0)),"")</f>
        <v>https://docket.images.azcc.gov/E000049561.pdf</v>
      </c>
      <c r="N1056" s="118" t="str">
        <f>IFERROR(INDEX('Docketed Comments'!N:N,MATCH(A1056,'Docketed Comments'!H:H,0)),"")</f>
        <v>No</v>
      </c>
      <c r="O1056" s="118" t="str">
        <f>IFERROR(INDEX('Docketed Comments'!L:L,MATCH(A1056,'Docketed Comments'!H:H,0)),"")</f>
        <v>Yes</v>
      </c>
      <c r="P1056" s="119">
        <f t="shared" si="32"/>
        <v>0</v>
      </c>
      <c r="Q1056" s="60"/>
      <c r="R1056" s="64" t="s">
        <v>75</v>
      </c>
      <c r="S1056" s="64" t="s">
        <v>2228</v>
      </c>
    </row>
    <row r="1057" spans="1:19" ht="21.95" hidden="1" customHeight="1">
      <c r="A1057" s="66" t="s">
        <v>2229</v>
      </c>
      <c r="B1057" s="64" t="s">
        <v>20</v>
      </c>
      <c r="C1057" s="65">
        <v>45997</v>
      </c>
      <c r="D1057" s="64" t="s">
        <v>21</v>
      </c>
      <c r="E1057" s="64" t="s">
        <v>22</v>
      </c>
      <c r="F1057" s="60"/>
      <c r="G1057" s="60"/>
      <c r="H1057" s="60" t="str">
        <f>IFERROR(INDEX('Docketed Comments'!C:C,MATCH(A1057,'Docketed Comments'!H:H,0))&amp;", "&amp;INDEX('Docketed Comments'!B:B,MATCH(A1057,'Docketed Comments'!H:H,0)),"")</f>
        <v>Jacinta, Tolinos</v>
      </c>
      <c r="I1057" s="60" t="str">
        <f>IFERROR(INDEX('Docketed Comments'!D:D,MATCH(A1057,'Docketed Comments'!H:H,0)),"")</f>
        <v>Phoenix</v>
      </c>
      <c r="J1057" s="60" t="str">
        <f>IFERROR(INDEX('Docketed Comments'!I:I,MATCH(A1057,'Docketed Comments'!H:H,0)),"")</f>
        <v>R-BASIC</v>
      </c>
      <c r="K1057" s="60" t="str">
        <f t="shared" si="33"/>
        <v>✅ On Best Plan</v>
      </c>
      <c r="L1057" s="60" t="str">
        <f>IFERROR(INDEX('Docketed Comments'!F:F,MATCH(A1057,'Docketed Comments'!H:H,0)),"")</f>
        <v>Opposed</v>
      </c>
      <c r="M1057" s="120" t="str">
        <f>IFERROR(INDEX('Docketed Comments'!G:G,MATCH(A1057,'Docketed Comments'!H:H,0)),"")</f>
        <v>https://images.edocket.azcc.gov/docketpdf/E000046155.pdf</v>
      </c>
      <c r="N1057" s="118" t="str">
        <f>IFERROR(INDEX('Docketed Comments'!N:N,MATCH(A1057,'Docketed Comments'!H:H,0)),"")</f>
        <v>No</v>
      </c>
      <c r="O1057" s="118" t="str">
        <f>IFERROR(INDEX('Docketed Comments'!L:L,MATCH(A1057,'Docketed Comments'!H:H,0)),"")</f>
        <v>Yes</v>
      </c>
      <c r="P1057" s="119">
        <f t="shared" si="32"/>
        <v>0</v>
      </c>
      <c r="Q1057" s="60" t="s">
        <v>23</v>
      </c>
      <c r="R1057" s="64" t="s">
        <v>24</v>
      </c>
      <c r="S1057" s="64" t="s">
        <v>2230</v>
      </c>
    </row>
    <row r="1058" spans="1:19" ht="21.95" hidden="1" customHeight="1">
      <c r="A1058" s="66" t="s">
        <v>2231</v>
      </c>
      <c r="B1058" s="64" t="s">
        <v>20</v>
      </c>
      <c r="C1058" s="65">
        <v>45997</v>
      </c>
      <c r="D1058" s="64" t="s">
        <v>27</v>
      </c>
      <c r="E1058" s="64" t="s">
        <v>22</v>
      </c>
      <c r="F1058" s="60" t="s">
        <v>2232</v>
      </c>
      <c r="G1058" s="60"/>
      <c r="H1058" s="60" t="str">
        <f>IFERROR(INDEX('Docketed Comments'!C:C,MATCH(A1058,'Docketed Comments'!H:H,0))&amp;", "&amp;INDEX('Docketed Comments'!B:B,MATCH(A1058,'Docketed Comments'!H:H,0)),"")</f>
        <v xml:space="preserve">Mark, White </v>
      </c>
      <c r="I1058" s="60" t="str">
        <f>IFERROR(INDEX('Docketed Comments'!D:D,MATCH(A1058,'Docketed Comments'!H:H,0)),"")</f>
        <v>Goodyear</v>
      </c>
      <c r="J1058" s="60" t="str">
        <f>IFERROR(INDEX('Docketed Comments'!I:I,MATCH(A1058,'Docketed Comments'!H:H,0)),"")</f>
        <v>RCPw/RTOUE47</v>
      </c>
      <c r="K1058" s="60" t="str">
        <f t="shared" si="33"/>
        <v>✅ On Best Plan</v>
      </c>
      <c r="L1058" s="60" t="str">
        <f>IFERROR(INDEX('Docketed Comments'!F:F,MATCH(A1058,'Docketed Comments'!H:H,0)),"")</f>
        <v>Opposed</v>
      </c>
      <c r="M1058" s="120" t="str">
        <f>IFERROR(INDEX('Docketed Comments'!G:G,MATCH(A1058,'Docketed Comments'!H:H,0)),"")</f>
        <v>https://images.edocket.azcc.gov/docketpdf/E000046204.pdf</v>
      </c>
      <c r="N1058" s="118" t="str">
        <f>IFERROR(INDEX('Docketed Comments'!N:N,MATCH(A1058,'Docketed Comments'!H:H,0)),"")</f>
        <v>No</v>
      </c>
      <c r="O1058" s="118" t="str">
        <f>IFERROR(INDEX('Docketed Comments'!L:L,MATCH(A1058,'Docketed Comments'!H:H,0)),"")</f>
        <v>Yes</v>
      </c>
      <c r="P1058" s="119">
        <f t="shared" si="32"/>
        <v>0</v>
      </c>
      <c r="Q1058" s="60" t="s">
        <v>23</v>
      </c>
      <c r="R1058" s="64" t="s">
        <v>24</v>
      </c>
      <c r="S1058" s="64" t="s">
        <v>2233</v>
      </c>
    </row>
    <row r="1059" spans="1:19" ht="21.95" hidden="1" customHeight="1">
      <c r="A1059" s="66" t="s">
        <v>2234</v>
      </c>
      <c r="B1059" s="64" t="s">
        <v>31</v>
      </c>
      <c r="C1059" s="65">
        <v>46011</v>
      </c>
      <c r="D1059" s="64" t="s">
        <v>21</v>
      </c>
      <c r="E1059" s="64" t="s">
        <v>22</v>
      </c>
      <c r="F1059" s="60" t="s">
        <v>2235</v>
      </c>
      <c r="G1059" s="60"/>
      <c r="H1059" s="60" t="str">
        <f>IFERROR(INDEX('Docketed Comments'!C:C,MATCH(A1059,'Docketed Comments'!H:H,0))&amp;", "&amp;INDEX('Docketed Comments'!B:B,MATCH(A1059,'Docketed Comments'!H:H,0)),"")</f>
        <v>Erin, O'Gorman</v>
      </c>
      <c r="I1059" s="60" t="str">
        <f>IFERROR(INDEX('Docketed Comments'!D:D,MATCH(A1059,'Docketed Comments'!H:H,0)),"")</f>
        <v>Prescott Valley</v>
      </c>
      <c r="J1059" s="60" t="str">
        <f>IFERROR(INDEX('Docketed Comments'!I:I,MATCH(A1059,'Docketed Comments'!H:H,0)),"")</f>
        <v>R-BASIC</v>
      </c>
      <c r="K1059" s="60" t="str">
        <f t="shared" si="33"/>
        <v>❌ Not on Best Plan</v>
      </c>
      <c r="L1059" s="60" t="str">
        <f>IFERROR(INDEX('Docketed Comments'!F:F,MATCH(A1059,'Docketed Comments'!H:H,0)),"")</f>
        <v>Opposed</v>
      </c>
      <c r="M1059" s="120" t="str">
        <f>IFERROR(INDEX('Docketed Comments'!G:G,MATCH(A1059,'Docketed Comments'!H:H,0)),"")</f>
        <v>https://images.edocket.azcc.gov/docketpdf/E000046155.pdf</v>
      </c>
      <c r="N1059" s="118">
        <f>IFERROR(INDEX('Docketed Comments'!N:N,MATCH(A1059,'Docketed Comments'!H:H,0)),"")</f>
        <v>605.92999999999995</v>
      </c>
      <c r="O1059" s="118" t="str">
        <f>IFERROR(INDEX('Docketed Comments'!L:L,MATCH(A1059,'Docketed Comments'!H:H,0)),"")</f>
        <v>No-MEP R3-47($141.01)</v>
      </c>
      <c r="P1059" s="119">
        <f t="shared" si="32"/>
        <v>141.01</v>
      </c>
      <c r="Q1059" s="60" t="s">
        <v>23</v>
      </c>
      <c r="R1059" s="64" t="s">
        <v>24</v>
      </c>
      <c r="S1059" s="64" t="s">
        <v>2236</v>
      </c>
    </row>
    <row r="1060" spans="1:19" ht="21.95" hidden="1" customHeight="1">
      <c r="A1060" s="66" t="s">
        <v>2237</v>
      </c>
      <c r="B1060" s="64" t="s">
        <v>31</v>
      </c>
      <c r="C1060" s="65">
        <v>46011</v>
      </c>
      <c r="D1060" s="64" t="s">
        <v>21</v>
      </c>
      <c r="E1060" s="64" t="s">
        <v>22</v>
      </c>
      <c r="F1060" s="60" t="s">
        <v>60</v>
      </c>
      <c r="G1060" s="60"/>
      <c r="H1060" s="60" t="str">
        <f>IFERROR(INDEX('Docketed Comments'!C:C,MATCH(A1060,'Docketed Comments'!H:H,0))&amp;", "&amp;INDEX('Docketed Comments'!B:B,MATCH(A1060,'Docketed Comments'!H:H,0)),"")</f>
        <v>David  , Schilling</v>
      </c>
      <c r="I1060" s="60" t="str">
        <f>IFERROR(INDEX('Docketed Comments'!D:D,MATCH(A1060,'Docketed Comments'!H:H,0)),"")</f>
        <v>Buckeye</v>
      </c>
      <c r="J1060" s="60" t="str">
        <f>IFERROR(INDEX('Docketed Comments'!I:I,MATCH(A1060,'Docketed Comments'!H:H,0)),"")</f>
        <v>R-BASIC</v>
      </c>
      <c r="K1060" s="60" t="str">
        <f t="shared" si="33"/>
        <v>❌ Not on Best Plan</v>
      </c>
      <c r="L1060" s="60" t="str">
        <f>IFERROR(INDEX('Docketed Comments'!F:F,MATCH(A1060,'Docketed Comments'!H:H,0)),"")</f>
        <v xml:space="preserve">Opposed </v>
      </c>
      <c r="M1060" s="120">
        <f>IFERROR(INDEX('Docketed Comments'!G:G,MATCH(A1060,'Docketed Comments'!H:H,0)),"")</f>
        <v>0</v>
      </c>
      <c r="N1060" s="118" t="str">
        <f>IFERROR(INDEX('Docketed Comments'!N:N,MATCH(A1060,'Docketed Comments'!H:H,0)),"")</f>
        <v>No</v>
      </c>
      <c r="O1060" s="118" t="str">
        <f>IFERROR(INDEX('Docketed Comments'!L:L,MATCH(A1060,'Docketed Comments'!H:H,0)),"")</f>
        <v>No-Mep R3-47($87.55)</v>
      </c>
      <c r="P1060" s="119">
        <f t="shared" si="32"/>
        <v>87.55</v>
      </c>
      <c r="Q1060" s="60" t="s">
        <v>23</v>
      </c>
      <c r="R1060" s="64" t="s">
        <v>24</v>
      </c>
      <c r="S1060" s="64" t="s">
        <v>2238</v>
      </c>
    </row>
    <row r="1061" spans="1:19" ht="21.95" hidden="1" customHeight="1">
      <c r="A1061" s="66" t="s">
        <v>2239</v>
      </c>
      <c r="B1061" s="64" t="s">
        <v>31</v>
      </c>
      <c r="C1061" s="65">
        <v>46011</v>
      </c>
      <c r="D1061" s="64" t="s">
        <v>21</v>
      </c>
      <c r="E1061" s="64" t="s">
        <v>22</v>
      </c>
      <c r="F1061" s="60"/>
      <c r="G1061" s="60"/>
      <c r="H1061" s="60" t="str">
        <f>IFERROR(INDEX('Docketed Comments'!C:C,MATCH(A1061,'Docketed Comments'!H:H,0))&amp;", "&amp;INDEX('Docketed Comments'!B:B,MATCH(A1061,'Docketed Comments'!H:H,0)),"")</f>
        <v>Leanne, Hay</v>
      </c>
      <c r="I1061" s="60" t="str">
        <f>IFERROR(INDEX('Docketed Comments'!D:D,MATCH(A1061,'Docketed Comments'!H:H,0)),"")</f>
        <v>Phoenix</v>
      </c>
      <c r="J1061" s="60" t="str">
        <f>IFERROR(INDEX('Docketed Comments'!I:I,MATCH(A1061,'Docketed Comments'!H:H,0)),"")</f>
        <v>R-BASICL</v>
      </c>
      <c r="K1061" s="60" t="str">
        <f t="shared" si="33"/>
        <v>❌ Not on Best Plan</v>
      </c>
      <c r="L1061" s="60" t="str">
        <f>IFERROR(INDEX('Docketed Comments'!F:F,MATCH(A1061,'Docketed Comments'!H:H,0)),"")</f>
        <v>Opposed</v>
      </c>
      <c r="M1061" s="120" t="str">
        <f>IFERROR(INDEX('Docketed Comments'!G:G,MATCH(A1061,'Docketed Comments'!H:H,0)),"")</f>
        <v>https://images.edocket.azcc.gov/docketpdf/E000046155.pdf</v>
      </c>
      <c r="N1061" s="118" t="str">
        <f>IFERROR(INDEX('Docketed Comments'!N:N,MATCH(A1061,'Docketed Comments'!H:H,0)),"")</f>
        <v>No</v>
      </c>
      <c r="O1061" s="118" t="str">
        <f>IFERROR(INDEX('Docketed Comments'!L:L,MATCH(A1061,'Docketed Comments'!H:H,0)),"")</f>
        <v>No MEP R3-47($261.63)</v>
      </c>
      <c r="P1061" s="119">
        <f t="shared" si="32"/>
        <v>261.63</v>
      </c>
      <c r="Q1061" s="60" t="s">
        <v>23</v>
      </c>
      <c r="R1061" s="64" t="s">
        <v>24</v>
      </c>
      <c r="S1061" s="64" t="s">
        <v>2240</v>
      </c>
    </row>
    <row r="1062" spans="1:19" ht="21.95" hidden="1" customHeight="1">
      <c r="A1062" s="66" t="s">
        <v>2241</v>
      </c>
      <c r="B1062" s="64" t="s">
        <v>31</v>
      </c>
      <c r="C1062" s="65">
        <v>45997</v>
      </c>
      <c r="D1062" s="64" t="s">
        <v>21</v>
      </c>
      <c r="E1062" s="64" t="s">
        <v>22</v>
      </c>
      <c r="F1062" s="60" t="s">
        <v>2242</v>
      </c>
      <c r="G1062" s="60"/>
      <c r="H1062" s="60" t="str">
        <f>IFERROR(INDEX('Docketed Comments'!C:C,MATCH(A1062,'Docketed Comments'!H:H,0))&amp;", "&amp;INDEX('Docketed Comments'!B:B,MATCH(A1062,'Docketed Comments'!H:H,0)),"")</f>
        <v>Mary Lynne, Shroyer</v>
      </c>
      <c r="I1062" s="60" t="str">
        <f>IFERROR(INDEX('Docketed Comments'!D:D,MATCH(A1062,'Docketed Comments'!H:H,0)),"")</f>
        <v>Sun City</v>
      </c>
      <c r="J1062" s="60" t="str">
        <f>IFERROR(INDEX('Docketed Comments'!I:I,MATCH(A1062,'Docketed Comments'!H:H,0)),"")</f>
        <v>R-XS</v>
      </c>
      <c r="K1062" s="60" t="str">
        <f t="shared" si="33"/>
        <v>✅ On Best Plan</v>
      </c>
      <c r="L1062" s="60" t="str">
        <f>IFERROR(INDEX('Docketed Comments'!F:F,MATCH(A1062,'Docketed Comments'!H:H,0)),"")</f>
        <v>Opposed</v>
      </c>
      <c r="M1062" s="120" t="str">
        <f>IFERROR(INDEX('Docketed Comments'!G:G,MATCH(A1062,'Docketed Comments'!H:H,0)),"")</f>
        <v>https://images.edocket.azcc.gov/docketpdf/E000044648.pdf</v>
      </c>
      <c r="N1062" s="118" t="str">
        <f>IFERROR(INDEX('Docketed Comments'!N:N,MATCH(A1062,'Docketed Comments'!H:H,0)),"")</f>
        <v>No</v>
      </c>
      <c r="O1062" s="118" t="str">
        <f>IFERROR(INDEX('Docketed Comments'!L:L,MATCH(A1062,'Docketed Comments'!H:H,0)),"")</f>
        <v>Yes</v>
      </c>
      <c r="P1062" s="119">
        <f t="shared" si="32"/>
        <v>0</v>
      </c>
      <c r="Q1062" s="60" t="s">
        <v>23</v>
      </c>
      <c r="R1062" s="64" t="s">
        <v>24</v>
      </c>
      <c r="S1062" s="64" t="s">
        <v>2243</v>
      </c>
    </row>
    <row r="1063" spans="1:19" ht="21.95" hidden="1" customHeight="1">
      <c r="A1063" s="66" t="s">
        <v>2244</v>
      </c>
      <c r="B1063" s="64" t="s">
        <v>31</v>
      </c>
      <c r="C1063" s="65">
        <v>45997</v>
      </c>
      <c r="D1063" s="64" t="s">
        <v>21</v>
      </c>
      <c r="E1063" s="64" t="s">
        <v>22</v>
      </c>
      <c r="F1063" s="60" t="s">
        <v>2245</v>
      </c>
      <c r="G1063" s="60"/>
      <c r="H1063" s="60" t="str">
        <f>IFERROR(INDEX('Docketed Comments'!C:C,MATCH(A1063,'Docketed Comments'!H:H,0))&amp;", "&amp;INDEX('Docketed Comments'!B:B,MATCH(A1063,'Docketed Comments'!H:H,0)),"")</f>
        <v xml:space="preserve">Michelle, Neal </v>
      </c>
      <c r="I1063" s="60" t="str">
        <f>IFERROR(INDEX('Docketed Comments'!D:D,MATCH(A1063,'Docketed Comments'!H:H,0)),"")</f>
        <v>Glendale</v>
      </c>
      <c r="J1063" s="60" t="str">
        <f>IFERROR(INDEX('Docketed Comments'!I:I,MATCH(A1063,'Docketed Comments'!H:H,0)),"")</f>
        <v>R3-47</v>
      </c>
      <c r="K1063" s="60" t="str">
        <f t="shared" si="33"/>
        <v>✅ On Best Plan</v>
      </c>
      <c r="L1063" s="60" t="str">
        <f>IFERROR(INDEX('Docketed Comments'!F:F,MATCH(A1063,'Docketed Comments'!H:H,0)),"")</f>
        <v>Opposed</v>
      </c>
      <c r="M1063" s="120" t="str">
        <f>IFERROR(INDEX('Docketed Comments'!G:G,MATCH(A1063,'Docketed Comments'!H:H,0)),"")</f>
        <v>https://images.edocket.azcc.gov/docketpdf/E000044799.pdf</v>
      </c>
      <c r="N1063" s="118" t="str">
        <f>IFERROR(INDEX('Docketed Comments'!N:N,MATCH(A1063,'Docketed Comments'!H:H,0)),"")</f>
        <v>No</v>
      </c>
      <c r="O1063" s="118" t="str">
        <f>IFERROR(INDEX('Docketed Comments'!L:L,MATCH(A1063,'Docketed Comments'!H:H,0)),"")</f>
        <v>Yes</v>
      </c>
      <c r="P1063" s="119">
        <f t="shared" si="32"/>
        <v>0</v>
      </c>
      <c r="Q1063" s="60" t="s">
        <v>23</v>
      </c>
      <c r="R1063" s="64" t="s">
        <v>24</v>
      </c>
      <c r="S1063" s="64" t="s">
        <v>2246</v>
      </c>
    </row>
    <row r="1064" spans="1:19" ht="21.95" hidden="1" customHeight="1">
      <c r="A1064" s="66" t="s">
        <v>2247</v>
      </c>
      <c r="B1064" s="64" t="s">
        <v>31</v>
      </c>
      <c r="C1064" s="65">
        <v>46011</v>
      </c>
      <c r="D1064" s="64" t="s">
        <v>21</v>
      </c>
      <c r="E1064" s="64" t="s">
        <v>22</v>
      </c>
      <c r="F1064" s="60" t="s">
        <v>60</v>
      </c>
      <c r="G1064" s="60"/>
      <c r="H1064" s="60" t="str">
        <f>IFERROR(INDEX('Docketed Comments'!C:C,MATCH(A1064,'Docketed Comments'!H:H,0))&amp;", "&amp;INDEX('Docketed Comments'!B:B,MATCH(A1064,'Docketed Comments'!H:H,0)),"")</f>
        <v>Nicholas, Lichtner</v>
      </c>
      <c r="I1064" s="60" t="str">
        <f>IFERROR(INDEX('Docketed Comments'!D:D,MATCH(A1064,'Docketed Comments'!H:H,0)),"")</f>
        <v>Phoenix</v>
      </c>
      <c r="J1064" s="60" t="str">
        <f>IFERROR(INDEX('Docketed Comments'!I:I,MATCH(A1064,'Docketed Comments'!H:H,0)),"")</f>
        <v>R-BASICL</v>
      </c>
      <c r="K1064" s="60" t="str">
        <f t="shared" si="33"/>
        <v>❌ Not on Best Plan</v>
      </c>
      <c r="L1064" s="60" t="str">
        <f>IFERROR(INDEX('Docketed Comments'!F:F,MATCH(A1064,'Docketed Comments'!H:H,0)),"")</f>
        <v>Form letter</v>
      </c>
      <c r="M1064" s="120" t="str">
        <f>IFERROR(INDEX('Docketed Comments'!G:G,MATCH(A1064,'Docketed Comments'!H:H,0)),"")</f>
        <v>https://images.edocket.azcc.gov/docketpdf/E000046190.pdf</v>
      </c>
      <c r="N1064" s="118" t="str">
        <f>IFERROR(INDEX('Docketed Comments'!N:N,MATCH(A1064,'Docketed Comments'!H:H,0)),"")</f>
        <v>No</v>
      </c>
      <c r="O1064" s="118" t="str">
        <f>IFERROR(INDEX('Docketed Comments'!L:L,MATCH(A1064,'Docketed Comments'!H:H,0)),"")</f>
        <v>No MEP R3-47($45.27)</v>
      </c>
      <c r="P1064" s="119">
        <f t="shared" si="32"/>
        <v>45.27</v>
      </c>
      <c r="Q1064" s="60" t="s">
        <v>23</v>
      </c>
      <c r="R1064" s="64" t="s">
        <v>24</v>
      </c>
      <c r="S1064" s="64" t="s">
        <v>2248</v>
      </c>
    </row>
    <row r="1065" spans="1:19" ht="21.95" hidden="1" customHeight="1">
      <c r="A1065" s="66" t="s">
        <v>2249</v>
      </c>
      <c r="B1065" s="64" t="s">
        <v>31</v>
      </c>
      <c r="C1065" s="65">
        <v>46011</v>
      </c>
      <c r="D1065" s="64" t="s">
        <v>21</v>
      </c>
      <c r="E1065" s="64" t="s">
        <v>22</v>
      </c>
      <c r="F1065" s="60"/>
      <c r="G1065" s="60"/>
      <c r="H1065" s="60" t="str">
        <f>IFERROR(INDEX('Docketed Comments'!C:C,MATCH(A1065,'Docketed Comments'!H:H,0))&amp;", "&amp;INDEX('Docketed Comments'!B:B,MATCH(A1065,'Docketed Comments'!H:H,0)),"")</f>
        <v>Alfredo, Nava</v>
      </c>
      <c r="I1065" s="60" t="str">
        <f>IFERROR(INDEX('Docketed Comments'!D:D,MATCH(A1065,'Docketed Comments'!H:H,0)),"")</f>
        <v>Glendale</v>
      </c>
      <c r="J1065" s="60" t="str">
        <f>IFERROR(INDEX('Docketed Comments'!I:I,MATCH(A1065,'Docketed Comments'!H:H,0)),"")</f>
        <v>R-BASIC</v>
      </c>
      <c r="K1065" s="60" t="str">
        <f t="shared" si="33"/>
        <v>❌ Not on Best Plan</v>
      </c>
      <c r="L1065" s="60" t="str">
        <f>IFERROR(INDEX('Docketed Comments'!F:F,MATCH(A1065,'Docketed Comments'!H:H,0)),"")</f>
        <v>Form letter</v>
      </c>
      <c r="M1065" s="120" t="str">
        <f>IFERROR(INDEX('Docketed Comments'!G:G,MATCH(A1065,'Docketed Comments'!H:H,0)),"")</f>
        <v>https://images.edocket.azcc.gov/docketpdf/E000046155.pdf</v>
      </c>
      <c r="N1065" s="118" t="str">
        <f>IFERROR(INDEX('Docketed Comments'!N:N,MATCH(A1065,'Docketed Comments'!H:H,0)),"")</f>
        <v>No</v>
      </c>
      <c r="O1065" s="118" t="str">
        <f>IFERROR(INDEX('Docketed Comments'!L:L,MATCH(A1065,'Docketed Comments'!H:H,0)),"")</f>
        <v>No MEP-R3-47($66.86)</v>
      </c>
      <c r="P1065" s="119">
        <f t="shared" si="32"/>
        <v>66.86</v>
      </c>
      <c r="Q1065" s="60" t="s">
        <v>23</v>
      </c>
      <c r="R1065" s="64" t="s">
        <v>24</v>
      </c>
      <c r="S1065" s="64" t="s">
        <v>2250</v>
      </c>
    </row>
    <row r="1066" spans="1:19" ht="21.95" hidden="1" customHeight="1">
      <c r="A1066" s="66" t="s">
        <v>2251</v>
      </c>
      <c r="B1066" s="64" t="s">
        <v>20</v>
      </c>
      <c r="C1066" s="65">
        <v>45997</v>
      </c>
      <c r="D1066" s="64" t="s">
        <v>21</v>
      </c>
      <c r="E1066" s="64" t="s">
        <v>22</v>
      </c>
      <c r="F1066" s="60" t="s">
        <v>2252</v>
      </c>
      <c r="G1066" s="60"/>
      <c r="H1066" s="60" t="str">
        <f>IFERROR(INDEX('Docketed Comments'!C:C,MATCH(A1066,'Docketed Comments'!H:H,0))&amp;", "&amp;INDEX('Docketed Comments'!B:B,MATCH(A1066,'Docketed Comments'!H:H,0)),"")</f>
        <v>Anurag, Mandloi</v>
      </c>
      <c r="I1066" s="60" t="str">
        <f>IFERROR(INDEX('Docketed Comments'!D:D,MATCH(A1066,'Docketed Comments'!H:H,0)),"")</f>
        <v>Phoenix</v>
      </c>
      <c r="J1066" s="60" t="str">
        <f>IFERROR(INDEX('Docketed Comments'!I:I,MATCH(A1066,'Docketed Comments'!H:H,0)),"")</f>
        <v>RTOUE47</v>
      </c>
      <c r="K1066" s="60" t="str">
        <f t="shared" si="33"/>
        <v>✅ On Best Plan</v>
      </c>
      <c r="L1066" s="60" t="str">
        <f>IFERROR(INDEX('Docketed Comments'!F:F,MATCH(A1066,'Docketed Comments'!H:H,0)),"")</f>
        <v>Form letter</v>
      </c>
      <c r="M1066" s="120" t="str">
        <f>IFERROR(INDEX('Docketed Comments'!G:G,MATCH(A1066,'Docketed Comments'!H:H,0)),"")</f>
        <v>https://images.edocket.azcc.gov/docketpdf/E000046190.pdf</v>
      </c>
      <c r="N1066" s="118" t="str">
        <f>IFERROR(INDEX('Docketed Comments'!N:N,MATCH(A1066,'Docketed Comments'!H:H,0)),"")</f>
        <v>No</v>
      </c>
      <c r="O1066" s="118" t="str">
        <f>IFERROR(INDEX('Docketed Comments'!L:L,MATCH(A1066,'Docketed Comments'!H:H,0)),"")</f>
        <v>Yes</v>
      </c>
      <c r="P1066" s="119">
        <f t="shared" si="32"/>
        <v>0</v>
      </c>
      <c r="Q1066" s="60" t="s">
        <v>23</v>
      </c>
      <c r="R1066" s="64" t="s">
        <v>24</v>
      </c>
      <c r="S1066" s="64" t="s">
        <v>2253</v>
      </c>
    </row>
    <row r="1067" spans="1:19" ht="21.95" hidden="1" customHeight="1">
      <c r="A1067" s="66" t="s">
        <v>2254</v>
      </c>
      <c r="B1067" s="64" t="s">
        <v>31</v>
      </c>
      <c r="C1067" s="65">
        <v>45997</v>
      </c>
      <c r="D1067" s="64"/>
      <c r="E1067" s="64" t="s">
        <v>22</v>
      </c>
      <c r="F1067" s="60" t="s">
        <v>2255</v>
      </c>
      <c r="G1067" s="60"/>
      <c r="H1067" s="60" t="str">
        <f>IFERROR(INDEX('Docketed Comments'!C:C,MATCH(A1067,'Docketed Comments'!H:H,0))&amp;", "&amp;INDEX('Docketed Comments'!B:B,MATCH(A1067,'Docketed Comments'!H:H,0)),"")</f>
        <v>Kim &amp; Dave, Berto</v>
      </c>
      <c r="I1067" s="60" t="str">
        <f>IFERROR(INDEX('Docketed Comments'!D:D,MATCH(A1067,'Docketed Comments'!H:H,0)),"")</f>
        <v>Chino Valley</v>
      </c>
      <c r="J1067" s="60" t="str">
        <f>IFERROR(INDEX('Docketed Comments'!I:I,MATCH(A1067,'Docketed Comments'!H:H,0)),"")</f>
        <v>RCPw/RTOUE47</v>
      </c>
      <c r="K1067" s="60" t="str">
        <f t="shared" si="33"/>
        <v>✅ On Best Plan</v>
      </c>
      <c r="L1067" s="60" t="str">
        <f>IFERROR(INDEX('Docketed Comments'!F:F,MATCH(A1067,'Docketed Comments'!H:H,0)),"")</f>
        <v>Opposed</v>
      </c>
      <c r="M1067" s="120" t="str">
        <f>IFERROR(INDEX('Docketed Comments'!G:G,MATCH(A1067,'Docketed Comments'!H:H,0)),"")</f>
        <v>https://images.edocket.azcc.gov/docketpdf/E000044536.pdf</v>
      </c>
      <c r="N1067" s="118" t="str">
        <f>IFERROR(INDEX('Docketed Comments'!N:N,MATCH(A1067,'Docketed Comments'!H:H,0)),"")</f>
        <v>No</v>
      </c>
      <c r="O1067" s="118" t="str">
        <f>IFERROR(INDEX('Docketed Comments'!L:L,MATCH(A1067,'Docketed Comments'!H:H,0)),"")</f>
        <v>Yes</v>
      </c>
      <c r="P1067" s="119">
        <f t="shared" si="32"/>
        <v>0</v>
      </c>
      <c r="Q1067" s="60" t="s">
        <v>23</v>
      </c>
      <c r="R1067" s="64" t="s">
        <v>24</v>
      </c>
      <c r="S1067" s="64" t="s">
        <v>2256</v>
      </c>
    </row>
    <row r="1068" spans="1:19" ht="21.95" hidden="1" customHeight="1">
      <c r="A1068" s="66" t="s">
        <v>2257</v>
      </c>
      <c r="B1068" s="64" t="s">
        <v>31</v>
      </c>
      <c r="C1068" s="65">
        <v>45997</v>
      </c>
      <c r="D1068" s="64"/>
      <c r="E1068" s="64" t="s">
        <v>22</v>
      </c>
      <c r="F1068" s="60" t="s">
        <v>2258</v>
      </c>
      <c r="G1068" s="60"/>
      <c r="H1068" s="60" t="str">
        <f>IFERROR(INDEX('Docketed Comments'!C:C,MATCH(A1068,'Docketed Comments'!H:H,0))&amp;", "&amp;INDEX('Docketed Comments'!B:B,MATCH(A1068,'Docketed Comments'!H:H,0)),"")</f>
        <v>Patricia, Gwiazda</v>
      </c>
      <c r="I1068" s="60" t="str">
        <f>IFERROR(INDEX('Docketed Comments'!D:D,MATCH(A1068,'Docketed Comments'!H:H,0)),"")</f>
        <v>Youngtown</v>
      </c>
      <c r="J1068" s="60" t="str">
        <f>IFERROR(INDEX('Docketed Comments'!I:I,MATCH(A1068,'Docketed Comments'!H:H,0)),"")</f>
        <v>RCPw/RTOUE47</v>
      </c>
      <c r="K1068" s="60" t="str">
        <f t="shared" si="33"/>
        <v>❌ Not on Best Plan</v>
      </c>
      <c r="L1068" s="60" t="str">
        <f>IFERROR(INDEX('Docketed Comments'!F:F,MATCH(A1068,'Docketed Comments'!H:H,0)),"")</f>
        <v>Opposed</v>
      </c>
      <c r="M1068" s="120" t="str">
        <f>IFERROR(INDEX('Docketed Comments'!G:G,MATCH(A1068,'Docketed Comments'!H:H,0)),"")</f>
        <v>https://images.edocket.azcc.gov/docketpdf/E000044147.pdf</v>
      </c>
      <c r="N1068" s="118" t="str">
        <f>IFERROR(INDEX('Docketed Comments'!N:N,MATCH(A1068,'Docketed Comments'!H:H,0)),"")</f>
        <v>No</v>
      </c>
      <c r="O1068" s="118" t="str">
        <f>IFERROR(INDEX('Docketed Comments'!L:L,MATCH(A1068,'Docketed Comments'!H:H,0)),"")</f>
        <v>No - MEP is R3-47 ($65.13)</v>
      </c>
      <c r="P1068" s="119">
        <f t="shared" si="32"/>
        <v>65.13</v>
      </c>
      <c r="Q1068" s="60" t="s">
        <v>23</v>
      </c>
      <c r="R1068" s="64" t="s">
        <v>24</v>
      </c>
      <c r="S1068" s="64" t="s">
        <v>2259</v>
      </c>
    </row>
    <row r="1069" spans="1:19" ht="21.95" hidden="1" customHeight="1">
      <c r="A1069" s="66" t="s">
        <v>2260</v>
      </c>
      <c r="B1069" s="64" t="s">
        <v>31</v>
      </c>
      <c r="C1069" s="65">
        <v>46011</v>
      </c>
      <c r="D1069" s="64" t="s">
        <v>21</v>
      </c>
      <c r="E1069" s="64" t="s">
        <v>22</v>
      </c>
      <c r="F1069" s="60" t="s">
        <v>432</v>
      </c>
      <c r="G1069" s="60"/>
      <c r="H1069" s="60" t="str">
        <f>IFERROR(INDEX('Docketed Comments'!C:C,MATCH(A1069,'Docketed Comments'!H:H,0))&amp;", "&amp;INDEX('Docketed Comments'!B:B,MATCH(A1069,'Docketed Comments'!H:H,0)),"")</f>
        <v>Jennifer, Simmons</v>
      </c>
      <c r="I1069" s="60" t="str">
        <f>IFERROR(INDEX('Docketed Comments'!D:D,MATCH(A1069,'Docketed Comments'!H:H,0)),"")</f>
        <v>Scottsdale</v>
      </c>
      <c r="J1069" s="60" t="str">
        <f>IFERROR(INDEX('Docketed Comments'!I:I,MATCH(A1069,'Docketed Comments'!H:H,0)),"")</f>
        <v>RTOUE47</v>
      </c>
      <c r="K1069" s="60" t="str">
        <f t="shared" si="33"/>
        <v>❌ Not on Best Plan</v>
      </c>
      <c r="L1069" s="60" t="str">
        <f>IFERROR(INDEX('Docketed Comments'!F:F,MATCH(A1069,'Docketed Comments'!H:H,0)),"")</f>
        <v>Opposed</v>
      </c>
      <c r="M1069" s="120" t="str">
        <f>IFERROR(INDEX('Docketed Comments'!G:G,MATCH(A1069,'Docketed Comments'!H:H,0)),"")</f>
        <v>https://images.edocket.azcc.gov/docketpdf/E000046155.pdf</v>
      </c>
      <c r="N1069" s="118" t="str">
        <f>IFERROR(INDEX('Docketed Comments'!N:N,MATCH(A1069,'Docketed Comments'!H:H,0)),"")</f>
        <v>No</v>
      </c>
      <c r="O1069" s="118" t="str">
        <f>IFERROR(INDEX('Docketed Comments'!L:L,MATCH(A1069,'Docketed Comments'!H:H,0)),"")</f>
        <v>No MEP R3-47 ($61.45)</v>
      </c>
      <c r="P1069" s="119">
        <f t="shared" si="32"/>
        <v>61.45</v>
      </c>
      <c r="Q1069" s="60" t="s">
        <v>23</v>
      </c>
      <c r="R1069" s="64" t="s">
        <v>24</v>
      </c>
      <c r="S1069" s="64" t="s">
        <v>2261</v>
      </c>
    </row>
    <row r="1070" spans="1:19" ht="21.95" hidden="1" customHeight="1">
      <c r="A1070" s="66" t="s">
        <v>2262</v>
      </c>
      <c r="B1070" s="64" t="s">
        <v>31</v>
      </c>
      <c r="C1070" s="65">
        <v>46011</v>
      </c>
      <c r="D1070" s="64" t="s">
        <v>21</v>
      </c>
      <c r="E1070" s="64" t="s">
        <v>22</v>
      </c>
      <c r="F1070" s="60" t="s">
        <v>60</v>
      </c>
      <c r="G1070" s="60"/>
      <c r="H1070" s="60" t="str">
        <f>IFERROR(INDEX('Docketed Comments'!C:C,MATCH(A1070,'Docketed Comments'!H:H,0))&amp;", "&amp;INDEX('Docketed Comments'!B:B,MATCH(A1070,'Docketed Comments'!H:H,0)),"")</f>
        <v>Sara , Kontryn</v>
      </c>
      <c r="I1070" s="60" t="str">
        <f>IFERROR(INDEX('Docketed Comments'!D:D,MATCH(A1070,'Docketed Comments'!H:H,0)),"")</f>
        <v>Phoenix</v>
      </c>
      <c r="J1070" s="60" t="str">
        <f>IFERROR(INDEX('Docketed Comments'!I:I,MATCH(A1070,'Docketed Comments'!H:H,0)),"")</f>
        <v>RTOUE47</v>
      </c>
      <c r="K1070" s="60" t="str">
        <f t="shared" si="33"/>
        <v>❌ Not on Best Plan</v>
      </c>
      <c r="L1070" s="60" t="str">
        <f>IFERROR(INDEX('Docketed Comments'!F:F,MATCH(A1070,'Docketed Comments'!H:H,0)),"")</f>
        <v>Form letter</v>
      </c>
      <c r="M1070" s="120" t="str">
        <f>IFERROR(INDEX('Docketed Comments'!G:G,MATCH(A1070,'Docketed Comments'!H:H,0)),"")</f>
        <v>https://images.edocket.azcc.gov/docketpdf/E000046190.pdf</v>
      </c>
      <c r="N1070" s="118" t="str">
        <f>IFERROR(INDEX('Docketed Comments'!N:N,MATCH(A1070,'Docketed Comments'!H:H,0)),"")</f>
        <v>No</v>
      </c>
      <c r="O1070" s="118" t="str">
        <f>IFERROR(INDEX('Docketed Comments'!L:L,MATCH(A1070,'Docketed Comments'!H:H,0)),"")</f>
        <v>No MEP R3-47($91.81)</v>
      </c>
      <c r="P1070" s="119">
        <f t="shared" si="32"/>
        <v>91.81</v>
      </c>
      <c r="Q1070" s="60" t="s">
        <v>23</v>
      </c>
      <c r="R1070" s="64" t="s">
        <v>24</v>
      </c>
      <c r="S1070" s="64" t="s">
        <v>2263</v>
      </c>
    </row>
    <row r="1071" spans="1:19" ht="21.95" hidden="1" customHeight="1">
      <c r="A1071" s="66" t="s">
        <v>2264</v>
      </c>
      <c r="B1071" s="64" t="s">
        <v>31</v>
      </c>
      <c r="C1071" s="65">
        <v>46011</v>
      </c>
      <c r="D1071" s="64" t="s">
        <v>27</v>
      </c>
      <c r="E1071" s="64" t="s">
        <v>22</v>
      </c>
      <c r="F1071" s="60" t="s">
        <v>46</v>
      </c>
      <c r="G1071" s="60"/>
      <c r="H1071" s="60" t="str">
        <f>IFERROR(INDEX('Docketed Comments'!C:C,MATCH(A1071,'Docketed Comments'!H:H,0))&amp;", "&amp;INDEX('Docketed Comments'!B:B,MATCH(A1071,'Docketed Comments'!H:H,0)),"")</f>
        <v>Michelle, Seabrook</v>
      </c>
      <c r="I1071" s="60" t="str">
        <f>IFERROR(INDEX('Docketed Comments'!D:D,MATCH(A1071,'Docketed Comments'!H:H,0)),"")</f>
        <v>Phoenix</v>
      </c>
      <c r="J1071" s="60" t="str">
        <f>IFERROR(INDEX('Docketed Comments'!I:I,MATCH(A1071,'Docketed Comments'!H:H,0)),"")</f>
        <v>R-BASICL</v>
      </c>
      <c r="K1071" s="60" t="str">
        <f t="shared" si="33"/>
        <v>❌ Not on Best Plan</v>
      </c>
      <c r="L1071" s="60" t="str">
        <f>IFERROR(INDEX('Docketed Comments'!F:F,MATCH(A1071,'Docketed Comments'!H:H,0)),"")</f>
        <v>Opposed</v>
      </c>
      <c r="M1071" s="120" t="str">
        <f>IFERROR(INDEX('Docketed Comments'!G:G,MATCH(A1071,'Docketed Comments'!H:H,0)),"")</f>
        <v>https://images.edocket.azcc.gov/docketpdf/E000045426.pdf</v>
      </c>
      <c r="N1071" s="118" t="str">
        <f>IFERROR(INDEX('Docketed Comments'!N:N,MATCH(A1071,'Docketed Comments'!H:H,0)),"")</f>
        <v>No</v>
      </c>
      <c r="O1071" s="118" t="str">
        <f>IFERROR(INDEX('Docketed Comments'!L:L,MATCH(A1071,'Docketed Comments'!H:H,0)),"")</f>
        <v>No MEP R-BASIC ($170.13)</v>
      </c>
      <c r="P1071" s="119">
        <f t="shared" si="32"/>
        <v>170.13</v>
      </c>
      <c r="Q1071" s="60" t="s">
        <v>23</v>
      </c>
      <c r="R1071" s="64" t="s">
        <v>24</v>
      </c>
      <c r="S1071" s="64" t="s">
        <v>2265</v>
      </c>
    </row>
    <row r="1072" spans="1:19" ht="21.95" hidden="1" customHeight="1">
      <c r="A1072" s="66" t="s">
        <v>2266</v>
      </c>
      <c r="B1072" s="64" t="s">
        <v>31</v>
      </c>
      <c r="C1072" s="65">
        <v>46011</v>
      </c>
      <c r="D1072" s="64" t="s">
        <v>21</v>
      </c>
      <c r="E1072" s="64" t="s">
        <v>22</v>
      </c>
      <c r="F1072" s="60" t="s">
        <v>2267</v>
      </c>
      <c r="G1072" s="60"/>
      <c r="H1072" s="60" t="str">
        <f>IFERROR(INDEX('Docketed Comments'!C:C,MATCH(A1072,'Docketed Comments'!H:H,0))&amp;", "&amp;INDEX('Docketed Comments'!B:B,MATCH(A1072,'Docketed Comments'!H:H,0)),"")</f>
        <v>Jose, Melendez</v>
      </c>
      <c r="I1072" s="60" t="str">
        <f>IFERROR(INDEX('Docketed Comments'!D:D,MATCH(A1072,'Docketed Comments'!H:H,0)),"")</f>
        <v>Surprise</v>
      </c>
      <c r="J1072" s="60" t="str">
        <f>IFERROR(INDEX('Docketed Comments'!I:I,MATCH(A1072,'Docketed Comments'!H:H,0)),"")</f>
        <v>RTOUE47</v>
      </c>
      <c r="K1072" s="60" t="str">
        <f t="shared" si="33"/>
        <v>❌ Not on Best Plan</v>
      </c>
      <c r="L1072" s="60" t="str">
        <f>IFERROR(INDEX('Docketed Comments'!F:F,MATCH(A1072,'Docketed Comments'!H:H,0)),"")</f>
        <v>Opposed</v>
      </c>
      <c r="M1072" s="120" t="str">
        <f>IFERROR(INDEX('Docketed Comments'!G:G,MATCH(A1072,'Docketed Comments'!H:H,0)),"")</f>
        <v>https://images.edocket.azcc.gov/docketpdf/E000046155.pdf</v>
      </c>
      <c r="N1072" s="118" t="str">
        <f>IFERROR(INDEX('Docketed Comments'!N:N,MATCH(A1072,'Docketed Comments'!H:H,0)),"")</f>
        <v>No</v>
      </c>
      <c r="O1072" s="118" t="str">
        <f>IFERROR(INDEX('Docketed Comments'!L:L,MATCH(A1072,'Docketed Comments'!H:H,0)),"")</f>
        <v>No MEP R3-47 ($128.91)</v>
      </c>
      <c r="P1072" s="119">
        <f t="shared" si="32"/>
        <v>128.91</v>
      </c>
      <c r="Q1072" s="60" t="s">
        <v>23</v>
      </c>
      <c r="R1072" s="64" t="s">
        <v>24</v>
      </c>
      <c r="S1072" s="64" t="s">
        <v>2268</v>
      </c>
    </row>
    <row r="1073" spans="1:19" ht="21.95" hidden="1" customHeight="1">
      <c r="A1073" s="66" t="s">
        <v>2269</v>
      </c>
      <c r="B1073" s="64" t="s">
        <v>31</v>
      </c>
      <c r="C1073" s="65">
        <v>46011</v>
      </c>
      <c r="D1073" s="64" t="s">
        <v>21</v>
      </c>
      <c r="E1073" s="64" t="s">
        <v>22</v>
      </c>
      <c r="F1073" s="60" t="s">
        <v>2270</v>
      </c>
      <c r="G1073" s="60"/>
      <c r="H1073" s="60" t="str">
        <f>IFERROR(INDEX('Docketed Comments'!C:C,MATCH(A1073,'Docketed Comments'!H:H,0))&amp;", "&amp;INDEX('Docketed Comments'!B:B,MATCH(A1073,'Docketed Comments'!H:H,0)),"")</f>
        <v>Michael, Wasserman</v>
      </c>
      <c r="I1073" s="60" t="str">
        <f>IFERROR(INDEX('Docketed Comments'!D:D,MATCH(A1073,'Docketed Comments'!H:H,0)),"")</f>
        <v>Phoenix</v>
      </c>
      <c r="J1073" s="60" t="str">
        <f>IFERROR(INDEX('Docketed Comments'!I:I,MATCH(A1073,'Docketed Comments'!H:H,0)),"")</f>
        <v>RCPw/RTOUE47</v>
      </c>
      <c r="K1073" s="60" t="str">
        <f t="shared" si="33"/>
        <v>❌ Not on Best Plan</v>
      </c>
      <c r="L1073" s="60" t="str">
        <f>IFERROR(INDEX('Docketed Comments'!F:F,MATCH(A1073,'Docketed Comments'!H:H,0)),"")</f>
        <v>Form letter</v>
      </c>
      <c r="M1073" s="120" t="str">
        <f>IFERROR(INDEX('Docketed Comments'!G:G,MATCH(A1073,'Docketed Comments'!H:H,0)),"")</f>
        <v>https://images.edocket.azcc.gov/docketpdf/E000046155.pdf</v>
      </c>
      <c r="N1073" s="118" t="str">
        <f>IFERROR(INDEX('Docketed Comments'!N:N,MATCH(A1073,'Docketed Comments'!H:H,0)),"")</f>
        <v>No</v>
      </c>
      <c r="O1073" s="118" t="str">
        <f>IFERROR(INDEX('Docketed Comments'!L:L,MATCH(A1073,'Docketed Comments'!H:H,0)),"")</f>
        <v>No MEP R3-47($123.47)</v>
      </c>
      <c r="P1073" s="119">
        <f t="shared" si="32"/>
        <v>123.47</v>
      </c>
      <c r="Q1073" s="60" t="s">
        <v>23</v>
      </c>
      <c r="R1073" s="64" t="s">
        <v>24</v>
      </c>
      <c r="S1073" s="64" t="s">
        <v>2271</v>
      </c>
    </row>
    <row r="1074" spans="1:19" ht="21.95" hidden="1" customHeight="1">
      <c r="A1074" s="66" t="s">
        <v>2272</v>
      </c>
      <c r="B1074" s="64" t="s">
        <v>31</v>
      </c>
      <c r="C1074" s="65">
        <v>46011</v>
      </c>
      <c r="D1074" s="64" t="s">
        <v>27</v>
      </c>
      <c r="E1074" s="64" t="s">
        <v>22</v>
      </c>
      <c r="F1074" s="60" t="s">
        <v>2273</v>
      </c>
      <c r="G1074" s="60"/>
      <c r="H1074" s="60" t="str">
        <f>IFERROR(INDEX('Docketed Comments'!C:C,MATCH(A1074,'Docketed Comments'!H:H,0))&amp;", "&amp;INDEX('Docketed Comments'!B:B,MATCH(A1074,'Docketed Comments'!H:H,0)),"")</f>
        <v>Jayesh, Premjee</v>
      </c>
      <c r="I1074" s="60" t="str">
        <f>IFERROR(INDEX('Docketed Comments'!D:D,MATCH(A1074,'Docketed Comments'!H:H,0)),"")</f>
        <v>Peoria</v>
      </c>
      <c r="J1074" s="60" t="str">
        <f>IFERROR(INDEX('Docketed Comments'!I:I,MATCH(A1074,'Docketed Comments'!H:H,0)),"")</f>
        <v>RTOUE47</v>
      </c>
      <c r="K1074" s="60" t="str">
        <f t="shared" si="33"/>
        <v>❌ Not on Best Plan</v>
      </c>
      <c r="L1074" s="60" t="str">
        <f>IFERROR(INDEX('Docketed Comments'!F:F,MATCH(A1074,'Docketed Comments'!H:H,0)),"")</f>
        <v>Financial burden</v>
      </c>
      <c r="M1074" s="120" t="str">
        <f>IFERROR(INDEX('Docketed Comments'!G:G,MATCH(A1074,'Docketed Comments'!H:H,0)),"")</f>
        <v>https://images.edocket.azcc.gov/docketpdf/E000046190.pdf</v>
      </c>
      <c r="N1074" s="118" t="str">
        <f>IFERROR(INDEX('Docketed Comments'!N:N,MATCH(A1074,'Docketed Comments'!H:H,0)),"")</f>
        <v>No</v>
      </c>
      <c r="O1074" s="118" t="str">
        <f>IFERROR(INDEX('Docketed Comments'!L:L,MATCH(A1074,'Docketed Comments'!H:H,0)),"")</f>
        <v>No MEP R3-47($176.22)</v>
      </c>
      <c r="P1074" s="119">
        <f t="shared" si="32"/>
        <v>176.22</v>
      </c>
      <c r="Q1074" s="60" t="s">
        <v>23</v>
      </c>
      <c r="R1074" s="64" t="s">
        <v>24</v>
      </c>
      <c r="S1074" s="64" t="s">
        <v>2274</v>
      </c>
    </row>
    <row r="1075" spans="1:19" ht="21.95" hidden="1" customHeight="1">
      <c r="A1075" s="66" t="s">
        <v>2275</v>
      </c>
      <c r="B1075" s="64" t="s">
        <v>20</v>
      </c>
      <c r="C1075" s="65">
        <v>45997</v>
      </c>
      <c r="D1075" s="64" t="s">
        <v>21</v>
      </c>
      <c r="E1075" s="64" t="s">
        <v>22</v>
      </c>
      <c r="F1075" s="60" t="s">
        <v>2276</v>
      </c>
      <c r="G1075" s="60"/>
      <c r="H1075" s="60" t="str">
        <f>IFERROR(INDEX('Docketed Comments'!C:C,MATCH(A1075,'Docketed Comments'!H:H,0))&amp;", "&amp;INDEX('Docketed Comments'!B:B,MATCH(A1075,'Docketed Comments'!H:H,0)),"")</f>
        <v>Jared, Brooksby</v>
      </c>
      <c r="I1075" s="60" t="str">
        <f>IFERROR(INDEX('Docketed Comments'!D:D,MATCH(A1075,'Docketed Comments'!H:H,0)),"")</f>
        <v>Phoenix</v>
      </c>
      <c r="J1075" s="60" t="str">
        <f>IFERROR(INDEX('Docketed Comments'!I:I,MATCH(A1075,'Docketed Comments'!H:H,0)),"")</f>
        <v>R-XS</v>
      </c>
      <c r="K1075" s="60" t="str">
        <f t="shared" si="33"/>
        <v>✅ On Best Plan</v>
      </c>
      <c r="L1075" s="60" t="str">
        <f>IFERROR(INDEX('Docketed Comments'!F:F,MATCH(A1075,'Docketed Comments'!H:H,0)),"")</f>
        <v>Impossible to keep up with</v>
      </c>
      <c r="M1075" s="120" t="str">
        <f>IFERROR(INDEX('Docketed Comments'!G:G,MATCH(A1075,'Docketed Comments'!H:H,0)),"")</f>
        <v>https://images.edocket.azcc.gov/docketpdf/E000046230.pdf</v>
      </c>
      <c r="N1075" s="118" t="str">
        <f>IFERROR(INDEX('Docketed Comments'!N:N,MATCH(A1075,'Docketed Comments'!H:H,0)),"")</f>
        <v>No</v>
      </c>
      <c r="O1075" s="118" t="str">
        <f>IFERROR(INDEX('Docketed Comments'!L:L,MATCH(A1075,'Docketed Comments'!H:H,0)),"")</f>
        <v>Yes</v>
      </c>
      <c r="P1075" s="119">
        <f t="shared" si="32"/>
        <v>0</v>
      </c>
      <c r="Q1075" s="60" t="s">
        <v>23</v>
      </c>
      <c r="R1075" s="64" t="s">
        <v>24</v>
      </c>
      <c r="S1075" s="64" t="s">
        <v>2277</v>
      </c>
    </row>
    <row r="1076" spans="1:19" ht="21.95" hidden="1" customHeight="1">
      <c r="A1076" s="66" t="s">
        <v>2278</v>
      </c>
      <c r="B1076" s="64" t="s">
        <v>20</v>
      </c>
      <c r="C1076" s="65">
        <v>45997</v>
      </c>
      <c r="D1076" s="64" t="s">
        <v>27</v>
      </c>
      <c r="E1076" s="64" t="s">
        <v>22</v>
      </c>
      <c r="F1076" s="60" t="s">
        <v>2279</v>
      </c>
      <c r="G1076" s="60"/>
      <c r="H1076" s="60" t="str">
        <f>IFERROR(INDEX('Docketed Comments'!C:C,MATCH(A1076,'Docketed Comments'!H:H,0))&amp;", "&amp;INDEX('Docketed Comments'!B:B,MATCH(A1076,'Docketed Comments'!H:H,0)),"")</f>
        <v>Steven, Snyder</v>
      </c>
      <c r="I1076" s="60" t="str">
        <f>IFERROR(INDEX('Docketed Comments'!D:D,MATCH(A1076,'Docketed Comments'!H:H,0)),"")</f>
        <v>Phoenix</v>
      </c>
      <c r="J1076" s="60" t="str">
        <f>IFERROR(INDEX('Docketed Comments'!I:I,MATCH(A1076,'Docketed Comments'!H:H,0)),"")</f>
        <v>R3-47</v>
      </c>
      <c r="K1076" s="60" t="str">
        <f t="shared" si="33"/>
        <v>❌ Not on Best Plan</v>
      </c>
      <c r="L1076" s="60" t="str">
        <f>IFERROR(INDEX('Docketed Comments'!F:F,MATCH(A1076,'Docketed Comments'!H:H,0)),"")</f>
        <v>Opposed</v>
      </c>
      <c r="M1076" s="120" t="str">
        <f>IFERROR(INDEX('Docketed Comments'!G:G,MATCH(A1076,'Docketed Comments'!H:H,0)),"")</f>
        <v>https://images.edocket.azcc.gov/docketpdf/E000044846.pdf</v>
      </c>
      <c r="N1076" s="118" t="str">
        <f>IFERROR(INDEX('Docketed Comments'!N:N,MATCH(A1076,'Docketed Comments'!H:H,0)),"")</f>
        <v>No</v>
      </c>
      <c r="O1076" s="118" t="str">
        <f>IFERROR(INDEX('Docketed Comments'!L:L,MATCH(A1076,'Docketed Comments'!H:H,0)),"")</f>
        <v>No MEP R-XS ($110.29)</v>
      </c>
      <c r="P1076" s="119">
        <f t="shared" si="32"/>
        <v>110.29</v>
      </c>
      <c r="Q1076" s="60" t="s">
        <v>23</v>
      </c>
      <c r="R1076" s="64" t="s">
        <v>24</v>
      </c>
      <c r="S1076" s="64" t="s">
        <v>2280</v>
      </c>
    </row>
    <row r="1077" spans="1:19" ht="21.95" hidden="1" customHeight="1">
      <c r="A1077" s="66" t="s">
        <v>2281</v>
      </c>
      <c r="B1077" s="64" t="s">
        <v>20</v>
      </c>
      <c r="C1077" s="65">
        <v>45997</v>
      </c>
      <c r="D1077" s="64" t="s">
        <v>27</v>
      </c>
      <c r="E1077" s="64" t="s">
        <v>22</v>
      </c>
      <c r="F1077" s="60" t="s">
        <v>2282</v>
      </c>
      <c r="G1077" s="60"/>
      <c r="H1077" s="60" t="str">
        <f>IFERROR(INDEX('Docketed Comments'!C:C,MATCH(A1077,'Docketed Comments'!H:H,0))&amp;", "&amp;INDEX('Docketed Comments'!B:B,MATCH(A1077,'Docketed Comments'!H:H,0)),"")</f>
        <v>Wayne, Kaplan</v>
      </c>
      <c r="I1077" s="60" t="str">
        <f>IFERROR(INDEX('Docketed Comments'!D:D,MATCH(A1077,'Docketed Comments'!H:H,0)),"")</f>
        <v>Unknown</v>
      </c>
      <c r="J1077" s="60" t="str">
        <f>IFERROR(INDEX('Docketed Comments'!I:I,MATCH(A1077,'Docketed Comments'!H:H,0)),"")</f>
        <v>R-XS</v>
      </c>
      <c r="K1077" s="60" t="str">
        <f t="shared" si="33"/>
        <v>✅ On Best Plan</v>
      </c>
      <c r="L1077" s="60" t="str">
        <f>IFERROR(INDEX('Docketed Comments'!F:F,MATCH(A1077,'Docketed Comments'!H:H,0)),"")</f>
        <v>Opposed</v>
      </c>
      <c r="M1077" s="120" t="str">
        <f>IFERROR(INDEX('Docketed Comments'!G:G,MATCH(A1077,'Docketed Comments'!H:H,0)),"")</f>
        <v>https://images.edocket.azcc.gov/docketpdf/E000044840.pdf</v>
      </c>
      <c r="N1077" s="118" t="str">
        <f>IFERROR(INDEX('Docketed Comments'!N:N,MATCH(A1077,'Docketed Comments'!H:H,0)),"")</f>
        <v>No</v>
      </c>
      <c r="O1077" s="118" t="str">
        <f>IFERROR(INDEX('Docketed Comments'!L:L,MATCH(A1077,'Docketed Comments'!H:H,0)),"")</f>
        <v>Yes</v>
      </c>
      <c r="P1077" s="119">
        <f t="shared" si="32"/>
        <v>0</v>
      </c>
      <c r="Q1077" s="60" t="s">
        <v>23</v>
      </c>
      <c r="R1077" s="64" t="s">
        <v>24</v>
      </c>
      <c r="S1077" s="64" t="s">
        <v>2283</v>
      </c>
    </row>
    <row r="1078" spans="1:19" ht="21.95" hidden="1" customHeight="1">
      <c r="A1078" s="66" t="s">
        <v>2284</v>
      </c>
      <c r="B1078" s="64" t="s">
        <v>31</v>
      </c>
      <c r="C1078" s="65">
        <v>46011</v>
      </c>
      <c r="D1078" s="64" t="s">
        <v>27</v>
      </c>
      <c r="E1078" s="64" t="s">
        <v>214</v>
      </c>
      <c r="F1078" s="60" t="s">
        <v>2285</v>
      </c>
      <c r="G1078" s="60"/>
      <c r="H1078" s="60" t="str">
        <f>IFERROR(INDEX('Docketed Comments'!C:C,MATCH(A1078,'Docketed Comments'!H:H,0))&amp;", "&amp;INDEX('Docketed Comments'!B:B,MATCH(A1078,'Docketed Comments'!H:H,0)),"")</f>
        <v>Gerardo, Lara</v>
      </c>
      <c r="I1078" s="60" t="str">
        <f>IFERROR(INDEX('Docketed Comments'!D:D,MATCH(A1078,'Docketed Comments'!H:H,0)),"")</f>
        <v>Glendale</v>
      </c>
      <c r="J1078" s="60" t="str">
        <f>IFERROR(INDEX('Docketed Comments'!I:I,MATCH(A1078,'Docketed Comments'!H:H,0)),"")</f>
        <v>R-BASICL</v>
      </c>
      <c r="K1078" s="60" t="str">
        <f t="shared" si="33"/>
        <v>❌ Not on Best Plan</v>
      </c>
      <c r="L1078" s="60" t="str">
        <f>IFERROR(INDEX('Docketed Comments'!F:F,MATCH(A1078,'Docketed Comments'!H:H,0)),"")</f>
        <v>Form letter</v>
      </c>
      <c r="M1078" s="120" t="str">
        <f>IFERROR(INDEX('Docketed Comments'!G:G,MATCH(A1078,'Docketed Comments'!H:H,0)),"")</f>
        <v>https://images.edocket.azcc.gov/docketpdf/E000046155.pdf</v>
      </c>
      <c r="N1078" s="118">
        <f>IFERROR(INDEX('Docketed Comments'!N:N,MATCH(A1078,'Docketed Comments'!H:H,0)),"")</f>
        <v>591.48</v>
      </c>
      <c r="O1078" s="118" t="str">
        <f>IFERROR(INDEX('Docketed Comments'!L:L,MATCH(A1078,'Docketed Comments'!H:H,0)),"")</f>
        <v>No MEP R3-47(249.30)</v>
      </c>
      <c r="P1078" s="119">
        <f t="shared" si="32"/>
        <v>249.3</v>
      </c>
      <c r="Q1078" s="60" t="s">
        <v>23</v>
      </c>
      <c r="R1078" s="64" t="s">
        <v>24</v>
      </c>
      <c r="S1078" s="124" t="s">
        <v>2286</v>
      </c>
    </row>
    <row r="1079" spans="1:19" ht="21.95" hidden="1" customHeight="1">
      <c r="A1079" s="66" t="s">
        <v>2287</v>
      </c>
      <c r="B1079" s="64" t="s">
        <v>31</v>
      </c>
      <c r="C1079" s="65">
        <v>45997</v>
      </c>
      <c r="D1079" s="64"/>
      <c r="E1079" s="64" t="s">
        <v>22</v>
      </c>
      <c r="F1079" s="60" t="s">
        <v>2288</v>
      </c>
      <c r="G1079" s="60"/>
      <c r="H1079" s="60" t="str">
        <f>IFERROR(INDEX('Docketed Comments'!C:C,MATCH(A1079,'Docketed Comments'!H:H,0))&amp;", "&amp;INDEX('Docketed Comments'!B:B,MATCH(A1079,'Docketed Comments'!H:H,0)),"")</f>
        <v>Sndney, Beame</v>
      </c>
      <c r="I1079" s="60" t="str">
        <f>IFERROR(INDEX('Docketed Comments'!D:D,MATCH(A1079,'Docketed Comments'!H:H,0)),"")</f>
        <v>Unknown</v>
      </c>
      <c r="J1079" s="60" t="str">
        <f>IFERROR(INDEX('Docketed Comments'!I:I,MATCH(A1079,'Docketed Comments'!H:H,0)),"")</f>
        <v>R-BASICL</v>
      </c>
      <c r="K1079" s="60" t="str">
        <f t="shared" si="33"/>
        <v>❌ Not on Best Plan</v>
      </c>
      <c r="L1079" s="60" t="str">
        <f>IFERROR(INDEX('Docketed Comments'!F:F,MATCH(A1079,'Docketed Comments'!H:H,0)),"")</f>
        <v>Opposed/Senior/fixed income</v>
      </c>
      <c r="M1079" s="120" t="str">
        <f>IFERROR(INDEX('Docketed Comments'!G:G,MATCH(A1079,'Docketed Comments'!H:H,0)),"")</f>
        <v>https://images.edocket.azcc.gov/docketpdf/E000044169.pdf</v>
      </c>
      <c r="N1079" s="118" t="str">
        <f>IFERROR(INDEX('Docketed Comments'!N:N,MATCH(A1079,'Docketed Comments'!H:H,0)),"")</f>
        <v>No</v>
      </c>
      <c r="O1079" s="118" t="str">
        <f>IFERROR(INDEX('Docketed Comments'!L:L,MATCH(A1079,'Docketed Comments'!H:H,0)),"")</f>
        <v>No - MEP R3-47 ($192.78)</v>
      </c>
      <c r="P1079" s="119">
        <f t="shared" si="32"/>
        <v>192.78</v>
      </c>
      <c r="Q1079" s="60" t="s">
        <v>23</v>
      </c>
      <c r="R1079" s="64" t="s">
        <v>24</v>
      </c>
      <c r="S1079" s="64" t="s">
        <v>2289</v>
      </c>
    </row>
    <row r="1080" spans="1:19" ht="21.95" hidden="1" customHeight="1">
      <c r="A1080" s="66" t="s">
        <v>2290</v>
      </c>
      <c r="B1080" s="64" t="s">
        <v>31</v>
      </c>
      <c r="C1080" s="65">
        <v>45997</v>
      </c>
      <c r="D1080" s="64" t="s">
        <v>21</v>
      </c>
      <c r="E1080" s="64" t="s">
        <v>22</v>
      </c>
      <c r="F1080" s="60" t="s">
        <v>2242</v>
      </c>
      <c r="G1080" s="60"/>
      <c r="H1080" s="60" t="str">
        <f>IFERROR(INDEX('Docketed Comments'!C:C,MATCH(A1080,'Docketed Comments'!H:H,0))&amp;", "&amp;INDEX('Docketed Comments'!B:B,MATCH(A1080,'Docketed Comments'!H:H,0)),"")</f>
        <v>David &amp; Donna, Driscoll</v>
      </c>
      <c r="I1080" s="60" t="str">
        <f>IFERROR(INDEX('Docketed Comments'!D:D,MATCH(A1080,'Docketed Comments'!H:H,0)),"")</f>
        <v>Unknown</v>
      </c>
      <c r="J1080" s="60" t="str">
        <f>IFERROR(INDEX('Docketed Comments'!I:I,MATCH(A1080,'Docketed Comments'!H:H,0)),"")</f>
        <v>RCPw/RTOUE47</v>
      </c>
      <c r="K1080" s="60" t="str">
        <f t="shared" si="33"/>
        <v>⚠  No - MEP R3-47($151.35)</v>
      </c>
      <c r="L1080" s="60" t="str">
        <f>IFERROR(INDEX('Docketed Comments'!F:F,MATCH(A1080,'Docketed Comments'!H:H,0)),"")</f>
        <v>Opposed</v>
      </c>
      <c r="M1080" s="120" t="str">
        <f>IFERROR(INDEX('Docketed Comments'!G:G,MATCH(A1080,'Docketed Comments'!H:H,0)),"")</f>
        <v>https://images.edocket.azcc.gov/docketpdf/E000044766.pdf</v>
      </c>
      <c r="N1080" s="118" t="str">
        <f>IFERROR(INDEX('Docketed Comments'!N:N,MATCH(A1080,'Docketed Comments'!H:H,0)),"")</f>
        <v>No</v>
      </c>
      <c r="O1080" s="118" t="str">
        <f>IFERROR(INDEX('Docketed Comments'!L:L,MATCH(A1080,'Docketed Comments'!H:H,0)),"")</f>
        <v xml:space="preserve"> No - MEP R3-47($151.35)</v>
      </c>
      <c r="P1080" s="119">
        <f t="shared" si="32"/>
        <v>151.35</v>
      </c>
      <c r="Q1080" s="60" t="s">
        <v>23</v>
      </c>
      <c r="R1080" s="64" t="s">
        <v>24</v>
      </c>
      <c r="S1080" s="64" t="s">
        <v>2291</v>
      </c>
    </row>
    <row r="1081" spans="1:19" ht="21.95" hidden="1" customHeight="1">
      <c r="A1081" s="66" t="s">
        <v>2292</v>
      </c>
      <c r="B1081" s="64" t="s">
        <v>31</v>
      </c>
      <c r="C1081" s="65">
        <v>46011</v>
      </c>
      <c r="D1081" s="64" t="s">
        <v>27</v>
      </c>
      <c r="E1081" s="64" t="s">
        <v>22</v>
      </c>
      <c r="F1081" s="60" t="s">
        <v>2293</v>
      </c>
      <c r="G1081" s="60"/>
      <c r="H1081" s="60" t="str">
        <f>IFERROR(INDEX('Docketed Comments'!C:C,MATCH(A1081,'Docketed Comments'!H:H,0))&amp;", "&amp;INDEX('Docketed Comments'!B:B,MATCH(A1081,'Docketed Comments'!H:H,0)),"")</f>
        <v>Jared, Geyer</v>
      </c>
      <c r="I1081" s="60" t="str">
        <f>IFERROR(INDEX('Docketed Comments'!D:D,MATCH(A1081,'Docketed Comments'!H:H,0)),"")</f>
        <v>Scottsdale</v>
      </c>
      <c r="J1081" s="60" t="str">
        <f>IFERROR(INDEX('Docketed Comments'!I:I,MATCH(A1081,'Docketed Comments'!H:H,0)),"")</f>
        <v>R-BASICL</v>
      </c>
      <c r="K1081" s="60" t="str">
        <f t="shared" si="33"/>
        <v>❌ Not on Best Plan</v>
      </c>
      <c r="L1081" s="60" t="str">
        <f>IFERROR(INDEX('Docketed Comments'!F:F,MATCH(A1081,'Docketed Comments'!H:H,0)),"")</f>
        <v>Opposed</v>
      </c>
      <c r="M1081" s="120" t="str">
        <f>IFERROR(INDEX('Docketed Comments'!G:G,MATCH(A1081,'Docketed Comments'!H:H,0)),"")</f>
        <v>https://images.edocket.azcc.gov/docketpdf/E000044846.pdf</v>
      </c>
      <c r="N1081" s="118" t="str">
        <f>IFERROR(INDEX('Docketed Comments'!N:N,MATCH(A1081,'Docketed Comments'!H:H,0)),"")</f>
        <v>No</v>
      </c>
      <c r="O1081" s="118" t="str">
        <f>IFERROR(INDEX('Docketed Comments'!L:L,MATCH(A1081,'Docketed Comments'!H:H,0)),"")</f>
        <v>No MEP R3-47 ($36.88)</v>
      </c>
      <c r="P1081" s="119">
        <f t="shared" si="32"/>
        <v>36.880000000000003</v>
      </c>
      <c r="Q1081" s="60" t="s">
        <v>23</v>
      </c>
      <c r="R1081" s="64" t="s">
        <v>24</v>
      </c>
      <c r="S1081" s="64" t="s">
        <v>2294</v>
      </c>
    </row>
    <row r="1082" spans="1:19" ht="21.95" hidden="1" customHeight="1">
      <c r="A1082" s="66" t="s">
        <v>2295</v>
      </c>
      <c r="B1082" s="64" t="s">
        <v>31</v>
      </c>
      <c r="C1082" s="65">
        <v>46011</v>
      </c>
      <c r="D1082" s="64" t="s">
        <v>21</v>
      </c>
      <c r="E1082" s="64" t="s">
        <v>22</v>
      </c>
      <c r="F1082" s="60" t="s">
        <v>60</v>
      </c>
      <c r="G1082" s="60"/>
      <c r="H1082" s="60" t="str">
        <f>IFERROR(INDEX('Docketed Comments'!C:C,MATCH(A1082,'Docketed Comments'!H:H,0))&amp;", "&amp;INDEX('Docketed Comments'!B:B,MATCH(A1082,'Docketed Comments'!H:H,0)),"")</f>
        <v>Annette, Saporito</v>
      </c>
      <c r="I1082" s="60" t="str">
        <f>IFERROR(INDEX('Docketed Comments'!D:D,MATCH(A1082,'Docketed Comments'!H:H,0)),"")</f>
        <v>Cave Creek</v>
      </c>
      <c r="J1082" s="60" t="str">
        <f>IFERROR(INDEX('Docketed Comments'!I:I,MATCH(A1082,'Docketed Comments'!H:H,0)),"")</f>
        <v xml:space="preserve">RTOUE47  </v>
      </c>
      <c r="K1082" s="60" t="str">
        <f t="shared" si="33"/>
        <v>❌ Not on Best Plan</v>
      </c>
      <c r="L1082" s="60" t="str">
        <f>IFERROR(INDEX('Docketed Comments'!F:F,MATCH(A1082,'Docketed Comments'!H:H,0)),"")</f>
        <v>Opposed</v>
      </c>
      <c r="M1082" s="120" t="str">
        <f>IFERROR(INDEX('Docketed Comments'!G:G,MATCH(A1082,'Docketed Comments'!H:H,0)),"")</f>
        <v>https://images.edocket.azcc.gov/docketpdf/E000044840.pdf</v>
      </c>
      <c r="N1082" s="118" t="str">
        <f>IFERROR(INDEX('Docketed Comments'!N:N,MATCH(A1082,'Docketed Comments'!H:H,0)),"")</f>
        <v>No</v>
      </c>
      <c r="O1082" s="118" t="str">
        <f>IFERROR(INDEX('Docketed Comments'!L:L,MATCH(A1082,'Docketed Comments'!H:H,0)),"")</f>
        <v>No R3-47 ($439.74)</v>
      </c>
      <c r="P1082" s="119">
        <f t="shared" si="32"/>
        <v>439.74</v>
      </c>
      <c r="Q1082" s="60" t="s">
        <v>23</v>
      </c>
      <c r="R1082" s="64" t="s">
        <v>24</v>
      </c>
      <c r="S1082" s="64" t="s">
        <v>2296</v>
      </c>
    </row>
    <row r="1083" spans="1:19" ht="21.95" hidden="1" customHeight="1">
      <c r="A1083" s="66" t="s">
        <v>2297</v>
      </c>
      <c r="B1083" s="64" t="s">
        <v>31</v>
      </c>
      <c r="C1083" s="65">
        <v>46011</v>
      </c>
      <c r="D1083" s="64" t="s">
        <v>21</v>
      </c>
      <c r="E1083" s="64" t="s">
        <v>22</v>
      </c>
      <c r="F1083" s="60" t="s">
        <v>60</v>
      </c>
      <c r="G1083" s="60"/>
      <c r="H1083" s="60" t="str">
        <f>IFERROR(INDEX('Docketed Comments'!C:C,MATCH(A1083,'Docketed Comments'!H:H,0))&amp;", "&amp;INDEX('Docketed Comments'!B:B,MATCH(A1083,'Docketed Comments'!H:H,0)),"")</f>
        <v>Jonathan, Luther</v>
      </c>
      <c r="I1083" s="60" t="str">
        <f>IFERROR(INDEX('Docketed Comments'!D:D,MATCH(A1083,'Docketed Comments'!H:H,0)),"")</f>
        <v>Phoenix</v>
      </c>
      <c r="J1083" s="60" t="str">
        <f>IFERROR(INDEX('Docketed Comments'!I:I,MATCH(A1083,'Docketed Comments'!H:H,0)),"")</f>
        <v>RTOUE47</v>
      </c>
      <c r="K1083" s="60" t="str">
        <f t="shared" si="33"/>
        <v>❌ Not on Best Plan</v>
      </c>
      <c r="L1083" s="60" t="str">
        <f>IFERROR(INDEX('Docketed Comments'!F:F,MATCH(A1083,'Docketed Comments'!H:H,0)),"")</f>
        <v xml:space="preserve">Opposed </v>
      </c>
      <c r="M1083" s="120">
        <f>IFERROR(INDEX('Docketed Comments'!G:G,MATCH(A1083,'Docketed Comments'!H:H,0)),"")</f>
        <v>0</v>
      </c>
      <c r="N1083" s="118" t="str">
        <f>IFERROR(INDEX('Docketed Comments'!N:N,MATCH(A1083,'Docketed Comments'!H:H,0)),"")</f>
        <v>No</v>
      </c>
      <c r="O1083" s="118" t="str">
        <f>IFERROR(INDEX('Docketed Comments'!L:L,MATCH(A1083,'Docketed Comments'!H:H,0)),"")</f>
        <v>No-MEP R3-47($5.29)</v>
      </c>
      <c r="P1083" s="119">
        <f t="shared" si="32"/>
        <v>5.29</v>
      </c>
      <c r="Q1083" s="60" t="s">
        <v>23</v>
      </c>
      <c r="R1083" s="64" t="s">
        <v>24</v>
      </c>
      <c r="S1083" s="64" t="s">
        <v>2298</v>
      </c>
    </row>
    <row r="1084" spans="1:19" ht="21.95" hidden="1" customHeight="1">
      <c r="A1084" s="66" t="s">
        <v>2299</v>
      </c>
      <c r="B1084" s="64" t="s">
        <v>31</v>
      </c>
      <c r="C1084" s="65">
        <v>46011</v>
      </c>
      <c r="D1084" s="64"/>
      <c r="E1084" s="64" t="s">
        <v>68</v>
      </c>
      <c r="F1084" s="60" t="s">
        <v>467</v>
      </c>
      <c r="G1084" s="60"/>
      <c r="H1084" s="60" t="str">
        <f>IFERROR(INDEX('Docketed Comments'!C:C,MATCH(A1084,'Docketed Comments'!H:H,0))&amp;", "&amp;INDEX('Docketed Comments'!B:B,MATCH(A1084,'Docketed Comments'!H:H,0)),"")</f>
        <v>Antoinette, Beiser</v>
      </c>
      <c r="I1084" s="60" t="str">
        <f>IFERROR(INDEX('Docketed Comments'!D:D,MATCH(A1084,'Docketed Comments'!H:H,0)),"")</f>
        <v>Sedona</v>
      </c>
      <c r="J1084" s="60" t="str">
        <f>IFERROR(INDEX('Docketed Comments'!I:I,MATCH(A1084,'Docketed Comments'!H:H,0)),"")</f>
        <v>R-BASICL</v>
      </c>
      <c r="K1084" s="60" t="str">
        <f t="shared" si="33"/>
        <v>❌ Not on Best Plan</v>
      </c>
      <c r="L1084" s="60" t="str">
        <f>IFERROR(INDEX('Docketed Comments'!F:F,MATCH(A1084,'Docketed Comments'!H:H,0)),"")</f>
        <v>Opposed</v>
      </c>
      <c r="M1084" s="120" t="str">
        <f>IFERROR(INDEX('Docketed Comments'!G:G,MATCH(A1084,'Docketed Comments'!H:H,0)),"")</f>
        <v>https://images.edocket.azcc.gov/docketpdf/E000045169.pdf</v>
      </c>
      <c r="N1084" s="118" t="str">
        <f>IFERROR(INDEX('Docketed Comments'!N:N,MATCH(A1084,'Docketed Comments'!H:H,0)),"")</f>
        <v>No</v>
      </c>
      <c r="O1084" s="118" t="str">
        <f>IFERROR(INDEX('Docketed Comments'!L:L,MATCH(A1084,'Docketed Comments'!H:H,0)),"")</f>
        <v>No MEP R3-47($267.12)</v>
      </c>
      <c r="P1084" s="119">
        <f t="shared" si="32"/>
        <v>267.12</v>
      </c>
      <c r="Q1084" s="60" t="s">
        <v>23</v>
      </c>
      <c r="R1084" s="64" t="s">
        <v>24</v>
      </c>
      <c r="S1084" s="64" t="s">
        <v>2300</v>
      </c>
    </row>
    <row r="1085" spans="1:19" ht="21.95" hidden="1" customHeight="1">
      <c r="A1085" s="66" t="s">
        <v>2301</v>
      </c>
      <c r="B1085" s="64" t="s">
        <v>31</v>
      </c>
      <c r="C1085" s="65">
        <v>46011</v>
      </c>
      <c r="D1085" s="64" t="s">
        <v>21</v>
      </c>
      <c r="E1085" s="64" t="s">
        <v>22</v>
      </c>
      <c r="F1085" s="60" t="s">
        <v>432</v>
      </c>
      <c r="G1085" s="60"/>
      <c r="H1085" s="60" t="str">
        <f>IFERROR(INDEX('Docketed Comments'!C:C,MATCH(A1085,'Docketed Comments'!H:H,0))&amp;", "&amp;INDEX('Docketed Comments'!B:B,MATCH(A1085,'Docketed Comments'!H:H,0)),"")</f>
        <v>Valerie, Starr</v>
      </c>
      <c r="I1085" s="60" t="str">
        <f>IFERROR(INDEX('Docketed Comments'!D:D,MATCH(A1085,'Docketed Comments'!H:H,0)),"")</f>
        <v>Payson</v>
      </c>
      <c r="J1085" s="60" t="str">
        <f>IFERROR(INDEX('Docketed Comments'!I:I,MATCH(A1085,'Docketed Comments'!H:H,0)),"")</f>
        <v>R-BASICL</v>
      </c>
      <c r="K1085" s="60" t="str">
        <f t="shared" si="33"/>
        <v>❌ Not on Best Plan</v>
      </c>
      <c r="L1085" s="60" t="str">
        <f>IFERROR(INDEX('Docketed Comments'!F:F,MATCH(A1085,'Docketed Comments'!H:H,0)),"")</f>
        <v>Opposed / Greed</v>
      </c>
      <c r="M1085" s="120" t="str">
        <f>IFERROR(INDEX('Docketed Comments'!G:G,MATCH(A1085,'Docketed Comments'!H:H,0)),"")</f>
        <v>https://images.edocket.azcc.gov/docketpdf/E000045309.pdf</v>
      </c>
      <c r="N1085" s="118" t="str">
        <f>IFERROR(INDEX('Docketed Comments'!N:N,MATCH(A1085,'Docketed Comments'!H:H,0)),"")</f>
        <v>No</v>
      </c>
      <c r="O1085" s="118" t="str">
        <f>IFERROR(INDEX('Docketed Comments'!L:L,MATCH(A1085,'Docketed Comments'!H:H,0)),"")</f>
        <v>No MEP R3-47 ($337.28)</v>
      </c>
      <c r="P1085" s="119">
        <f t="shared" si="32"/>
        <v>337.28</v>
      </c>
      <c r="Q1085" s="60" t="s">
        <v>23</v>
      </c>
      <c r="R1085" s="64" t="s">
        <v>24</v>
      </c>
      <c r="S1085" s="64" t="s">
        <v>2302</v>
      </c>
    </row>
    <row r="1086" spans="1:19" ht="21.95" hidden="1" customHeight="1">
      <c r="A1086" s="66" t="s">
        <v>2303</v>
      </c>
      <c r="B1086" s="64" t="s">
        <v>31</v>
      </c>
      <c r="C1086" s="65">
        <v>46011</v>
      </c>
      <c r="D1086" s="64"/>
      <c r="E1086" s="64" t="s">
        <v>68</v>
      </c>
      <c r="F1086" s="60" t="s">
        <v>2304</v>
      </c>
      <c r="G1086" s="60"/>
      <c r="H1086" s="60" t="str">
        <f>IFERROR(INDEX('Docketed Comments'!C:C,MATCH(A1086,'Docketed Comments'!H:H,0))&amp;", "&amp;INDEX('Docketed Comments'!B:B,MATCH(A1086,'Docketed Comments'!H:H,0)),"")</f>
        <v>Teresa, Hill</v>
      </c>
      <c r="I1086" s="60" t="str">
        <f>IFERROR(INDEX('Docketed Comments'!D:D,MATCH(A1086,'Docketed Comments'!H:H,0)),"")</f>
        <v>Phoenix</v>
      </c>
      <c r="J1086" s="60" t="str">
        <f>IFERROR(INDEX('Docketed Comments'!I:I,MATCH(A1086,'Docketed Comments'!H:H,0)),"")</f>
        <v>R3-47</v>
      </c>
      <c r="K1086" s="60" t="str">
        <f t="shared" si="33"/>
        <v>❌ Not on Best Plan</v>
      </c>
      <c r="L1086" s="60" t="str">
        <f>IFERROR(INDEX('Docketed Comments'!F:F,MATCH(A1086,'Docketed Comments'!H:H,0)),"")</f>
        <v>Senior/Fixed Income/ Data Centers</v>
      </c>
      <c r="M1086" s="120" t="str">
        <f>IFERROR(INDEX('Docketed Comments'!G:G,MATCH(A1086,'Docketed Comments'!H:H,0)),"")</f>
        <v>https://images.edocket.azcc.gov/docketpdf/E000045376.pdf</v>
      </c>
      <c r="N1086" s="118" t="str">
        <f>IFERROR(INDEX('Docketed Comments'!N:N,MATCH(A1086,'Docketed Comments'!H:H,0)),"")</f>
        <v>No</v>
      </c>
      <c r="O1086" s="118" t="str">
        <f>IFERROR(INDEX('Docketed Comments'!L:L,MATCH(A1086,'Docketed Comments'!H:H,0)),"")</f>
        <v>No MEP R-XS ($136.97)</v>
      </c>
      <c r="P1086" s="119">
        <f t="shared" si="32"/>
        <v>136.97</v>
      </c>
      <c r="Q1086" s="60" t="s">
        <v>23</v>
      </c>
      <c r="R1086" s="64" t="s">
        <v>24</v>
      </c>
      <c r="S1086" s="124" t="s">
        <v>2305</v>
      </c>
    </row>
    <row r="1087" spans="1:19" ht="21.95" hidden="1" customHeight="1">
      <c r="A1087" s="66" t="s">
        <v>2306</v>
      </c>
      <c r="B1087" s="64" t="s">
        <v>20</v>
      </c>
      <c r="C1087" s="65">
        <v>45997</v>
      </c>
      <c r="D1087" s="64" t="s">
        <v>27</v>
      </c>
      <c r="E1087" s="64" t="s">
        <v>22</v>
      </c>
      <c r="F1087" s="60" t="s">
        <v>2307</v>
      </c>
      <c r="G1087" s="60"/>
      <c r="H1087" s="60" t="str">
        <f>IFERROR(INDEX('Docketed Comments'!C:C,MATCH(A1087,'Docketed Comments'!H:H,0))&amp;", "&amp;INDEX('Docketed Comments'!B:B,MATCH(A1087,'Docketed Comments'!H:H,0)),"")</f>
        <v>Rohna, Hines</v>
      </c>
      <c r="I1087" s="60" t="str">
        <f>IFERROR(INDEX('Docketed Comments'!D:D,MATCH(A1087,'Docketed Comments'!H:H,0)),"")</f>
        <v>Unknown</v>
      </c>
      <c r="J1087" s="60" t="str">
        <f>IFERROR(INDEX('Docketed Comments'!I:I,MATCH(A1087,'Docketed Comments'!H:H,0)),"")</f>
        <v>RTOUE47</v>
      </c>
      <c r="K1087" s="60" t="str">
        <f t="shared" si="33"/>
        <v>❌ Not on Best Plan</v>
      </c>
      <c r="L1087" s="60" t="str">
        <f>IFERROR(INDEX('Docketed Comments'!F:F,MATCH(A1087,'Docketed Comments'!H:H,0)),"")</f>
        <v xml:space="preserve">Opposed </v>
      </c>
      <c r="M1087" s="120" t="str">
        <f>IFERROR(INDEX('Docketed Comments'!G:G,MATCH(A1087,'Docketed Comments'!H:H,0)),"")</f>
        <v>https://images.edocket.azcc.gov/docketpdf/E000046100.pdf</v>
      </c>
      <c r="N1087" s="118" t="str">
        <f>IFERROR(INDEX('Docketed Comments'!N:N,MATCH(A1087,'Docketed Comments'!H:H,0)),"")</f>
        <v>No</v>
      </c>
      <c r="O1087" s="118" t="str">
        <f>IFERROR(INDEX('Docketed Comments'!L:L,MATCH(A1087,'Docketed Comments'!H:H,0)),"")</f>
        <v>No MEP R-XS($77.28)</v>
      </c>
      <c r="P1087" s="119">
        <f t="shared" si="32"/>
        <v>77.28</v>
      </c>
      <c r="Q1087" s="60" t="s">
        <v>23</v>
      </c>
      <c r="R1087" s="64" t="s">
        <v>24</v>
      </c>
      <c r="S1087" s="64" t="s">
        <v>2308</v>
      </c>
    </row>
    <row r="1088" spans="1:19" ht="21.95" hidden="1" customHeight="1">
      <c r="A1088" s="66" t="s">
        <v>2309</v>
      </c>
      <c r="B1088" s="64" t="s">
        <v>31</v>
      </c>
      <c r="C1088" s="65">
        <v>46011</v>
      </c>
      <c r="D1088" s="64" t="s">
        <v>21</v>
      </c>
      <c r="E1088" s="64" t="s">
        <v>22</v>
      </c>
      <c r="F1088" s="60" t="s">
        <v>2310</v>
      </c>
      <c r="G1088" s="60"/>
      <c r="H1088" s="60" t="str">
        <f>IFERROR(INDEX('Docketed Comments'!C:C,MATCH(A1088,'Docketed Comments'!H:H,0))&amp;", "&amp;INDEX('Docketed Comments'!B:B,MATCH(A1088,'Docketed Comments'!H:H,0)),"")</f>
        <v>Corey, Snyder</v>
      </c>
      <c r="I1088" s="60" t="str">
        <f>IFERROR(INDEX('Docketed Comments'!D:D,MATCH(A1088,'Docketed Comments'!H:H,0)),"")</f>
        <v>Phoenix</v>
      </c>
      <c r="J1088" s="60" t="str">
        <f>IFERROR(INDEX('Docketed Comments'!I:I,MATCH(A1088,'Docketed Comments'!H:H,0)),"")</f>
        <v>R-BASICL</v>
      </c>
      <c r="K1088" s="60" t="str">
        <f t="shared" si="33"/>
        <v>❌ Not on Best Plan</v>
      </c>
      <c r="L1088" s="60" t="str">
        <f>IFERROR(INDEX('Docketed Comments'!F:F,MATCH(A1088,'Docketed Comments'!H:H,0)),"")</f>
        <v>Form letter</v>
      </c>
      <c r="M1088" s="120" t="str">
        <f>IFERROR(INDEX('Docketed Comments'!G:G,MATCH(A1088,'Docketed Comments'!H:H,0)),"")</f>
        <v>https://images.edocket.azcc.gov/docketpdf/E000046155.pdf</v>
      </c>
      <c r="N1088" s="118" t="str">
        <f>IFERROR(INDEX('Docketed Comments'!N:N,MATCH(A1088,'Docketed Comments'!H:H,0)),"")</f>
        <v>No</v>
      </c>
      <c r="O1088" s="118" t="str">
        <f>IFERROR(INDEX('Docketed Comments'!L:L,MATCH(A1088,'Docketed Comments'!H:H,0)),"")</f>
        <v>No MEP R3-47 ($1,048.14)</v>
      </c>
      <c r="P1088" s="119">
        <f t="shared" si="32"/>
        <v>1048.1400000000001</v>
      </c>
      <c r="Q1088" s="60" t="s">
        <v>23</v>
      </c>
      <c r="R1088" s="64" t="s">
        <v>24</v>
      </c>
      <c r="S1088" s="64" t="s">
        <v>2311</v>
      </c>
    </row>
    <row r="1089" spans="1:19" ht="21.95" hidden="1" customHeight="1">
      <c r="A1089" s="66" t="s">
        <v>2312</v>
      </c>
      <c r="B1089" s="64" t="s">
        <v>31</v>
      </c>
      <c r="C1089" s="65">
        <v>46011</v>
      </c>
      <c r="D1089" s="64" t="s">
        <v>21</v>
      </c>
      <c r="E1089" s="64" t="s">
        <v>22</v>
      </c>
      <c r="F1089" s="60"/>
      <c r="G1089" s="60"/>
      <c r="H1089" s="60" t="str">
        <f>IFERROR(INDEX('Docketed Comments'!C:C,MATCH(A1089,'Docketed Comments'!H:H,0))&amp;", "&amp;INDEX('Docketed Comments'!B:B,MATCH(A1089,'Docketed Comments'!H:H,0)),"")</f>
        <v>Leighton, Poe</v>
      </c>
      <c r="I1089" s="60" t="str">
        <f>IFERROR(INDEX('Docketed Comments'!D:D,MATCH(A1089,'Docketed Comments'!H:H,0)),"")</f>
        <v>Phoenix</v>
      </c>
      <c r="J1089" s="60" t="str">
        <f>IFERROR(INDEX('Docketed Comments'!I:I,MATCH(A1089,'Docketed Comments'!H:H,0)),"")</f>
        <v>R-BASIC</v>
      </c>
      <c r="K1089" s="60" t="str">
        <f t="shared" si="33"/>
        <v>❌ Not on Best Plan</v>
      </c>
      <c r="L1089" s="60" t="str">
        <f>IFERROR(INDEX('Docketed Comments'!F:F,MATCH(A1089,'Docketed Comments'!H:H,0)),"")</f>
        <v>Form letter</v>
      </c>
      <c r="M1089" s="120" t="str">
        <f>IFERROR(INDEX('Docketed Comments'!G:G,MATCH(A1089,'Docketed Comments'!H:H,0)),"")</f>
        <v>https://images.edocket.azcc.gov/docketpdf/E000046155.pdf</v>
      </c>
      <c r="N1089" s="118" t="str">
        <f>IFERROR(INDEX('Docketed Comments'!N:N,MATCH(A1089,'Docketed Comments'!H:H,0)),"")</f>
        <v>No</v>
      </c>
      <c r="O1089" s="118" t="str">
        <f>IFERROR(INDEX('Docketed Comments'!L:L,MATCH(A1089,'Docketed Comments'!H:H,0)),"")</f>
        <v>No MEP RTOUE47($74.06)</v>
      </c>
      <c r="P1089" s="119">
        <f t="shared" si="32"/>
        <v>74.06</v>
      </c>
      <c r="Q1089" s="60" t="s">
        <v>23</v>
      </c>
      <c r="R1089" s="64" t="s">
        <v>24</v>
      </c>
      <c r="S1089" s="64" t="s">
        <v>2313</v>
      </c>
    </row>
    <row r="1090" spans="1:19" ht="21.95" hidden="1" customHeight="1">
      <c r="A1090" s="66" t="s">
        <v>2314</v>
      </c>
      <c r="B1090" s="64" t="s">
        <v>31</v>
      </c>
      <c r="C1090" s="65">
        <v>46011</v>
      </c>
      <c r="D1090" s="64" t="s">
        <v>21</v>
      </c>
      <c r="E1090" s="64" t="s">
        <v>22</v>
      </c>
      <c r="F1090" s="60"/>
      <c r="G1090" s="60"/>
      <c r="H1090" s="60" t="str">
        <f>IFERROR(INDEX('Docketed Comments'!C:C,MATCH(A1090,'Docketed Comments'!H:H,0))&amp;", "&amp;INDEX('Docketed Comments'!B:B,MATCH(A1090,'Docketed Comments'!H:H,0)),"")</f>
        <v>Kyle, Torres</v>
      </c>
      <c r="I1090" s="60" t="str">
        <f>IFERROR(INDEX('Docketed Comments'!D:D,MATCH(A1090,'Docketed Comments'!H:H,0)),"")</f>
        <v>Phoenix</v>
      </c>
      <c r="J1090" s="60" t="str">
        <f>IFERROR(INDEX('Docketed Comments'!I:I,MATCH(A1090,'Docketed Comments'!H:H,0)),"")</f>
        <v>R-BASIC</v>
      </c>
      <c r="K1090" s="60" t="str">
        <f t="shared" si="33"/>
        <v>❌ Not on Best Plan</v>
      </c>
      <c r="L1090" s="60" t="str">
        <f>IFERROR(INDEX('Docketed Comments'!F:F,MATCH(A1090,'Docketed Comments'!H:H,0)),"")</f>
        <v>Form letter</v>
      </c>
      <c r="M1090" s="120" t="str">
        <f>IFERROR(INDEX('Docketed Comments'!G:G,MATCH(A1090,'Docketed Comments'!H:H,0)),"")</f>
        <v>https://images.edocket.azcc.gov/docketpdf/E000046155.pdf</v>
      </c>
      <c r="N1090" s="118" t="str">
        <f>IFERROR(INDEX('Docketed Comments'!N:N,MATCH(A1090,'Docketed Comments'!H:H,0)),"")</f>
        <v>No</v>
      </c>
      <c r="O1090" s="118" t="str">
        <f>IFERROR(INDEX('Docketed Comments'!L:L,MATCH(A1090,'Docketed Comments'!H:H,0)),"")</f>
        <v>No MEP R3-47($18.99)</v>
      </c>
      <c r="P1090" s="119">
        <f t="shared" ref="P1090:P1101" si="34">IFERROR(IF(ISNUMBER(SEARCH("$",O1090)),VALUE(SUBSTITUTE(SUBSTITUTE(MID(O1090,FIND("$",O1090)+1,FIND(")",O1090)-FIND("$",O1090)-1),",","")," ","")),VALUE(SUBSTITUTE(SUBSTITUTE(MID(O1090,FIND("(",O1090)+1,FIND(")",O1090)-FIND("(",O1090)-1),",","")," ",""))),0)</f>
        <v>18.989999999999998</v>
      </c>
      <c r="Q1090" s="60" t="s">
        <v>23</v>
      </c>
      <c r="R1090" s="64" t="s">
        <v>24</v>
      </c>
      <c r="S1090" s="64" t="s">
        <v>2315</v>
      </c>
    </row>
    <row r="1091" spans="1:19" ht="21.95" hidden="1" customHeight="1">
      <c r="A1091" s="66" t="s">
        <v>2316</v>
      </c>
      <c r="B1091" s="64" t="s">
        <v>31</v>
      </c>
      <c r="C1091" s="65">
        <v>46011</v>
      </c>
      <c r="D1091" s="64" t="s">
        <v>21</v>
      </c>
      <c r="E1091" s="64" t="s">
        <v>22</v>
      </c>
      <c r="F1091" s="60"/>
      <c r="G1091" s="60"/>
      <c r="H1091" s="60" t="str">
        <f>IFERROR(INDEX('Docketed Comments'!C:C,MATCH(A1091,'Docketed Comments'!H:H,0))&amp;", "&amp;INDEX('Docketed Comments'!B:B,MATCH(A1091,'Docketed Comments'!H:H,0)),"")</f>
        <v>Austin, Harmon</v>
      </c>
      <c r="I1091" s="60" t="str">
        <f>IFERROR(INDEX('Docketed Comments'!D:D,MATCH(A1091,'Docketed Comments'!H:H,0)),"")</f>
        <v>Arizona City</v>
      </c>
      <c r="J1091" s="60" t="str">
        <f>IFERROR(INDEX('Docketed Comments'!I:I,MATCH(A1091,'Docketed Comments'!H:H,0)),"")</f>
        <v>RTOUE47</v>
      </c>
      <c r="K1091" s="60" t="str">
        <f t="shared" ref="K1091:K1101" si="35">IFERROR(IF(OR(LEFT(O1091,2)="No",LEFT(O1091,3)="Not"),"❌ Not on Best Plan",IF(OR(O1091="Yes",O1091="Y",O1091="Yes "),"✅ On Best Plan","⚠ "&amp;O1091)),"")</f>
        <v>❌ Not on Best Plan</v>
      </c>
      <c r="L1091" s="60" t="str">
        <f>IFERROR(INDEX('Docketed Comments'!F:F,MATCH(A1091,'Docketed Comments'!H:H,0)),"")</f>
        <v>Form letter</v>
      </c>
      <c r="M1091" s="120" t="str">
        <f>IFERROR(INDEX('Docketed Comments'!G:G,MATCH(A1091,'Docketed Comments'!H:H,0)),"")</f>
        <v>https://images.edocket.azcc.gov/docketpdf/E000046155.pdf</v>
      </c>
      <c r="N1091" s="118" t="str">
        <f>IFERROR(INDEX('Docketed Comments'!N:N,MATCH(A1091,'Docketed Comments'!H:H,0)),"")</f>
        <v>No</v>
      </c>
      <c r="O1091" s="118" t="str">
        <f>IFERROR(INDEX('Docketed Comments'!L:L,MATCH(A1091,'Docketed Comments'!H:H,0)),"")</f>
        <v>No MAEP R-BASIC($56.50)</v>
      </c>
      <c r="P1091" s="119">
        <f t="shared" si="34"/>
        <v>56.5</v>
      </c>
      <c r="Q1091" s="60" t="s">
        <v>23</v>
      </c>
      <c r="R1091" s="64" t="s">
        <v>24</v>
      </c>
      <c r="S1091" s="64" t="s">
        <v>2317</v>
      </c>
    </row>
    <row r="1092" spans="1:19" ht="21.95" hidden="1" customHeight="1">
      <c r="A1092" s="66" t="s">
        <v>2318</v>
      </c>
      <c r="B1092" s="64" t="s">
        <v>31</v>
      </c>
      <c r="C1092" s="65">
        <v>46011</v>
      </c>
      <c r="D1092" s="64" t="s">
        <v>21</v>
      </c>
      <c r="E1092" s="64" t="s">
        <v>22</v>
      </c>
      <c r="F1092" s="60"/>
      <c r="G1092" s="60"/>
      <c r="H1092" s="60" t="str">
        <f>IFERROR(INDEX('Docketed Comments'!C:C,MATCH(A1092,'Docketed Comments'!H:H,0))&amp;", "&amp;INDEX('Docketed Comments'!B:B,MATCH(A1092,'Docketed Comments'!H:H,0)),"")</f>
        <v>Karece, Gardner</v>
      </c>
      <c r="I1092" s="60" t="str">
        <f>IFERROR(INDEX('Docketed Comments'!D:D,MATCH(A1092,'Docketed Comments'!H:H,0)),"")</f>
        <v>Glendale</v>
      </c>
      <c r="J1092" s="60" t="str">
        <f>IFERROR(INDEX('Docketed Comments'!I:I,MATCH(A1092,'Docketed Comments'!H:H,0)),"")</f>
        <v>RTOUE47</v>
      </c>
      <c r="K1092" s="60" t="str">
        <f t="shared" si="35"/>
        <v>❌ Not on Best Plan</v>
      </c>
      <c r="L1092" s="60" t="str">
        <f>IFERROR(INDEX('Docketed Comments'!F:F,MATCH(A1092,'Docketed Comments'!H:H,0)),"")</f>
        <v>Opposed</v>
      </c>
      <c r="M1092" s="120" t="str">
        <f>IFERROR(INDEX('Docketed Comments'!G:G,MATCH(A1092,'Docketed Comments'!H:H,0)),"")</f>
        <v>https://images.edocket.azcc.gov/docketpdf/E000046190.pdf</v>
      </c>
      <c r="N1092" s="118" t="str">
        <f>IFERROR(INDEX('Docketed Comments'!N:N,MATCH(A1092,'Docketed Comments'!H:H,0)),"")</f>
        <v>No</v>
      </c>
      <c r="O1092" s="118" t="str">
        <f>IFERROR(INDEX('Docketed Comments'!L:L,MATCH(A1092,'Docketed Comments'!H:H,0)),"")</f>
        <v>No MEP R3-47($216.65)</v>
      </c>
      <c r="P1092" s="119">
        <f t="shared" si="34"/>
        <v>216.65</v>
      </c>
      <c r="Q1092" s="60" t="s">
        <v>23</v>
      </c>
      <c r="R1092" s="64" t="s">
        <v>24</v>
      </c>
      <c r="S1092" s="64" t="s">
        <v>2319</v>
      </c>
    </row>
    <row r="1093" spans="1:19" ht="21.95" hidden="1" customHeight="1">
      <c r="A1093" s="66" t="s">
        <v>2320</v>
      </c>
      <c r="B1093" s="64" t="s">
        <v>31</v>
      </c>
      <c r="C1093" s="65">
        <v>46011</v>
      </c>
      <c r="D1093" s="64" t="s">
        <v>21</v>
      </c>
      <c r="E1093" s="64" t="s">
        <v>22</v>
      </c>
      <c r="F1093" s="60" t="s">
        <v>2321</v>
      </c>
      <c r="G1093" s="60"/>
      <c r="H1093" s="60" t="str">
        <f>IFERROR(INDEX('Docketed Comments'!C:C,MATCH(A1093,'Docketed Comments'!H:H,0))&amp;", "&amp;INDEX('Docketed Comments'!B:B,MATCH(A1093,'Docketed Comments'!H:H,0)),"")</f>
        <v>Taylor, Bednarz</v>
      </c>
      <c r="I1093" s="60" t="str">
        <f>IFERROR(INDEX('Docketed Comments'!D:D,MATCH(A1093,'Docketed Comments'!H:H,0)),"")</f>
        <v>Phoenix</v>
      </c>
      <c r="J1093" s="60" t="str">
        <f>IFERROR(INDEX('Docketed Comments'!I:I,MATCH(A1093,'Docketed Comments'!H:H,0)),"")</f>
        <v>R-BASIC</v>
      </c>
      <c r="K1093" s="60" t="str">
        <f t="shared" si="35"/>
        <v>❌ Not on Best Plan</v>
      </c>
      <c r="L1093" s="60" t="str">
        <f>IFERROR(INDEX('Docketed Comments'!F:F,MATCH(A1093,'Docketed Comments'!H:H,0)),"")</f>
        <v>Form letter</v>
      </c>
      <c r="M1093" s="120" t="str">
        <f>IFERROR(INDEX('Docketed Comments'!G:G,MATCH(A1093,'Docketed Comments'!H:H,0)),"")</f>
        <v>https://images.edocket.azcc.gov/docketpdf/E000046190.pdf</v>
      </c>
      <c r="N1093" s="118" t="str">
        <f>IFERROR(INDEX('Docketed Comments'!N:N,MATCH(A1093,'Docketed Comments'!H:H,0)),"")</f>
        <v>No</v>
      </c>
      <c r="O1093" s="118" t="str">
        <f>IFERROR(INDEX('Docketed Comments'!L:L,MATCH(A1093,'Docketed Comments'!H:H,0)),"")</f>
        <v>No MEP R3-47($129.92)</v>
      </c>
      <c r="P1093" s="119">
        <f t="shared" si="34"/>
        <v>129.91999999999999</v>
      </c>
      <c r="Q1093" s="60" t="s">
        <v>23</v>
      </c>
      <c r="R1093" s="64" t="s">
        <v>24</v>
      </c>
      <c r="S1093" s="64" t="s">
        <v>2322</v>
      </c>
    </row>
    <row r="1094" spans="1:19" ht="21.95" hidden="1" customHeight="1">
      <c r="A1094" s="66" t="s">
        <v>2323</v>
      </c>
      <c r="B1094" s="64" t="s">
        <v>20</v>
      </c>
      <c r="C1094" s="65">
        <v>45997</v>
      </c>
      <c r="D1094" s="64" t="s">
        <v>21</v>
      </c>
      <c r="E1094" s="64" t="s">
        <v>22</v>
      </c>
      <c r="F1094" s="60" t="s">
        <v>2324</v>
      </c>
      <c r="G1094" s="60"/>
      <c r="H1094" s="60" t="str">
        <f>IFERROR(INDEX('Docketed Comments'!C:C,MATCH(A1094,'Docketed Comments'!H:H,0))&amp;", "&amp;INDEX('Docketed Comments'!B:B,MATCH(A1094,'Docketed Comments'!H:H,0)),"")</f>
        <v>Jonathan, Rebert</v>
      </c>
      <c r="I1094" s="60" t="str">
        <f>IFERROR(INDEX('Docketed Comments'!D:D,MATCH(A1094,'Docketed Comments'!H:H,0)),"")</f>
        <v>Chandler</v>
      </c>
      <c r="J1094" s="60" t="str">
        <f>IFERROR(INDEX('Docketed Comments'!I:I,MATCH(A1094,'Docketed Comments'!H:H,0)),"")</f>
        <v>R3-47</v>
      </c>
      <c r="K1094" s="60" t="str">
        <f t="shared" si="35"/>
        <v>❌ Not on Best Plan</v>
      </c>
      <c r="L1094" s="60" t="str">
        <f>IFERROR(INDEX('Docketed Comments'!F:F,MATCH(A1094,'Docketed Comments'!H:H,0)),"")</f>
        <v>Form letter</v>
      </c>
      <c r="M1094" s="120" t="str">
        <f>IFERROR(INDEX('Docketed Comments'!G:G,MATCH(A1094,'Docketed Comments'!H:H,0)),"")</f>
        <v>https://images.edocket.azcc.gov/docketpdf/E000046206.pdf</v>
      </c>
      <c r="N1094" s="118" t="str">
        <f>IFERROR(INDEX('Docketed Comments'!N:N,MATCH(A1094,'Docketed Comments'!H:H,0)),"")</f>
        <v>No</v>
      </c>
      <c r="O1094" s="118" t="str">
        <f>IFERROR(INDEX('Docketed Comments'!L:L,MATCH(A1094,'Docketed Comments'!H:H,0)),"")</f>
        <v>No MEP R-XS( $250.58)</v>
      </c>
      <c r="P1094" s="119">
        <f t="shared" si="34"/>
        <v>250.58</v>
      </c>
      <c r="Q1094" s="60" t="s">
        <v>23</v>
      </c>
      <c r="R1094" s="64" t="s">
        <v>24</v>
      </c>
      <c r="S1094" s="64" t="s">
        <v>2325</v>
      </c>
    </row>
    <row r="1095" spans="1:19" ht="21.95" hidden="1" customHeight="1">
      <c r="A1095" s="66" t="s">
        <v>2326</v>
      </c>
      <c r="B1095" s="64" t="s">
        <v>31</v>
      </c>
      <c r="C1095" s="65">
        <v>46011</v>
      </c>
      <c r="D1095" s="64" t="s">
        <v>21</v>
      </c>
      <c r="E1095" s="64" t="s">
        <v>22</v>
      </c>
      <c r="F1095" s="60"/>
      <c r="G1095" s="60"/>
      <c r="H1095" s="60" t="str">
        <f>IFERROR(INDEX('Docketed Comments'!C:C,MATCH(A1095,'Docketed Comments'!H:H,0))&amp;", "&amp;INDEX('Docketed Comments'!B:B,MATCH(A1095,'Docketed Comments'!H:H,0)),"")</f>
        <v>Jacob, Alexander</v>
      </c>
      <c r="I1095" s="60" t="str">
        <f>IFERROR(INDEX('Docketed Comments'!D:D,MATCH(A1095,'Docketed Comments'!H:H,0)),"")</f>
        <v>Peoria</v>
      </c>
      <c r="J1095" s="60" t="str">
        <f>IFERROR(INDEX('Docketed Comments'!I:I,MATCH(A1095,'Docketed Comments'!H:H,0)),"")</f>
        <v>R3-47</v>
      </c>
      <c r="K1095" s="60" t="str">
        <f t="shared" si="35"/>
        <v>✅ On Best Plan</v>
      </c>
      <c r="L1095" s="60" t="str">
        <f>IFERROR(INDEX('Docketed Comments'!F:F,MATCH(A1095,'Docketed Comments'!H:H,0)),"")</f>
        <v>Form letter</v>
      </c>
      <c r="M1095" s="120" t="str">
        <f>IFERROR(INDEX('Docketed Comments'!G:G,MATCH(A1095,'Docketed Comments'!H:H,0)),"")</f>
        <v>https://images.edocket.azcc.gov/docketpdf/E000046155.pdf</v>
      </c>
      <c r="N1095" s="118">
        <f>IFERROR(INDEX('Docketed Comments'!N:N,MATCH(A1095,'Docketed Comments'!H:H,0)),"")</f>
        <v>175.19</v>
      </c>
      <c r="O1095" s="118" t="str">
        <f>IFERROR(INDEX('Docketed Comments'!L:L,MATCH(A1095,'Docketed Comments'!H:H,0)),"")</f>
        <v>Yes</v>
      </c>
      <c r="P1095" s="119">
        <f t="shared" si="34"/>
        <v>0</v>
      </c>
      <c r="Q1095" s="60" t="s">
        <v>23</v>
      </c>
      <c r="R1095" s="64" t="s">
        <v>24</v>
      </c>
      <c r="S1095" s="64" t="s">
        <v>2327</v>
      </c>
    </row>
    <row r="1096" spans="1:19" ht="21.95" hidden="1" customHeight="1">
      <c r="A1096" s="66" t="s">
        <v>2328</v>
      </c>
      <c r="B1096" s="64" t="s">
        <v>31</v>
      </c>
      <c r="C1096" s="65">
        <v>46011</v>
      </c>
      <c r="D1096" s="64" t="s">
        <v>27</v>
      </c>
      <c r="E1096" s="64" t="s">
        <v>35</v>
      </c>
      <c r="F1096" s="60" t="s">
        <v>2329</v>
      </c>
      <c r="G1096" s="60"/>
      <c r="H1096" s="60" t="str">
        <f>IFERROR(INDEX('Docketed Comments'!C:C,MATCH(A1096,'Docketed Comments'!H:H,0))&amp;", "&amp;INDEX('Docketed Comments'!B:B,MATCH(A1096,'Docketed Comments'!H:H,0)),"")</f>
        <v>Alexander, Roudette</v>
      </c>
      <c r="I1096" s="60" t="str">
        <f>IFERROR(INDEX('Docketed Comments'!D:D,MATCH(A1096,'Docketed Comments'!H:H,0)),"")</f>
        <v>Phoenix</v>
      </c>
      <c r="J1096" s="60" t="str">
        <f>IFERROR(INDEX('Docketed Comments'!I:I,MATCH(A1096,'Docketed Comments'!H:H,0)),"")</f>
        <v>R3-47</v>
      </c>
      <c r="K1096" s="60" t="str">
        <f t="shared" si="35"/>
        <v>✅ On Best Plan</v>
      </c>
      <c r="L1096" s="60" t="str">
        <f>IFERROR(INDEX('Docketed Comments'!F:F,MATCH(A1096,'Docketed Comments'!H:H,0)),"")</f>
        <v>Opposed</v>
      </c>
      <c r="M1096" s="120" t="str">
        <f>IFERROR(INDEX('Docketed Comments'!G:G,MATCH(A1096,'Docketed Comments'!H:H,0)),"")</f>
        <v>https://images.edocket.azcc.gov/docketpdf/E000046155.pdf</v>
      </c>
      <c r="N1096" s="118">
        <f>IFERROR(INDEX('Docketed Comments'!N:N,MATCH(A1096,'Docketed Comments'!H:H,0)),"")</f>
        <v>942.59</v>
      </c>
      <c r="O1096" s="118" t="str">
        <f>IFERROR(INDEX('Docketed Comments'!L:L,MATCH(A1096,'Docketed Comments'!H:H,0)),"")</f>
        <v>Yes</v>
      </c>
      <c r="P1096" s="119">
        <f t="shared" si="34"/>
        <v>0</v>
      </c>
      <c r="Q1096" s="60" t="s">
        <v>23</v>
      </c>
      <c r="R1096" s="64" t="s">
        <v>24</v>
      </c>
      <c r="S1096" s="64" t="s">
        <v>2330</v>
      </c>
    </row>
    <row r="1097" spans="1:19" ht="21.95" hidden="1" customHeight="1">
      <c r="A1097" s="66" t="s">
        <v>2331</v>
      </c>
      <c r="B1097" s="64" t="s">
        <v>31</v>
      </c>
      <c r="C1097" s="65">
        <v>45997</v>
      </c>
      <c r="D1097" s="64" t="s">
        <v>21</v>
      </c>
      <c r="E1097" s="64" t="s">
        <v>22</v>
      </c>
      <c r="F1097" s="60" t="s">
        <v>41</v>
      </c>
      <c r="G1097" s="60"/>
      <c r="H1097" s="60" t="str">
        <f>IFERROR(INDEX('Docketed Comments'!C:C,MATCH(A1097,'Docketed Comments'!H:H,0))&amp;", "&amp;INDEX('Docketed Comments'!B:B,MATCH(A1097,'Docketed Comments'!H:H,0)),"")</f>
        <v>Rae, Wall</v>
      </c>
      <c r="I1097" s="60" t="str">
        <f>IFERROR(INDEX('Docketed Comments'!D:D,MATCH(A1097,'Docketed Comments'!H:H,0)),"")</f>
        <v>Glendale</v>
      </c>
      <c r="J1097" s="60" t="str">
        <f>IFERROR(INDEX('Docketed Comments'!I:I,MATCH(A1097,'Docketed Comments'!H:H,0)),"")</f>
        <v>R3-47</v>
      </c>
      <c r="K1097" s="60" t="str">
        <f t="shared" si="35"/>
        <v>✅ On Best Plan</v>
      </c>
      <c r="L1097" s="60" t="str">
        <f>IFERROR(INDEX('Docketed Comments'!F:F,MATCH(A1097,'Docketed Comments'!H:H,0)),"")</f>
        <v>Opposed</v>
      </c>
      <c r="M1097" s="120" t="str">
        <f>IFERROR(INDEX('Docketed Comments'!G:G,MATCH(A1097,'Docketed Comments'!H:H,0)),"")</f>
        <v>https://images.edocket.azcc.gov/docketpdf/E000044126.pdf</v>
      </c>
      <c r="N1097" s="118" t="str">
        <f>IFERROR(INDEX('Docketed Comments'!N:N,MATCH(A1097,'Docketed Comments'!H:H,0)),"")</f>
        <v>No</v>
      </c>
      <c r="O1097" s="118" t="str">
        <f>IFERROR(INDEX('Docketed Comments'!L:L,MATCH(A1097,'Docketed Comments'!H:H,0)),"")</f>
        <v>Yes</v>
      </c>
      <c r="P1097" s="119">
        <f t="shared" si="34"/>
        <v>0</v>
      </c>
      <c r="Q1097" s="60" t="s">
        <v>23</v>
      </c>
      <c r="R1097" s="64" t="s">
        <v>24</v>
      </c>
      <c r="S1097" s="64" t="s">
        <v>2332</v>
      </c>
    </row>
    <row r="1098" spans="1:19" ht="21.95" hidden="1" customHeight="1">
      <c r="A1098" s="66" t="s">
        <v>2333</v>
      </c>
      <c r="B1098" s="64" t="s">
        <v>31</v>
      </c>
      <c r="C1098" s="65">
        <v>45997</v>
      </c>
      <c r="D1098" s="64" t="s">
        <v>21</v>
      </c>
      <c r="E1098" s="64" t="s">
        <v>22</v>
      </c>
      <c r="F1098" s="60" t="s">
        <v>41</v>
      </c>
      <c r="G1098" s="60"/>
      <c r="H1098" s="60" t="str">
        <f>IFERROR(INDEX('Docketed Comments'!C:C,MATCH(A1098,'Docketed Comments'!H:H,0))&amp;", "&amp;INDEX('Docketed Comments'!B:B,MATCH(A1098,'Docketed Comments'!H:H,0)),"")</f>
        <v>Crystal, Phillips</v>
      </c>
      <c r="I1098" s="60" t="str">
        <f>IFERROR(INDEX('Docketed Comments'!D:D,MATCH(A1098,'Docketed Comments'!H:H,0)),"")</f>
        <v xml:space="preserve">Young </v>
      </c>
      <c r="J1098" s="60" t="str">
        <f>IFERROR(INDEX('Docketed Comments'!I:I,MATCH(A1098,'Docketed Comments'!H:H,0)),"")</f>
        <v>R3-47</v>
      </c>
      <c r="K1098" s="60" t="str">
        <f t="shared" si="35"/>
        <v>✅ On Best Plan</v>
      </c>
      <c r="L1098" s="60" t="str">
        <f>IFERROR(INDEX('Docketed Comments'!F:F,MATCH(A1098,'Docketed Comments'!H:H,0)),"")</f>
        <v>Opposed</v>
      </c>
      <c r="M1098" s="120" t="str">
        <f>IFERROR(INDEX('Docketed Comments'!G:G,MATCH(A1098,'Docketed Comments'!H:H,0)),"")</f>
        <v>https://images.edocket.azcc.gov/docketpdf/E000044147.pdf</v>
      </c>
      <c r="N1098" s="118" t="str">
        <f>IFERROR(INDEX('Docketed Comments'!N:N,MATCH(A1098,'Docketed Comments'!H:H,0)),"")</f>
        <v>No</v>
      </c>
      <c r="O1098" s="118" t="str">
        <f>IFERROR(INDEX('Docketed Comments'!L:L,MATCH(A1098,'Docketed Comments'!H:H,0)),"")</f>
        <v>Yes</v>
      </c>
      <c r="P1098" s="119">
        <f t="shared" si="34"/>
        <v>0</v>
      </c>
      <c r="Q1098" s="60" t="s">
        <v>23</v>
      </c>
      <c r="R1098" s="64" t="s">
        <v>24</v>
      </c>
      <c r="S1098" s="64" t="s">
        <v>2334</v>
      </c>
    </row>
    <row r="1099" spans="1:19" ht="21.95" hidden="1" customHeight="1">
      <c r="A1099" s="66" t="s">
        <v>2335</v>
      </c>
      <c r="B1099" s="64" t="s">
        <v>31</v>
      </c>
      <c r="C1099" s="65">
        <v>45997</v>
      </c>
      <c r="D1099" s="64" t="s">
        <v>21</v>
      </c>
      <c r="E1099" s="64" t="s">
        <v>22</v>
      </c>
      <c r="F1099" s="60"/>
      <c r="G1099" s="60"/>
      <c r="H1099" s="60" t="str">
        <f>IFERROR(INDEX('Docketed Comments'!C:C,MATCH(A1099,'Docketed Comments'!H:H,0))&amp;", "&amp;INDEX('Docketed Comments'!B:B,MATCH(A1099,'Docketed Comments'!H:H,0)),"")</f>
        <v>Jodi, Paulsen</v>
      </c>
      <c r="I1099" s="60" t="str">
        <f>IFERROR(INDEX('Docketed Comments'!D:D,MATCH(A1099,'Docketed Comments'!H:H,0)),"")</f>
        <v>Unknown</v>
      </c>
      <c r="J1099" s="60" t="str">
        <f>IFERROR(INDEX('Docketed Comments'!I:I,MATCH(A1099,'Docketed Comments'!H:H,0)),"")</f>
        <v>EPR-6w/ET-1</v>
      </c>
      <c r="K1099" s="60" t="str">
        <f t="shared" si="35"/>
        <v>❌ Not on Best Plan</v>
      </c>
      <c r="L1099" s="60" t="str">
        <f>IFERROR(INDEX('Docketed Comments'!F:F,MATCH(A1099,'Docketed Comments'!H:H,0)),"")</f>
        <v>Opposed</v>
      </c>
      <c r="M1099" s="120" t="str">
        <f>IFERROR(INDEX('Docketed Comments'!G:G,MATCH(A1099,'Docketed Comments'!H:H,0)),"")</f>
        <v>https://images.edocket.azcc.gov/docketpdf/E000044514.pdf</v>
      </c>
      <c r="N1099" s="118" t="str">
        <f>IFERROR(INDEX('Docketed Comments'!N:N,MATCH(A1099,'Docketed Comments'!H:H,0)),"")</f>
        <v>No</v>
      </c>
      <c r="O1099" s="118" t="str">
        <f>IFERROR(INDEX('Docketed Comments'!L:L,MATCH(A1099,'Docketed Comments'!H:H,0)),"")</f>
        <v>Not able to Compare</v>
      </c>
      <c r="P1099" s="119">
        <f t="shared" si="34"/>
        <v>0</v>
      </c>
      <c r="Q1099" s="60" t="s">
        <v>23</v>
      </c>
      <c r="R1099" s="64" t="s">
        <v>24</v>
      </c>
      <c r="S1099" s="64" t="s">
        <v>2336</v>
      </c>
    </row>
    <row r="1100" spans="1:19" ht="21.95" hidden="1" customHeight="1">
      <c r="A1100" s="66" t="s">
        <v>2337</v>
      </c>
      <c r="B1100" s="64" t="s">
        <v>20</v>
      </c>
      <c r="C1100" s="65">
        <v>45997</v>
      </c>
      <c r="D1100" s="64" t="s">
        <v>27</v>
      </c>
      <c r="E1100" s="64" t="s">
        <v>22</v>
      </c>
      <c r="F1100" s="60" t="s">
        <v>2338</v>
      </c>
      <c r="G1100" s="60"/>
      <c r="H1100" s="60" t="str">
        <f>IFERROR(INDEX('Docketed Comments'!C:C,MATCH(A1100,'Docketed Comments'!H:H,0))&amp;", "&amp;INDEX('Docketed Comments'!B:B,MATCH(A1100,'Docketed Comments'!H:H,0)),"")</f>
        <v>Enrique, Figueroa</v>
      </c>
      <c r="I1100" s="60" t="str">
        <f>IFERROR(INDEX('Docketed Comments'!D:D,MATCH(A1100,'Docketed Comments'!H:H,0)),"")</f>
        <v>Gilbert</v>
      </c>
      <c r="J1100" s="60" t="str">
        <f>IFERROR(INDEX('Docketed Comments'!I:I,MATCH(A1100,'Docketed Comments'!H:H,0)),"")</f>
        <v>R3-47</v>
      </c>
      <c r="K1100" s="60" t="str">
        <f t="shared" si="35"/>
        <v>✅ On Best Plan</v>
      </c>
      <c r="L1100" s="60" t="str">
        <f>IFERROR(INDEX('Docketed Comments'!F:F,MATCH(A1100,'Docketed Comments'!H:H,0)),"")</f>
        <v>Opposed</v>
      </c>
      <c r="M1100" s="120" t="str">
        <f>IFERROR(INDEX('Docketed Comments'!G:G,MATCH(A1100,'Docketed Comments'!H:H,0)),"")</f>
        <v>https://images.edocket.azcc.gov/docketpdf/E000044842.pdf</v>
      </c>
      <c r="N1100" s="118" t="str">
        <f>IFERROR(INDEX('Docketed Comments'!N:N,MATCH(A1100,'Docketed Comments'!H:H,0)),"")</f>
        <v>No</v>
      </c>
      <c r="O1100" s="118" t="str">
        <f>IFERROR(INDEX('Docketed Comments'!L:L,MATCH(A1100,'Docketed Comments'!H:H,0)),"")</f>
        <v>Yes</v>
      </c>
      <c r="P1100" s="119">
        <f t="shared" si="34"/>
        <v>0</v>
      </c>
      <c r="Q1100" s="60" t="s">
        <v>23</v>
      </c>
      <c r="R1100" s="64" t="s">
        <v>24</v>
      </c>
      <c r="S1100" s="64" t="s">
        <v>2339</v>
      </c>
    </row>
    <row r="1101" spans="1:19" ht="21.95" hidden="1" customHeight="1">
      <c r="A1101" s="66" t="s">
        <v>2340</v>
      </c>
      <c r="B1101" s="64" t="s">
        <v>20</v>
      </c>
      <c r="C1101" s="65">
        <v>45997</v>
      </c>
      <c r="D1101" s="64" t="s">
        <v>21</v>
      </c>
      <c r="E1101" s="64" t="s">
        <v>22</v>
      </c>
      <c r="F1101" s="60" t="s">
        <v>2341</v>
      </c>
      <c r="G1101" s="60"/>
      <c r="H1101" s="60" t="str">
        <f>IFERROR(INDEX('Docketed Comments'!C:C,MATCH(A1101,'Docketed Comments'!H:H,0))&amp;", "&amp;INDEX('Docketed Comments'!B:B,MATCH(A1101,'Docketed Comments'!H:H,0)),"")</f>
        <v>Robert, Kuri</v>
      </c>
      <c r="I1101" s="60" t="str">
        <f>IFERROR(INDEX('Docketed Comments'!D:D,MATCH(A1101,'Docketed Comments'!H:H,0)),"")</f>
        <v>Waddell</v>
      </c>
      <c r="J1101" s="60" t="str">
        <f>IFERROR(INDEX('Docketed Comments'!I:I,MATCH(A1101,'Docketed Comments'!H:H,0)),"")</f>
        <v>RCPw/RTOUE47</v>
      </c>
      <c r="K1101" s="60" t="str">
        <f t="shared" si="35"/>
        <v>✅ On Best Plan</v>
      </c>
      <c r="L1101" s="60" t="str">
        <f>IFERROR(INDEX('Docketed Comments'!F:F,MATCH(A1101,'Docketed Comments'!H:H,0)),"")</f>
        <v>Opposed</v>
      </c>
      <c r="M1101" s="120" t="str">
        <f>IFERROR(INDEX('Docketed Comments'!G:G,MATCH(A1101,'Docketed Comments'!H:H,0)),"")</f>
        <v>https://images.edocket.azcc.gov/docketpdf/E000046204.pdf</v>
      </c>
      <c r="N1101" s="118" t="str">
        <f>IFERROR(INDEX('Docketed Comments'!N:N,MATCH(A1101,'Docketed Comments'!H:H,0)),"")</f>
        <v>No</v>
      </c>
      <c r="O1101" s="118" t="str">
        <f>IFERROR(INDEX('Docketed Comments'!L:L,MATCH(A1101,'Docketed Comments'!H:H,0)),"")</f>
        <v>Yes</v>
      </c>
      <c r="P1101" s="119">
        <f t="shared" si="34"/>
        <v>0</v>
      </c>
      <c r="Q1101" s="60" t="s">
        <v>23</v>
      </c>
      <c r="R1101" s="64" t="s">
        <v>24</v>
      </c>
      <c r="S1101" s="64" t="s">
        <v>2342</v>
      </c>
    </row>
    <row r="1102" spans="1:19" ht="21.95" customHeight="1"/>
    <row r="1103" spans="1:19" ht="21.95" customHeight="1"/>
    <row r="1104" spans="1:19" ht="21.95" customHeight="1"/>
    <row r="1105" ht="21.95" customHeight="1"/>
    <row r="1106" ht="21.95" customHeight="1"/>
    <row r="1107" ht="21.95" customHeight="1"/>
    <row r="1108" ht="21.95" customHeight="1"/>
    <row r="1109" ht="21.95" customHeight="1"/>
    <row r="1110" ht="21.95" customHeight="1"/>
    <row r="1111" ht="21.95" customHeight="1"/>
    <row r="1112" ht="21.95" customHeight="1"/>
    <row r="1113" ht="21.95" customHeight="1"/>
    <row r="1114" ht="21.95" customHeight="1"/>
    <row r="1115" ht="21.95" customHeight="1"/>
    <row r="1116" ht="21.95" customHeight="1"/>
    <row r="1117" ht="21.95" customHeight="1"/>
    <row r="1118" ht="21.95" customHeight="1"/>
    <row r="1119" ht="21.95" customHeight="1"/>
    <row r="1120" ht="21.95" customHeight="1"/>
    <row r="1121" ht="21.95" customHeight="1"/>
    <row r="1122" ht="21.95" customHeight="1"/>
    <row r="1123" ht="21.95" customHeight="1"/>
    <row r="1124" ht="21.95" customHeight="1"/>
    <row r="1125" ht="21.95" customHeight="1"/>
    <row r="1126" ht="21.95" customHeight="1"/>
    <row r="1127" ht="21.95" customHeight="1"/>
    <row r="1128" ht="21.95" customHeight="1"/>
    <row r="1129" ht="21.95" customHeight="1"/>
    <row r="1130" ht="21.95" customHeight="1"/>
    <row r="1131" ht="21.95" customHeight="1"/>
    <row r="1132" ht="21.95" customHeight="1"/>
    <row r="1133" ht="21.95" customHeight="1"/>
    <row r="1134" ht="21.95" customHeight="1"/>
    <row r="1135" ht="21.95" customHeight="1"/>
    <row r="1136" ht="21.95" customHeight="1"/>
    <row r="1137" ht="21.95" customHeight="1"/>
    <row r="1138" ht="21.95" customHeight="1"/>
    <row r="1139" ht="21.95" customHeight="1"/>
    <row r="1140" ht="21.95" customHeight="1"/>
    <row r="1141" ht="21.95" customHeight="1"/>
    <row r="1142" ht="21.95" customHeight="1"/>
    <row r="1143" ht="21.95" customHeight="1"/>
    <row r="1144" ht="21.95" customHeight="1"/>
    <row r="1145" ht="21.95" customHeight="1"/>
    <row r="1146" ht="21.95" customHeight="1"/>
    <row r="1147" ht="21.95" customHeight="1"/>
    <row r="1148" ht="21.95" customHeight="1"/>
    <row r="1149" ht="21.95" customHeight="1"/>
    <row r="1150" ht="21.95" customHeight="1"/>
    <row r="1151" ht="21.95" customHeight="1"/>
    <row r="1152" ht="21.95" customHeight="1"/>
    <row r="1153" ht="21.95" customHeight="1"/>
    <row r="1154" ht="21.95" customHeight="1"/>
    <row r="1155" ht="21.95" customHeight="1"/>
    <row r="1156" ht="21.95" customHeight="1"/>
    <row r="1157" ht="21.95" customHeight="1"/>
    <row r="1158" ht="21.95" customHeight="1"/>
    <row r="1159" ht="21.95" customHeight="1"/>
    <row r="1160" ht="21.95" customHeight="1"/>
    <row r="1161" ht="21.95" customHeight="1"/>
    <row r="1162" ht="21.95" customHeight="1"/>
    <row r="1163" ht="21.95" customHeight="1"/>
    <row r="1164" ht="21.95" customHeight="1"/>
    <row r="1165" ht="21.95" customHeight="1"/>
    <row r="1166" ht="21.95" customHeight="1"/>
    <row r="1167" ht="21.95" customHeight="1"/>
    <row r="1168" ht="21.95" customHeight="1"/>
    <row r="1169" ht="21.95" customHeight="1"/>
    <row r="1170" ht="21.95" customHeight="1"/>
    <row r="1171" ht="21.95" customHeight="1"/>
    <row r="1172" ht="21.95" customHeight="1"/>
    <row r="1173" ht="21.95" customHeight="1"/>
    <row r="1174" ht="21.95" customHeight="1"/>
    <row r="1175" ht="21.95" customHeight="1"/>
    <row r="1176" ht="21.95" customHeight="1"/>
    <row r="1177" ht="21.95" customHeight="1"/>
    <row r="1178" ht="21.95" customHeight="1"/>
    <row r="1179" ht="21.95" customHeight="1"/>
    <row r="1180" ht="21.95" customHeight="1"/>
    <row r="1181" ht="21.95" customHeight="1"/>
    <row r="1182" ht="21.95" customHeight="1"/>
    <row r="1183" ht="21.95" customHeight="1"/>
    <row r="1184" ht="21.95" customHeight="1"/>
    <row r="1185" ht="21.95" customHeight="1"/>
    <row r="1186" ht="21.95" customHeight="1"/>
    <row r="1187" ht="21.95" customHeight="1"/>
    <row r="1188" ht="21.95" customHeight="1"/>
    <row r="1189" ht="21.95" customHeight="1"/>
    <row r="1190" ht="21.95" customHeight="1"/>
    <row r="1191" ht="21.95" customHeight="1"/>
    <row r="1192" ht="21.95" customHeight="1"/>
    <row r="1193" ht="21.95" customHeight="1"/>
    <row r="1194" ht="21.95" customHeight="1"/>
    <row r="1195" ht="21.95" customHeight="1"/>
    <row r="1196" ht="21.95" customHeight="1"/>
    <row r="1197" ht="21.95" customHeight="1"/>
    <row r="1198" ht="21.95" customHeight="1"/>
    <row r="1199" ht="21.95" customHeight="1"/>
    <row r="1200" ht="21.95" customHeight="1"/>
    <row r="1201" ht="21.95" customHeight="1"/>
    <row r="1202" ht="21.95" customHeight="1"/>
    <row r="1203" ht="21.95" customHeight="1"/>
    <row r="1204" ht="21.95" customHeight="1"/>
    <row r="1205" ht="21.95" customHeight="1"/>
    <row r="1206" ht="21.95" customHeight="1"/>
    <row r="1207" ht="21.95" customHeight="1"/>
    <row r="1208" ht="21.95" customHeight="1"/>
    <row r="1209" ht="21.95" customHeight="1"/>
    <row r="1210" ht="21.95" customHeight="1"/>
    <row r="1211" ht="21.95" customHeight="1"/>
    <row r="1212" ht="21.95" customHeight="1"/>
    <row r="1213" ht="21.95" customHeight="1"/>
    <row r="1214" ht="21.95" customHeight="1"/>
    <row r="1215" ht="21.95" customHeight="1"/>
    <row r="1216" ht="21.95" customHeight="1"/>
    <row r="1217" ht="21.95" customHeight="1"/>
    <row r="1218" ht="21.95" customHeight="1"/>
    <row r="1219" ht="21.95" customHeight="1"/>
    <row r="1220" ht="21.95" customHeight="1"/>
    <row r="1221" ht="21.95" customHeight="1"/>
    <row r="1222" ht="21.95" customHeight="1"/>
    <row r="1223" ht="21.95" customHeight="1"/>
    <row r="1224" ht="21.95" customHeight="1"/>
    <row r="1225" ht="21.95" customHeight="1"/>
    <row r="1226" ht="21.95" customHeight="1"/>
    <row r="1227" ht="21.95" customHeight="1"/>
    <row r="1228" ht="21.95" customHeight="1"/>
    <row r="1229" ht="21.95" customHeight="1"/>
    <row r="1230" ht="21.95" customHeight="1"/>
    <row r="1231" ht="21.95" customHeight="1"/>
    <row r="1232" ht="21.95" customHeight="1"/>
    <row r="1233" ht="21.95" customHeight="1"/>
    <row r="1234" ht="21.95" customHeight="1"/>
    <row r="1235" ht="21.95" customHeight="1"/>
    <row r="1236" ht="21.95" customHeight="1"/>
    <row r="1237" ht="21.95" customHeight="1"/>
    <row r="1238" ht="21.95" customHeight="1"/>
    <row r="1239" ht="21.95" customHeight="1"/>
    <row r="1240" ht="21.95" customHeight="1"/>
    <row r="1241" ht="21.95" customHeight="1"/>
    <row r="1242" ht="21.95" customHeight="1"/>
    <row r="1243" ht="21.95" customHeight="1"/>
    <row r="1244" ht="21.95" customHeight="1"/>
    <row r="1245" ht="21.95" customHeight="1"/>
    <row r="1246" ht="21.95" customHeight="1"/>
    <row r="1247" ht="21.95" customHeight="1"/>
    <row r="1248" ht="21.95" customHeight="1"/>
    <row r="1249" ht="21.95" customHeight="1"/>
    <row r="1250" ht="21.95" customHeight="1"/>
    <row r="1251" ht="21.95" customHeight="1"/>
    <row r="1252" ht="21.95" customHeight="1"/>
    <row r="1253" ht="21.95" customHeight="1"/>
    <row r="1254" ht="21.95" customHeight="1"/>
    <row r="1255" ht="21.95" customHeight="1"/>
    <row r="1256" ht="21.95" customHeight="1"/>
    <row r="1257" ht="21.95" customHeight="1"/>
    <row r="1258" ht="21.95" customHeight="1"/>
    <row r="1259" ht="21.95" customHeight="1"/>
    <row r="1260" ht="21.95" customHeight="1"/>
    <row r="1261" ht="21.95" customHeight="1"/>
    <row r="1262" ht="21.95" customHeight="1"/>
    <row r="1263" ht="21.95" customHeight="1"/>
    <row r="1264" ht="21.95" customHeight="1"/>
    <row r="1265" ht="21.95" customHeight="1"/>
    <row r="1266" ht="21.95" customHeight="1"/>
    <row r="1267" ht="21.95" customHeight="1"/>
    <row r="1268" ht="21.95" customHeight="1"/>
    <row r="1269" ht="21.95" customHeight="1"/>
    <row r="1270" ht="21.95" customHeight="1"/>
    <row r="1271" ht="21.95" customHeight="1"/>
    <row r="1272" ht="21.95" customHeight="1"/>
    <row r="1273" ht="21.95" customHeight="1"/>
    <row r="1274" ht="21.95" customHeight="1"/>
    <row r="1275" ht="21.95" customHeight="1"/>
    <row r="1276" ht="21.95" customHeight="1"/>
    <row r="1277" ht="21.95" customHeight="1"/>
    <row r="1278" ht="21.95" customHeight="1"/>
    <row r="1279" ht="21.95" customHeight="1"/>
    <row r="1280" ht="21.95" customHeight="1"/>
    <row r="1281" ht="21.95" customHeight="1"/>
    <row r="1282" ht="21.95" customHeight="1"/>
    <row r="1283" ht="21.95" customHeight="1"/>
    <row r="1284" ht="21.95" customHeight="1"/>
    <row r="1285" ht="21.95" customHeight="1"/>
    <row r="1286" ht="21.95" customHeight="1"/>
    <row r="1287" ht="21.95" customHeight="1"/>
    <row r="1288" ht="21.95" customHeight="1"/>
    <row r="1289" ht="21.95" customHeight="1"/>
    <row r="1290" ht="21.95" customHeight="1"/>
    <row r="1291" ht="21.95" customHeight="1"/>
    <row r="1292" ht="21.95" customHeight="1"/>
    <row r="1293" ht="21.95" customHeight="1"/>
    <row r="1294" ht="21.95" customHeight="1"/>
    <row r="1295" ht="21.95" customHeight="1"/>
    <row r="1296" ht="21.95" customHeight="1"/>
    <row r="1297" ht="21.95" customHeight="1"/>
    <row r="1298" ht="21.95" customHeight="1"/>
    <row r="1299" ht="21.95" customHeight="1"/>
    <row r="1300" ht="21.95" customHeight="1"/>
    <row r="1301" ht="21.95" customHeight="1"/>
  </sheetData>
  <conditionalFormatting sqref="A2:L1101">
    <cfRule type="expression" dxfId="9" priority="1">
      <formula>$B2&lt;&gt;""</formula>
    </cfRule>
    <cfRule type="expression" dxfId="8" priority="2">
      <formula>AND($G2="P1 🔴",$B2="")</formula>
    </cfRule>
  </conditionalFormatting>
  <conditionalFormatting sqref="G2:G1101">
    <cfRule type="containsText" dxfId="7" priority="3" operator="containsText" text="P1">
      <formula>NOT(ISERROR(SEARCH("P1",G2)))</formula>
    </cfRule>
    <cfRule type="containsText" dxfId="6" priority="4" operator="containsText" text="P2">
      <formula>NOT(ISERROR(SEARCH("P2",G2)))</formula>
    </cfRule>
    <cfRule type="containsText" dxfId="5" priority="5" operator="containsText" text="P3">
      <formula>NOT(ISERROR(SEARCH("P3",G2)))</formula>
    </cfRule>
    <cfRule type="containsText" dxfId="4" priority="6" operator="containsText" text="P4">
      <formula>NOT(ISERROR(SEARCH("P4",G2)))</formula>
    </cfRule>
    <cfRule type="containsText" dxfId="3" priority="7" operator="containsText" text="Called">
      <formula>NOT(ISERROR(SEARCH("Called",G2)))</formula>
    </cfRule>
  </conditionalFormatting>
  <conditionalFormatting sqref="N2:N1101">
    <cfRule type="expression" dxfId="2" priority="10">
      <formula>AND(ISNUMBER(N2),N2&gt;0)</formula>
    </cfRule>
  </conditionalFormatting>
  <conditionalFormatting sqref="O2:O1101">
    <cfRule type="containsText" dxfId="1" priority="11" operator="containsText" text="No">
      <formula>NOT(ISERROR(SEARCH("No",O2)))</formula>
    </cfRule>
    <cfRule type="containsText" dxfId="0" priority="12" operator="containsText" text="Yes">
      <formula>NOT(ISERROR(SEARCH("Yes",O2)))</formula>
    </cfRule>
  </conditionalFormatting>
  <conditionalFormatting sqref="P2:P1101">
    <cfRule type="colorScale" priority="15">
      <colorScale>
        <cfvo type="min"/>
        <cfvo type="num" val="200"/>
        <cfvo type="max"/>
        <color rgb="FFFFFFFF"/>
        <color rgb="FFFFB74D"/>
        <color rgb="FFD32F2F"/>
      </colorScale>
    </cfRule>
    <cfRule type="dataBar" priority="16">
      <dataBar>
        <cfvo type="min"/>
        <cfvo type="max"/>
        <color rgb="FFE65100"/>
      </dataBar>
      <extLst>
        <ext xmlns:x14="http://schemas.microsoft.com/office/spreadsheetml/2009/9/main" uri="{B025F937-C7B1-47D3-B67F-A62EFF666E3E}">
          <x14:id>{E2FF9512-1E9D-4B51-9C94-98751AF352F2}</x14:id>
        </ext>
      </extLst>
    </cfRule>
  </conditionalFormatting>
  <dataValidations count="3">
    <dataValidation type="list" allowBlank="1" showInputMessage="1" showErrorMessage="1" sqref="D2:D2000" xr:uid="{C4891DA4-D66E-4000-9285-2E35B9668E8D}">
      <formula1>"YES,NO"</formula1>
    </dataValidation>
    <dataValidation type="list" allowBlank="1" showInputMessage="1" showErrorMessage="1" sqref="E2:E2000" xr:uid="{13E7A186-D854-49D5-9D98-AFF5CDB69A3E}">
      <formula1>"General Education,Rate Change,Updated/New PA,Utility Assistance,E3/E4,Other (fill in)"</formula1>
    </dataValidation>
    <dataValidation type="list" allowBlank="1" showInputMessage="1" showErrorMessage="1" sqref="B2:B2000" xr:uid="{35646595-0586-4E93-B9B9-B21E7FBF6674}">
      <formula1>"Michelle,Joaquin"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2FF9512-1E9D-4B51-9C94-98751AF352F2}">
            <x14:dataBar minLength="0" maxLength="100" border="1" direction="leftToRight" negativeBarColorSameAsPositive="1" axisPosition="none">
              <x14:cfvo type="min"/>
              <x14:cfvo type="max"/>
              <x14:borderColor rgb="FFBF360C"/>
            </x14:dataBar>
          </x14:cfRule>
          <xm:sqref>P2:P1101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56AD5-41D1-4D4E-B1EF-F251580D972B}">
  <sheetPr>
    <tabColor rgb="FFBF360C"/>
  </sheetPr>
  <dimension ref="A1:N60"/>
  <sheetViews>
    <sheetView workbookViewId="0">
      <selection activeCell="G10" sqref="G10"/>
    </sheetView>
  </sheetViews>
  <sheetFormatPr defaultColWidth="8.85546875" defaultRowHeight="15" outlineLevelCol="1"/>
  <cols>
    <col min="1" max="1" width="2.85546875" customWidth="1"/>
    <col min="2" max="7" width="22.85546875" customWidth="1"/>
    <col min="8" max="8" width="2.85546875" customWidth="1"/>
    <col min="9" max="9" width="20" bestFit="1" customWidth="1"/>
    <col min="10" max="10" width="20.28515625" hidden="1" customWidth="1" outlineLevel="1"/>
    <col min="11" max="11" width="7.42578125" hidden="1" customWidth="1" outlineLevel="1"/>
    <col min="12" max="12" width="15.42578125" hidden="1" customWidth="1" outlineLevel="1"/>
    <col min="13" max="13" width="21.85546875" hidden="1" customWidth="1" outlineLevel="1"/>
    <col min="14" max="14" width="14.42578125" bestFit="1" customWidth="1" collapsed="1"/>
    <col min="16" max="16" width="26.140625" bestFit="1" customWidth="1"/>
  </cols>
  <sheetData>
    <row r="1" spans="1:8" ht="6" customHeight="1">
      <c r="A1" s="61"/>
      <c r="B1" s="61"/>
      <c r="C1" s="61"/>
      <c r="D1" s="61"/>
      <c r="E1" s="61"/>
      <c r="F1" s="61"/>
      <c r="G1" s="61"/>
      <c r="H1" s="61"/>
    </row>
    <row r="2" spans="1:8" ht="38.1" customHeight="1">
      <c r="A2" s="61"/>
      <c r="B2" s="141" t="s">
        <v>2343</v>
      </c>
      <c r="C2" s="142"/>
      <c r="D2" s="142"/>
      <c r="E2" s="142"/>
      <c r="F2" s="142"/>
      <c r="G2" s="142"/>
      <c r="H2" s="61"/>
    </row>
    <row r="3" spans="1:8" ht="6" customHeight="1">
      <c r="A3" s="61"/>
      <c r="B3" s="61"/>
      <c r="C3" s="61"/>
      <c r="D3" s="61"/>
      <c r="E3" s="61"/>
      <c r="F3" s="61"/>
      <c r="G3" s="61"/>
      <c r="H3" s="61"/>
    </row>
    <row r="4" spans="1:8" ht="20.100000000000001" customHeight="1">
      <c r="A4" s="61"/>
      <c r="B4" s="83" t="s">
        <v>2344</v>
      </c>
      <c r="C4" s="86" t="s">
        <v>2345</v>
      </c>
      <c r="D4" s="91" t="s">
        <v>2346</v>
      </c>
      <c r="E4" s="93" t="s">
        <v>2347</v>
      </c>
      <c r="F4" s="105" t="s">
        <v>2348</v>
      </c>
      <c r="G4" s="102" t="s">
        <v>2349</v>
      </c>
      <c r="H4" s="61"/>
    </row>
    <row r="5" spans="1:8" ht="42" customHeight="1">
      <c r="A5" s="61"/>
      <c r="B5" s="127">
        <f>COUNTA('Docketed Comments'!B2:B1949)</f>
        <v>1946</v>
      </c>
      <c r="C5" s="85" cm="1">
        <f t="array" ref="C5">SUMPRODUCT(('Call Tracker'!A2:A2000&lt;&gt;"")*1)</f>
        <v>1100</v>
      </c>
      <c r="D5" s="88">
        <f>COUNTA('Call Tracker'!B2:B2000)</f>
        <v>399</v>
      </c>
      <c r="E5" s="114">
        <f>C5-D5</f>
        <v>701</v>
      </c>
      <c r="F5" s="95">
        <f>D5/C5</f>
        <v>0.36272727272727273</v>
      </c>
      <c r="G5" s="116">
        <f>COUNTIF('Call Tracker'!D2:D2000,"YES")</f>
        <v>244</v>
      </c>
      <c r="H5" s="61"/>
    </row>
    <row r="6" spans="1:8" ht="15.95" customHeight="1">
      <c r="A6" s="61"/>
      <c r="B6" s="84" t="s">
        <v>2350</v>
      </c>
      <c r="C6" s="87" t="s">
        <v>2351</v>
      </c>
      <c r="D6" s="92" t="s">
        <v>2352</v>
      </c>
      <c r="E6" s="94" t="s">
        <v>2353</v>
      </c>
      <c r="F6" s="106" t="s">
        <v>2354</v>
      </c>
      <c r="G6" s="103" t="s">
        <v>2355</v>
      </c>
      <c r="H6" s="61"/>
    </row>
    <row r="7" spans="1:8" ht="8.1" customHeight="1">
      <c r="A7" s="61"/>
      <c r="B7" s="61"/>
      <c r="C7" s="61"/>
      <c r="D7" s="61"/>
      <c r="E7" s="61"/>
      <c r="F7" s="61"/>
      <c r="G7" s="61"/>
      <c r="H7" s="61"/>
    </row>
    <row r="8" spans="1:8" ht="39.950000000000003" customHeight="1">
      <c r="A8" s="61"/>
      <c r="B8" s="74" t="s">
        <v>2356</v>
      </c>
      <c r="C8" s="75"/>
      <c r="D8" s="75"/>
      <c r="E8" s="75"/>
      <c r="F8" s="75"/>
      <c r="G8" s="75"/>
      <c r="H8" s="61"/>
    </row>
    <row r="9" spans="1:8" ht="39.950000000000003" customHeight="1">
      <c r="A9" s="61"/>
      <c r="B9" s="109" t="s">
        <v>2357</v>
      </c>
      <c r="C9" s="110" t="s">
        <v>2358</v>
      </c>
      <c r="D9" s="111" t="s">
        <v>2359</v>
      </c>
      <c r="E9" s="112" t="s">
        <v>2360</v>
      </c>
      <c r="F9" s="113" t="s">
        <v>2361</v>
      </c>
      <c r="G9" s="89" t="s">
        <v>2362</v>
      </c>
      <c r="H9" s="61"/>
    </row>
    <row r="10" spans="1:8" ht="38.1" customHeight="1">
      <c r="A10" s="61"/>
      <c r="B10" s="96">
        <f>COUNTIFS('Call Tracker'!K2:K2000,"❌ Not on Best Plan")-COUNTIFS('Call Tracker'!K2:K2000,"❌ Not on Best Plan",'Call Tracker'!B2:B2000,"&lt;&gt;")</f>
        <v>60</v>
      </c>
      <c r="C10" s="115">
        <f>COUNTIFS('Call Tracker'!N2:N2000,"&lt;&gt;No",'Call Tracker'!N2:N2000,"&lt;&gt;")-COUNTIFS('Call Tracker'!N2:N2000,"&lt;&gt;No",'Call Tracker'!N2:N2000,"&lt;&gt;",'Call Tracker'!B2:B2000,"&lt;&gt;")</f>
        <v>28</v>
      </c>
      <c r="D10" s="99">
        <f>COUNTIFS('Call Tracker'!K2:K2000,"✅ On Best Plan")+COUNTIFS('Call Tracker'!K2:K2000,"⚠ Frozen Rate")</f>
        <v>767</v>
      </c>
      <c r="E10" s="101">
        <f ca="1">IFERROR(ROUND(D5/MAX(1,(NETWORKDAYS(MIN('Call Tracker'!C:C),TODAY())/5)),1),"-")</f>
        <v>31.2</v>
      </c>
      <c r="F10" s="126">
        <f>COUNTIF('Docketed Comments'!H2:H1949,"Unable to Locate Acct")+COUNTBLANK('Docketed Comments'!H2:H1949)</f>
        <v>478</v>
      </c>
      <c r="G10" s="108">
        <f>COUNTIF('Call Tracker'!D2:D2000,"NO")</f>
        <v>134</v>
      </c>
      <c r="H10" s="61"/>
    </row>
    <row r="11" spans="1:8" ht="15.95" customHeight="1">
      <c r="A11" s="61"/>
      <c r="B11" s="97" t="str">
        <f>COUNTIFS('Call Tracker'!K2:K2000,"❌ Not on Best Plan",'Call Tracker'!B2:B2000,"&lt;&gt;")&amp;" of "&amp;COUNTIFS('Call Tracker'!K2:K2000,"❌ Not on Best Plan")&amp;" contacted"</f>
        <v>211 of 271 contacted</v>
      </c>
      <c r="C11" s="98" t="str">
        <f>COUNTIFS('Call Tracker'!N2:N2000,"&lt;&gt;No",'Call Tracker'!N2:N2000,"&lt;&gt;",'Call Tracker'!B2:B2000,"&lt;&gt;")&amp;" of "&amp;COUNTIFS('Call Tracker'!N2:N2000,"&lt;&gt;No",'Call Tracker'!N2:N2000,"&lt;&gt;")&amp;" contacted"</f>
        <v>54 of 82 contacted</v>
      </c>
      <c r="D11" s="100" t="s">
        <v>2363</v>
      </c>
      <c r="E11" s="104" t="s">
        <v>2364</v>
      </c>
      <c r="F11" s="107" t="s">
        <v>2365</v>
      </c>
      <c r="G11" s="90" t="s">
        <v>2366</v>
      </c>
      <c r="H11" s="61"/>
    </row>
    <row r="12" spans="1:8" ht="8.1" customHeight="1">
      <c r="A12" s="61"/>
      <c r="B12" s="61"/>
      <c r="C12" s="61"/>
      <c r="D12" s="61"/>
      <c r="E12" s="61"/>
      <c r="F12" s="61"/>
      <c r="G12" s="61"/>
      <c r="H12" s="61"/>
    </row>
    <row r="13" spans="1:8" ht="15.95" customHeight="1">
      <c r="A13" s="61"/>
      <c r="B13" s="74" t="s">
        <v>2367</v>
      </c>
      <c r="C13" s="75"/>
      <c r="D13" s="75"/>
      <c r="E13" s="75"/>
      <c r="F13" s="75"/>
      <c r="G13" s="61"/>
      <c r="H13" s="61"/>
    </row>
    <row r="14" spans="1:8" ht="15.95" customHeight="1">
      <c r="A14" s="61"/>
      <c r="B14" s="76" t="s">
        <v>2368</v>
      </c>
      <c r="C14" s="76" t="s">
        <v>2369</v>
      </c>
      <c r="D14" s="76" t="s">
        <v>2370</v>
      </c>
      <c r="E14" s="76" t="s">
        <v>2371</v>
      </c>
      <c r="F14" s="76" t="s">
        <v>20</v>
      </c>
      <c r="G14" s="76" t="s">
        <v>31</v>
      </c>
      <c r="H14" s="61"/>
    </row>
    <row r="15" spans="1:8" ht="15.95" customHeight="1">
      <c r="A15" s="61"/>
      <c r="B15" s="79" cm="1">
        <f t="array" ref="B15:B26">IFERROR(_xlfn._xlws.SORT(_xlfn.UNIQUE(_xlfn._xlws.FILTER('Call Tracker'!C2:C2000,'Call Tracker'!C2:C2000&gt;0))),"")</f>
        <v>45997</v>
      </c>
      <c r="C15" s="80">
        <f>IF(B15="","",COUNTIFS('Call Tracker'!$C:$C,"&gt;="&amp;B15,'Call Tracker'!$C:$C,"&lt;"&amp;B15+1))</f>
        <v>46</v>
      </c>
      <c r="D15" s="80">
        <f>IF(B15="","",COUNTIFS('Call Tracker'!$C:$C,"&gt;="&amp;B15,'Call Tracker'!$C:$C,"&lt;"&amp;B15+1,'Call Tracker'!$D:$D,"YES"))</f>
        <v>27</v>
      </c>
      <c r="E15" s="80">
        <f>IF(B15="","",COUNTIFS('Call Tracker'!$C:$C,"&gt;="&amp;B15,'Call Tracker'!$C:$C,"&lt;"&amp;B15+1,'Call Tracker'!$D:$D,"NO"))</f>
        <v>9</v>
      </c>
      <c r="F15" s="80">
        <f>IF(B15="","",COUNTIFS('Call Tracker'!$C:$C,"&gt;="&amp;B15,'Call Tracker'!$C:$C,"&lt;"&amp;B15+1,'Call Tracker'!$B:$B,"Michelle"))</f>
        <v>15</v>
      </c>
      <c r="G15" s="80">
        <f>IF(B15="","",COUNTIFS('Call Tracker'!$C:$C,"&gt;="&amp;B15,'Call Tracker'!$C:$C,"&lt;"&amp;B15+1,'Call Tracker'!$B:$B,"Joaquin"))</f>
        <v>31</v>
      </c>
      <c r="H15" s="61"/>
    </row>
    <row r="16" spans="1:8" ht="15.95" customHeight="1">
      <c r="A16" s="61"/>
      <c r="B16" s="70">
        <v>46011</v>
      </c>
      <c r="C16" s="71">
        <f>IF(B16="","",COUNTIFS('Call Tracker'!$C:$C,"&gt;="&amp;B16,'Call Tracker'!$C:$C,"&lt;"&amp;B16+1))</f>
        <v>26</v>
      </c>
      <c r="D16" s="71">
        <f>IF(B16="","",COUNTIFS('Call Tracker'!$C:$C,"&gt;="&amp;B16,'Call Tracker'!$C:$C,"&lt;"&amp;B16+1,'Call Tracker'!$D:$D,"YES"))</f>
        <v>19</v>
      </c>
      <c r="E16" s="71">
        <f>IF(B16="","",COUNTIFS('Call Tracker'!$C:$C,"&gt;="&amp;B16,'Call Tracker'!$C:$C,"&lt;"&amp;B16+1,'Call Tracker'!$D:$D,"NO"))</f>
        <v>5</v>
      </c>
      <c r="F16" s="71">
        <f>IF(B16="","",COUNTIFS('Call Tracker'!$C:$C,"&gt;="&amp;B16,'Call Tracker'!$C:$C,"&lt;"&amp;B16+1,'Call Tracker'!$B:$B,"Michelle"))</f>
        <v>0</v>
      </c>
      <c r="G16" s="71">
        <f>IF(B16="","",COUNTIFS('Call Tracker'!$C:$C,"&gt;="&amp;B16,'Call Tracker'!$C:$C,"&lt;"&amp;B16+1,'Call Tracker'!$B:$B,"Joaquin"))</f>
        <v>26</v>
      </c>
      <c r="H16" s="61"/>
    </row>
    <row r="17" spans="1:8" ht="15.95" customHeight="1">
      <c r="A17" s="61"/>
      <c r="B17" s="79">
        <v>46018</v>
      </c>
      <c r="C17" s="80">
        <f>IF(B17="","",COUNTIFS('Call Tracker'!$C:$C,"&gt;="&amp;B17,'Call Tracker'!$C:$C,"&lt;"&amp;B17+1))</f>
        <v>11</v>
      </c>
      <c r="D17" s="80">
        <f>IF(B17="","",COUNTIFS('Call Tracker'!$C:$C,"&gt;="&amp;B17,'Call Tracker'!$C:$C,"&lt;"&amp;B17+1,'Call Tracker'!$D:$D,"YES"))</f>
        <v>4</v>
      </c>
      <c r="E17" s="80">
        <f>IF(B17="","",COUNTIFS('Call Tracker'!$C:$C,"&gt;="&amp;B17,'Call Tracker'!$C:$C,"&lt;"&amp;B17+1,'Call Tracker'!$D:$D,"NO"))</f>
        <v>7</v>
      </c>
      <c r="F17" s="80">
        <f>IF(B17="","",COUNTIFS('Call Tracker'!$C:$C,"&gt;="&amp;B17,'Call Tracker'!$C:$C,"&lt;"&amp;B17+1,'Call Tracker'!$B:$B,"Michelle"))</f>
        <v>2</v>
      </c>
      <c r="G17" s="80">
        <f>IF(B17="","",COUNTIFS('Call Tracker'!$C:$C,"&gt;="&amp;B17,'Call Tracker'!$C:$C,"&lt;"&amp;B17+1,'Call Tracker'!$B:$B,"Joaquin"))</f>
        <v>9</v>
      </c>
      <c r="H17" s="61"/>
    </row>
    <row r="18" spans="1:8">
      <c r="A18" s="61"/>
      <c r="B18" s="70">
        <v>46025</v>
      </c>
      <c r="C18" s="71">
        <f>IF(B18="","",COUNTIFS('Call Tracker'!$C:$C,"&gt;="&amp;B18,'Call Tracker'!$C:$C,"&lt;"&amp;B18+1))</f>
        <v>37</v>
      </c>
      <c r="D18" s="71">
        <f>IF(B18="","",COUNTIFS('Call Tracker'!$C:$C,"&gt;="&amp;B18,'Call Tracker'!$C:$C,"&lt;"&amp;B18+1,'Call Tracker'!$D:$D,"YES"))</f>
        <v>27</v>
      </c>
      <c r="E18" s="71">
        <f>IF(B18="","",COUNTIFS('Call Tracker'!$C:$C,"&gt;="&amp;B18,'Call Tracker'!$C:$C,"&lt;"&amp;B18+1,'Call Tracker'!$D:$D,"NO"))</f>
        <v>6</v>
      </c>
      <c r="F18" s="71">
        <f>IF(B18="","",COUNTIFS('Call Tracker'!$C:$C,"&gt;="&amp;B18,'Call Tracker'!$C:$C,"&lt;"&amp;B18+1,'Call Tracker'!$B:$B,"Michelle"))</f>
        <v>2</v>
      </c>
      <c r="G18" s="71">
        <f>IF(B18="","",COUNTIFS('Call Tracker'!$C:$C,"&gt;="&amp;B18,'Call Tracker'!$C:$C,"&lt;"&amp;B18+1,'Call Tracker'!$B:$B,"Joaquin"))</f>
        <v>35</v>
      </c>
      <c r="H18" s="61"/>
    </row>
    <row r="19" spans="1:8">
      <c r="A19" s="61"/>
      <c r="B19" s="79">
        <v>46032</v>
      </c>
      <c r="C19" s="80">
        <f>IF(B19="","",COUNTIFS('Call Tracker'!$C:$C,"&gt;="&amp;B19,'Call Tracker'!$C:$C,"&lt;"&amp;B19+1))</f>
        <v>20</v>
      </c>
      <c r="D19" s="80">
        <f>IF(B19="","",COUNTIFS('Call Tracker'!$C:$C,"&gt;="&amp;B19,'Call Tracker'!$C:$C,"&lt;"&amp;B19+1,'Call Tracker'!$D:$D,"YES"))</f>
        <v>13</v>
      </c>
      <c r="E19" s="80">
        <f>IF(B19="","",COUNTIFS('Call Tracker'!$C:$C,"&gt;="&amp;B19,'Call Tracker'!$C:$C,"&lt;"&amp;B19+1,'Call Tracker'!$D:$D,"NO"))</f>
        <v>2</v>
      </c>
      <c r="F19" s="80">
        <f>IF(B19="","",COUNTIFS('Call Tracker'!$C:$C,"&gt;="&amp;B19,'Call Tracker'!$C:$C,"&lt;"&amp;B19+1,'Call Tracker'!$B:$B,"Michelle"))</f>
        <v>4</v>
      </c>
      <c r="G19" s="80">
        <f>IF(B19="","",COUNTIFS('Call Tracker'!$C:$C,"&gt;="&amp;B19,'Call Tracker'!$C:$C,"&lt;"&amp;B19+1,'Call Tracker'!$B:$B,"Joaquin"))</f>
        <v>16</v>
      </c>
      <c r="H19" s="61"/>
    </row>
    <row r="20" spans="1:8">
      <c r="A20" s="61"/>
      <c r="B20" s="70">
        <v>46039</v>
      </c>
      <c r="C20" s="71">
        <f>IF(B20="","",COUNTIFS('Call Tracker'!$C:$C,"&gt;="&amp;B20,'Call Tracker'!$C:$C,"&lt;"&amp;B20+1))</f>
        <v>28</v>
      </c>
      <c r="D20" s="71">
        <f>IF(B20="","",COUNTIFS('Call Tracker'!$C:$C,"&gt;="&amp;B20,'Call Tracker'!$C:$C,"&lt;"&amp;B20+1,'Call Tracker'!$D:$D,"YES"))</f>
        <v>19</v>
      </c>
      <c r="E20" s="71">
        <f>IF(B20="","",COUNTIFS('Call Tracker'!$C:$C,"&gt;="&amp;B20,'Call Tracker'!$C:$C,"&lt;"&amp;B20+1,'Call Tracker'!$D:$D,"NO"))</f>
        <v>9</v>
      </c>
      <c r="F20" s="71">
        <f>IF(B20="","",COUNTIFS('Call Tracker'!$C:$C,"&gt;="&amp;B20,'Call Tracker'!$C:$C,"&lt;"&amp;B20+1,'Call Tracker'!$B:$B,"Michelle"))</f>
        <v>9</v>
      </c>
      <c r="G20" s="71">
        <f>IF(B20="","",COUNTIFS('Call Tracker'!$C:$C,"&gt;="&amp;B20,'Call Tracker'!$C:$C,"&lt;"&amp;B20+1,'Call Tracker'!$B:$B,"Joaquin"))</f>
        <v>19</v>
      </c>
      <c r="H20" s="61"/>
    </row>
    <row r="21" spans="1:8">
      <c r="A21" s="61"/>
      <c r="B21" s="79">
        <v>46046</v>
      </c>
      <c r="C21" s="80">
        <f>IF(B21="","",COUNTIFS('Call Tracker'!$C:$C,"&gt;="&amp;B21,'Call Tracker'!$C:$C,"&lt;"&amp;B21+1))</f>
        <v>41</v>
      </c>
      <c r="D21" s="80">
        <f>IF(B21="","",COUNTIFS('Call Tracker'!$C:$C,"&gt;="&amp;B21,'Call Tracker'!$C:$C,"&lt;"&amp;B21+1,'Call Tracker'!$D:$D,"YES"))</f>
        <v>23</v>
      </c>
      <c r="E21" s="80">
        <f>IF(B21="","",COUNTIFS('Call Tracker'!$C:$C,"&gt;="&amp;B21,'Call Tracker'!$C:$C,"&lt;"&amp;B21+1,'Call Tracker'!$D:$D,"NO"))</f>
        <v>18</v>
      </c>
      <c r="F21" s="80">
        <f>IF(B21="","",COUNTIFS('Call Tracker'!$C:$C,"&gt;="&amp;B21,'Call Tracker'!$C:$C,"&lt;"&amp;B21+1,'Call Tracker'!$B:$B,"Michelle"))</f>
        <v>10</v>
      </c>
      <c r="G21" s="80">
        <f>IF(B21="","",COUNTIFS('Call Tracker'!$C:$C,"&gt;="&amp;B21,'Call Tracker'!$C:$C,"&lt;"&amp;B21+1,'Call Tracker'!$B:$B,"Joaquin"))</f>
        <v>31</v>
      </c>
      <c r="H21" s="61"/>
    </row>
    <row r="22" spans="1:8">
      <c r="A22" s="61"/>
      <c r="B22" s="70">
        <v>46053</v>
      </c>
      <c r="C22" s="71">
        <f>IF(B22="","",COUNTIFS('Call Tracker'!$C:$C,"&gt;="&amp;B22,'Call Tracker'!$C:$C,"&lt;"&amp;B22+1))</f>
        <v>38</v>
      </c>
      <c r="D22" s="71">
        <f>IF(B22="","",COUNTIFS('Call Tracker'!$C:$C,"&gt;="&amp;B22,'Call Tracker'!$C:$C,"&lt;"&amp;B22+1,'Call Tracker'!$D:$D,"YES"))</f>
        <v>22</v>
      </c>
      <c r="E22" s="71">
        <f>IF(B22="","",COUNTIFS('Call Tracker'!$C:$C,"&gt;="&amp;B22,'Call Tracker'!$C:$C,"&lt;"&amp;B22+1,'Call Tracker'!$D:$D,"NO"))</f>
        <v>16</v>
      </c>
      <c r="F22" s="71">
        <f>IF(B22="","",COUNTIFS('Call Tracker'!$C:$C,"&gt;="&amp;B22,'Call Tracker'!$C:$C,"&lt;"&amp;B22+1,'Call Tracker'!$B:$B,"Michelle"))</f>
        <v>10</v>
      </c>
      <c r="G22" s="71">
        <f>IF(B22="","",COUNTIFS('Call Tracker'!$C:$C,"&gt;="&amp;B22,'Call Tracker'!$C:$C,"&lt;"&amp;B22+1,'Call Tracker'!$B:$B,"Joaquin"))</f>
        <v>28</v>
      </c>
      <c r="H22" s="61"/>
    </row>
    <row r="23" spans="1:8">
      <c r="A23" s="61"/>
      <c r="B23" s="79">
        <v>46060</v>
      </c>
      <c r="C23" s="80">
        <f>IF(B23="","",COUNTIFS('Call Tracker'!$C:$C,"&gt;="&amp;B23,'Call Tracker'!$C:$C,"&lt;"&amp;B23+1))</f>
        <v>38</v>
      </c>
      <c r="D23" s="80">
        <f>IF(B23="","",COUNTIFS('Call Tracker'!$C:$C,"&gt;="&amp;B23,'Call Tracker'!$C:$C,"&lt;"&amp;B23+1,'Call Tracker'!$D:$D,"YES"))</f>
        <v>23</v>
      </c>
      <c r="E23" s="80">
        <f>IF(B23="","",COUNTIFS('Call Tracker'!$C:$C,"&gt;="&amp;B23,'Call Tracker'!$C:$C,"&lt;"&amp;B23+1,'Call Tracker'!$D:$D,"NO"))</f>
        <v>15</v>
      </c>
      <c r="F23" s="80">
        <f>IF(B23="","",COUNTIFS('Call Tracker'!$C:$C,"&gt;="&amp;B23,'Call Tracker'!$C:$C,"&lt;"&amp;B23+1,'Call Tracker'!$B:$B,"Michelle"))</f>
        <v>12</v>
      </c>
      <c r="G23" s="80">
        <f>IF(B23="","",COUNTIFS('Call Tracker'!$C:$C,"&gt;="&amp;B23,'Call Tracker'!$C:$C,"&lt;"&amp;B23+1,'Call Tracker'!$B:$B,"Joaquin"))</f>
        <v>26</v>
      </c>
      <c r="H23" s="61"/>
    </row>
    <row r="24" spans="1:8">
      <c r="A24" s="61"/>
      <c r="B24" s="70">
        <v>46067</v>
      </c>
      <c r="C24" s="71">
        <f>IF(B24="","",COUNTIFS('Call Tracker'!$C:$C,"&gt;="&amp;B24,'Call Tracker'!$C:$C,"&lt;"&amp;B24+1))</f>
        <v>46</v>
      </c>
      <c r="D24" s="71">
        <f>IF(B24="","",COUNTIFS('Call Tracker'!$C:$C,"&gt;="&amp;B24,'Call Tracker'!$C:$C,"&lt;"&amp;B24+1,'Call Tracker'!$D:$D,"YES"))</f>
        <v>28</v>
      </c>
      <c r="E24" s="71">
        <f>IF(B24="","",COUNTIFS('Call Tracker'!$C:$C,"&gt;="&amp;B24,'Call Tracker'!$C:$C,"&lt;"&amp;B24+1,'Call Tracker'!$D:$D,"NO"))</f>
        <v>18</v>
      </c>
      <c r="F24" s="71">
        <f>IF(B24="","",COUNTIFS('Call Tracker'!$C:$C,"&gt;="&amp;B24,'Call Tracker'!$C:$C,"&lt;"&amp;B24+1,'Call Tracker'!$B:$B,"Michelle"))</f>
        <v>22</v>
      </c>
      <c r="G24" s="71">
        <f>IF(B24="","",COUNTIFS('Call Tracker'!$C:$C,"&gt;="&amp;B24,'Call Tracker'!$C:$C,"&lt;"&amp;B24+1,'Call Tracker'!$B:$B,"Joaquin"))</f>
        <v>24</v>
      </c>
      <c r="H24" s="61"/>
    </row>
    <row r="25" spans="1:8">
      <c r="A25" s="61"/>
      <c r="B25" s="79">
        <v>46074</v>
      </c>
      <c r="C25" s="80">
        <f>IF(B25="","",COUNTIFS('Call Tracker'!$C:$C,"&gt;="&amp;B25,'Call Tracker'!$C:$C,"&lt;"&amp;B25+1))</f>
        <v>42</v>
      </c>
      <c r="D25" s="80">
        <f>IF(B25="","",COUNTIFS('Call Tracker'!$C:$C,"&gt;="&amp;B25,'Call Tracker'!$C:$C,"&lt;"&amp;B25+1,'Call Tracker'!$D:$D,"YES"))</f>
        <v>28</v>
      </c>
      <c r="E25" s="80">
        <f>IF(B25="","",COUNTIFS('Call Tracker'!$C:$C,"&gt;="&amp;B25,'Call Tracker'!$C:$C,"&lt;"&amp;B25+1,'Call Tracker'!$D:$D,"NO"))</f>
        <v>14</v>
      </c>
      <c r="F25" s="80">
        <f>IF(B25="","",COUNTIFS('Call Tracker'!$C:$C,"&gt;="&amp;B25,'Call Tracker'!$C:$C,"&lt;"&amp;B25+1,'Call Tracker'!$B:$B,"Michelle"))</f>
        <v>16</v>
      </c>
      <c r="G25" s="80">
        <f>IF(B25="","",COUNTIFS('Call Tracker'!$C:$C,"&gt;="&amp;B25,'Call Tracker'!$C:$C,"&lt;"&amp;B25+1,'Call Tracker'!$B:$B,"Joaquin"))</f>
        <v>26</v>
      </c>
      <c r="H25" s="61"/>
    </row>
    <row r="26" spans="1:8">
      <c r="A26" s="61"/>
      <c r="B26" s="70">
        <v>46081</v>
      </c>
      <c r="C26" s="71">
        <f>IF(B26="","",COUNTIFS('Call Tracker'!$C:$C,"&gt;="&amp;B26,'Call Tracker'!$C:$C,"&lt;"&amp;B26+1))</f>
        <v>26</v>
      </c>
      <c r="D26" s="71" t="s">
        <v>2372</v>
      </c>
      <c r="E26" s="71">
        <f>IF(B26="","",COUNTIFS('Call Tracker'!$C:$C,"&gt;="&amp;B26,'Call Tracker'!$C:$C,"&lt;"&amp;B26+1,'Call Tracker'!$D:$D,"NO"))</f>
        <v>15</v>
      </c>
      <c r="F26" s="71">
        <f>IF(B26="","",COUNTIFS('Call Tracker'!$C:$C,"&gt;="&amp;B26,'Call Tracker'!$C:$C,"&lt;"&amp;B26+1,'Call Tracker'!$B:$B,"Michelle"))</f>
        <v>1</v>
      </c>
      <c r="G26" s="71">
        <f>IF(B26="","",COUNTIFS('Call Tracker'!$C:$C,"&gt;="&amp;B26,'Call Tracker'!$C:$C,"&lt;"&amp;B26+1,'Call Tracker'!$B:$B,"Joaquin"))</f>
        <v>25</v>
      </c>
      <c r="H26" s="61"/>
    </row>
    <row r="27" spans="1:8">
      <c r="A27" s="61"/>
      <c r="B27" s="79"/>
      <c r="C27" s="80" t="str">
        <f>IF(B27="","",COUNTIFS('Call Tracker'!$C:$C,"&gt;="&amp;B27,'Call Tracker'!$C:$C,"&lt;"&amp;B27+1))</f>
        <v/>
      </c>
      <c r="D27" s="80" t="str">
        <f>IF(B27="","",COUNTIFS('Call Tracker'!$C:$C,"&gt;="&amp;B27,'Call Tracker'!$C:$C,"&lt;"&amp;B27+1,'Call Tracker'!$D:$D,"YES"))</f>
        <v/>
      </c>
      <c r="E27" s="80" t="str">
        <f>IF(B27="","",COUNTIFS('Call Tracker'!$C:$C,"&gt;="&amp;B27,'Call Tracker'!$C:$C,"&lt;"&amp;B27+1,'Call Tracker'!$D:$D,"NO"))</f>
        <v/>
      </c>
      <c r="F27" s="80" t="str">
        <f>IF(B27="","",COUNTIFS('Call Tracker'!$C:$C,"&gt;="&amp;B27,'Call Tracker'!$C:$C,"&lt;"&amp;B27+1,'Call Tracker'!$B:$B,"Michelle"))</f>
        <v/>
      </c>
      <c r="G27" s="80" t="str">
        <f>IF(B27="","",COUNTIFS('Call Tracker'!$C:$C,"&gt;="&amp;B27,'Call Tracker'!$C:$C,"&lt;"&amp;B27+1,'Call Tracker'!$B:$B,"Joaquin"))</f>
        <v/>
      </c>
      <c r="H27" s="61"/>
    </row>
    <row r="28" spans="1:8" ht="15.95" customHeight="1">
      <c r="A28" s="61"/>
      <c r="B28" s="61"/>
      <c r="C28" s="61"/>
      <c r="D28" s="61"/>
      <c r="E28" s="61"/>
      <c r="F28" s="61"/>
      <c r="G28" s="61"/>
      <c r="H28" s="61"/>
    </row>
    <row r="29" spans="1:8" ht="8.1" customHeight="1">
      <c r="A29" s="61"/>
      <c r="B29" s="61"/>
      <c r="C29" s="61"/>
      <c r="D29" s="61"/>
      <c r="E29" s="61"/>
      <c r="F29" s="61"/>
      <c r="G29" s="61"/>
      <c r="H29" s="61"/>
    </row>
    <row r="30" spans="1:8">
      <c r="A30" s="61"/>
      <c r="B30" s="74" t="s">
        <v>2373</v>
      </c>
      <c r="C30" s="75"/>
      <c r="D30" s="75"/>
      <c r="E30" s="61"/>
      <c r="F30" s="74" t="s">
        <v>2374</v>
      </c>
      <c r="G30" s="75"/>
      <c r="H30" s="61"/>
    </row>
    <row r="31" spans="1:8">
      <c r="A31" s="61"/>
      <c r="B31" s="76" t="s">
        <v>1</v>
      </c>
      <c r="C31" s="76" t="s">
        <v>2375</v>
      </c>
      <c r="D31" s="76" t="s">
        <v>2371</v>
      </c>
      <c r="E31" s="61"/>
      <c r="F31" s="76" t="s">
        <v>4</v>
      </c>
      <c r="G31" s="76" t="s">
        <v>2376</v>
      </c>
      <c r="H31" s="61"/>
    </row>
    <row r="32" spans="1:8">
      <c r="A32" s="61"/>
      <c r="B32" s="81" t="s">
        <v>20</v>
      </c>
      <c r="C32" s="82">
        <f>COUNTIF('Call Tracker'!B2:B2000,"Michelle")</f>
        <v>103</v>
      </c>
      <c r="D32" s="82">
        <f>COUNTIFS('Call Tracker'!B2:B2000,"Michelle",'Call Tracker'!D2:D2000,"NO")</f>
        <v>36</v>
      </c>
      <c r="E32" s="61"/>
      <c r="F32" s="81" t="s">
        <v>35</v>
      </c>
      <c r="G32" s="82">
        <f>COUNTIF('Call Tracker'!E2:E2000,"General Education")</f>
        <v>75</v>
      </c>
      <c r="H32" s="61"/>
    </row>
    <row r="33" spans="1:8">
      <c r="A33" s="61"/>
      <c r="B33" s="61" t="s">
        <v>31</v>
      </c>
      <c r="C33" s="69">
        <f>COUNTIF('Call Tracker'!B2:B2000,"Joaquin")</f>
        <v>296</v>
      </c>
      <c r="D33" s="69">
        <f>COUNTIFS('Call Tracker'!B2:B2000,"Joaquin",'Call Tracker'!D2:D2000,"NO")</f>
        <v>98</v>
      </c>
      <c r="E33" s="61"/>
      <c r="F33" s="61" t="s">
        <v>68</v>
      </c>
      <c r="G33" s="69">
        <f>COUNTIF('Call Tracker'!E2:E2000,"Rate Change")</f>
        <v>10</v>
      </c>
      <c r="H33" s="61"/>
    </row>
    <row r="34" spans="1:8">
      <c r="A34" s="61"/>
      <c r="B34" s="77" t="s">
        <v>2377</v>
      </c>
      <c r="C34" s="78">
        <f>SUM(C32:C33)</f>
        <v>399</v>
      </c>
      <c r="D34" s="78">
        <f>SUM(D32:D33)</f>
        <v>134</v>
      </c>
      <c r="E34" s="61"/>
      <c r="F34" s="81" t="s">
        <v>885</v>
      </c>
      <c r="G34" s="82">
        <f>COUNTIF('Call Tracker'!E2:E2000,"Updated/New PA")</f>
        <v>1</v>
      </c>
      <c r="H34" s="61"/>
    </row>
    <row r="35" spans="1:8">
      <c r="A35" s="61"/>
      <c r="B35" s="61"/>
      <c r="C35" s="61"/>
      <c r="D35" s="61"/>
      <c r="E35" s="61"/>
      <c r="F35" s="61" t="s">
        <v>28</v>
      </c>
      <c r="G35" s="69">
        <f>COUNTIF('Call Tracker'!E2:E2000,"Utility Assistance")</f>
        <v>3</v>
      </c>
      <c r="H35" s="61"/>
    </row>
    <row r="36" spans="1:8">
      <c r="A36" s="61"/>
      <c r="B36" s="61"/>
      <c r="C36" s="61"/>
      <c r="D36" s="61"/>
      <c r="E36" s="61"/>
      <c r="F36" s="81" t="s">
        <v>214</v>
      </c>
      <c r="G36" s="82">
        <f>COUNTIF('Call Tracker'!E2:E2000,"E3/E4")</f>
        <v>7</v>
      </c>
      <c r="H36" s="61"/>
    </row>
    <row r="37" spans="1:8">
      <c r="A37" s="61"/>
      <c r="B37" s="61"/>
      <c r="C37" s="61"/>
      <c r="D37" s="61"/>
      <c r="E37" s="61"/>
      <c r="F37" s="61" t="s">
        <v>2378</v>
      </c>
      <c r="G37" s="69">
        <f>COUNTIF('Call Tracker'!E2:E2000,"Other (fill in)")</f>
        <v>303</v>
      </c>
      <c r="H37" s="61"/>
    </row>
    <row r="38" spans="1:8">
      <c r="A38" s="61"/>
      <c r="B38" s="61"/>
      <c r="C38" s="61"/>
      <c r="D38" s="61"/>
      <c r="E38" s="61"/>
      <c r="F38" s="81" t="s">
        <v>2379</v>
      </c>
      <c r="G38" s="82">
        <f>COUNTIF('Call Tracker'!D2:D2000,"YES")</f>
        <v>244</v>
      </c>
      <c r="H38" s="61"/>
    </row>
    <row r="39" spans="1:8">
      <c r="A39" s="61"/>
      <c r="B39" s="61"/>
      <c r="C39" s="61"/>
      <c r="D39" s="61"/>
      <c r="E39" s="61"/>
      <c r="F39" s="61"/>
      <c r="G39" s="61"/>
      <c r="H39" s="61"/>
    </row>
    <row r="40" spans="1:8">
      <c r="A40" s="61"/>
      <c r="B40" s="72" t="str">
        <f ca="1">"Last updated: "&amp;TEXT(TODAY(),"mmmm d, yyyy")</f>
        <v>Last updated: March 5, 2026</v>
      </c>
      <c r="C40" s="61"/>
      <c r="D40" s="61"/>
      <c r="E40" s="61"/>
      <c r="F40" s="61"/>
      <c r="G40" s="61"/>
      <c r="H40" s="61"/>
    </row>
    <row r="41" spans="1:8">
      <c r="A41" s="61"/>
      <c r="B41" s="73" t="str">
        <f>_xlfn.LET(_xlpm.trackerTotal,COUNTA('Call Tracker'!A2:A2000),"✅ "&amp;_xlpm.trackerTotal&amp;" customers in tracker ("&amp;COUNTA('Call Tracker'!B2:B2000)&amp;" called, "&amp;_xlpm.trackerTotal-COUNTA('Call Tracker'!B2:B2000)&amp;" remaining)")</f>
        <v>✅ 1100 customers in tracker (399 called, 701 remaining)</v>
      </c>
      <c r="C41" s="61"/>
      <c r="D41" s="61"/>
      <c r="E41" s="61"/>
      <c r="F41" s="61"/>
      <c r="G41" s="61"/>
      <c r="H41" s="61"/>
    </row>
    <row r="42" spans="1:8">
      <c r="A42" s="61"/>
      <c r="B42" s="61"/>
      <c r="C42" s="61"/>
      <c r="D42" s="61"/>
      <c r="E42" s="61"/>
      <c r="F42" s="61"/>
      <c r="G42" s="61"/>
      <c r="H42" s="61"/>
    </row>
    <row r="43" spans="1:8">
      <c r="A43" s="61"/>
      <c r="B43" s="61"/>
      <c r="C43" s="61"/>
      <c r="D43" s="61"/>
      <c r="E43" s="61"/>
      <c r="F43" s="61"/>
      <c r="G43" s="61"/>
      <c r="H43" s="61"/>
    </row>
    <row r="44" spans="1:8">
      <c r="A44" s="61"/>
      <c r="B44" s="61"/>
      <c r="C44" s="61"/>
      <c r="D44" s="61"/>
      <c r="E44" s="61"/>
      <c r="F44" s="61"/>
      <c r="G44" s="61"/>
      <c r="H44" s="61"/>
    </row>
    <row r="45" spans="1:8">
      <c r="A45" s="61"/>
      <c r="B45" s="61"/>
      <c r="C45" s="61"/>
      <c r="D45" s="61"/>
      <c r="E45" s="61"/>
      <c r="F45" s="61"/>
      <c r="G45" s="61"/>
      <c r="H45" s="61"/>
    </row>
    <row r="46" spans="1:8">
      <c r="A46" s="61"/>
      <c r="B46" s="61"/>
      <c r="C46" s="61"/>
      <c r="D46" s="61"/>
      <c r="E46" s="61"/>
      <c r="F46" s="61"/>
      <c r="G46" s="61"/>
      <c r="H46" s="61"/>
    </row>
    <row r="47" spans="1:8">
      <c r="A47" s="61"/>
      <c r="B47" s="61"/>
      <c r="C47" s="61"/>
      <c r="D47" s="61"/>
      <c r="E47" s="61"/>
      <c r="F47" s="61"/>
      <c r="G47" s="61"/>
      <c r="H47" s="61"/>
    </row>
    <row r="48" spans="1:8">
      <c r="A48" s="61"/>
      <c r="B48" s="61"/>
      <c r="C48" s="61"/>
      <c r="D48" s="61"/>
      <c r="E48" s="61"/>
      <c r="F48" s="61"/>
      <c r="G48" s="61"/>
      <c r="H48" s="61"/>
    </row>
    <row r="49" spans="1:8">
      <c r="A49" s="61"/>
      <c r="B49" s="61"/>
      <c r="C49" s="61"/>
      <c r="D49" s="61"/>
      <c r="E49" s="61"/>
      <c r="F49" s="61"/>
      <c r="G49" s="61"/>
      <c r="H49" s="61"/>
    </row>
    <row r="50" spans="1:8">
      <c r="A50" s="61"/>
      <c r="B50" s="61"/>
      <c r="C50" s="61"/>
      <c r="D50" s="61"/>
      <c r="E50" s="61"/>
      <c r="F50" s="61"/>
      <c r="G50" s="61"/>
      <c r="H50" s="61"/>
    </row>
    <row r="51" spans="1:8">
      <c r="A51" s="61"/>
      <c r="B51" s="61"/>
      <c r="C51" s="61"/>
      <c r="D51" s="61"/>
      <c r="E51" s="61"/>
      <c r="F51" s="61"/>
      <c r="G51" s="61"/>
      <c r="H51" s="61"/>
    </row>
    <row r="52" spans="1:8">
      <c r="A52" s="61"/>
      <c r="B52" s="61"/>
      <c r="C52" s="61"/>
      <c r="D52" s="61"/>
      <c r="E52" s="61"/>
      <c r="F52" s="61"/>
      <c r="G52" s="61"/>
      <c r="H52" s="61"/>
    </row>
    <row r="53" spans="1:8">
      <c r="A53" s="61"/>
      <c r="B53" s="61"/>
      <c r="C53" s="61"/>
      <c r="D53" s="61"/>
      <c r="E53" s="61"/>
      <c r="F53" s="61"/>
      <c r="G53" s="61"/>
      <c r="H53" s="61"/>
    </row>
    <row r="54" spans="1:8">
      <c r="A54" s="61"/>
      <c r="B54" s="61"/>
      <c r="C54" s="61"/>
      <c r="D54" s="61"/>
      <c r="E54" s="61"/>
      <c r="F54" s="61"/>
      <c r="G54" s="61"/>
      <c r="H54" s="61"/>
    </row>
    <row r="55" spans="1:8">
      <c r="A55" s="61"/>
      <c r="B55" s="61"/>
      <c r="C55" s="61"/>
      <c r="D55" s="61"/>
      <c r="E55" s="61"/>
      <c r="F55" s="61"/>
      <c r="G55" s="61"/>
      <c r="H55" s="61"/>
    </row>
    <row r="56" spans="1:8">
      <c r="A56" s="61"/>
      <c r="B56" s="61"/>
      <c r="C56" s="61"/>
      <c r="D56" s="61"/>
      <c r="E56" s="61"/>
      <c r="F56" s="61"/>
      <c r="G56" s="61"/>
      <c r="H56" s="61"/>
    </row>
    <row r="57" spans="1:8">
      <c r="A57" s="61"/>
      <c r="B57" s="61"/>
      <c r="C57" s="61"/>
      <c r="D57" s="61"/>
      <c r="E57" s="61"/>
      <c r="F57" s="61"/>
      <c r="G57" s="61"/>
      <c r="H57" s="61"/>
    </row>
    <row r="58" spans="1:8">
      <c r="A58" s="61"/>
      <c r="B58" s="61"/>
      <c r="C58" s="61"/>
      <c r="D58" s="61"/>
      <c r="E58" s="61"/>
      <c r="F58" s="61"/>
      <c r="G58" s="61"/>
      <c r="H58" s="61"/>
    </row>
    <row r="59" spans="1:8">
      <c r="A59" s="61"/>
      <c r="B59" s="61"/>
      <c r="C59" s="61"/>
      <c r="D59" s="61"/>
      <c r="E59" s="61"/>
      <c r="F59" s="61"/>
      <c r="G59" s="61"/>
      <c r="H59" s="61"/>
    </row>
    <row r="60" spans="1:8">
      <c r="A60" s="61"/>
      <c r="B60" s="61"/>
      <c r="C60" s="61"/>
      <c r="D60" s="61"/>
      <c r="E60" s="61"/>
      <c r="F60" s="61"/>
      <c r="G60" s="61"/>
      <c r="H60" s="61"/>
    </row>
  </sheetData>
  <mergeCells count="1">
    <mergeCell ref="B2:G2"/>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F9853-09AE-4EF9-A42C-C1B72D126E34}">
  <dimension ref="A1:X1965"/>
  <sheetViews>
    <sheetView tabSelected="1" topLeftCell="G1933" workbookViewId="0">
      <selection activeCell="R1931" sqref="R1931"/>
    </sheetView>
  </sheetViews>
  <sheetFormatPr defaultColWidth="11.42578125" defaultRowHeight="12"/>
  <cols>
    <col min="1" max="1" width="13" style="22" bestFit="1" customWidth="1"/>
    <col min="2" max="2" width="17.140625" style="1" customWidth="1"/>
    <col min="3" max="3" width="18.7109375" style="1" bestFit="1" customWidth="1"/>
    <col min="4" max="4" width="14.7109375" style="1" customWidth="1"/>
    <col min="5" max="5" width="11.42578125" style="1"/>
    <col min="6" max="6" width="37.85546875" style="1" customWidth="1"/>
    <col min="7" max="7" width="24.85546875" style="1" customWidth="1"/>
    <col min="8" max="8" width="19" style="4" bestFit="1" customWidth="1"/>
    <col min="9" max="9" width="13.28515625" style="5" customWidth="1"/>
    <col min="10" max="10" width="9.42578125" style="5" customWidth="1"/>
    <col min="11" max="11" width="9.7109375" style="5" bestFit="1" customWidth="1"/>
    <col min="12" max="12" width="18.85546875" style="5" customWidth="1"/>
    <col min="13" max="13" width="11.140625" style="5" customWidth="1"/>
    <col min="14" max="14" width="13.42578125" style="5" customWidth="1"/>
    <col min="15" max="15" width="14.140625" style="5" customWidth="1"/>
    <col min="16" max="16" width="17" style="5" customWidth="1"/>
    <col min="17" max="17" width="22.42578125" style="5" customWidth="1"/>
    <col min="18" max="18" width="56.28515625" style="1" bestFit="1" customWidth="1"/>
    <col min="19" max="19" width="19.28515625" style="1" customWidth="1"/>
    <col min="20" max="20" width="14.42578125" style="1" customWidth="1"/>
    <col min="21" max="21" width="163.42578125" style="1" bestFit="1" customWidth="1"/>
    <col min="22" max="16384" width="11.42578125" style="1"/>
  </cols>
  <sheetData>
    <row r="1" spans="1:23" ht="24">
      <c r="A1" s="59" t="s">
        <v>2380</v>
      </c>
      <c r="B1" s="46" t="s">
        <v>2381</v>
      </c>
      <c r="C1" s="46" t="s">
        <v>2382</v>
      </c>
      <c r="D1" s="46" t="s">
        <v>8</v>
      </c>
      <c r="E1" s="46" t="s">
        <v>2383</v>
      </c>
      <c r="F1" s="46" t="s">
        <v>2384</v>
      </c>
      <c r="G1" s="47" t="s">
        <v>2385</v>
      </c>
      <c r="H1" s="48" t="s">
        <v>0</v>
      </c>
      <c r="I1" s="49" t="s">
        <v>2386</v>
      </c>
      <c r="J1" s="50" t="s">
        <v>683</v>
      </c>
      <c r="K1" s="50" t="s">
        <v>2387</v>
      </c>
      <c r="L1" s="50" t="s">
        <v>2388</v>
      </c>
      <c r="M1" s="50" t="s">
        <v>2389</v>
      </c>
      <c r="N1" s="51" t="s">
        <v>13</v>
      </c>
      <c r="O1" s="51" t="s">
        <v>2390</v>
      </c>
      <c r="P1" s="51" t="s">
        <v>2391</v>
      </c>
      <c r="Q1" s="51" t="s">
        <v>2392</v>
      </c>
      <c r="R1" s="52" t="s">
        <v>5</v>
      </c>
      <c r="S1" s="52" t="s">
        <v>2393</v>
      </c>
      <c r="T1" s="52" t="s">
        <v>2394</v>
      </c>
      <c r="U1" s="46" t="s">
        <v>2395</v>
      </c>
      <c r="V1" s="52" t="s">
        <v>17</v>
      </c>
      <c r="W1" s="52" t="s">
        <v>18</v>
      </c>
    </row>
    <row r="2" spans="1:23" hidden="1">
      <c r="A2" s="2">
        <v>45796</v>
      </c>
      <c r="B2" s="1" t="s">
        <v>2396</v>
      </c>
      <c r="C2" s="1" t="s">
        <v>2397</v>
      </c>
      <c r="D2" s="1" t="s">
        <v>2398</v>
      </c>
      <c r="E2" s="1">
        <v>85308</v>
      </c>
      <c r="F2" s="3" t="s">
        <v>2399</v>
      </c>
      <c r="G2" s="1" t="s">
        <v>2400</v>
      </c>
      <c r="H2" s="4" t="s">
        <v>2401</v>
      </c>
      <c r="V2" s="45">
        <f t="shared" ref="V2:V65" si="0">IF(OR(ISNUMBER(SEARCH("unable to locate acct",G2)),ISNUMBER(SEARCH("unknown",G2)),ISNUMBER(SEARCH("inactive",G2)),H2=""),0,1)</f>
        <v>1</v>
      </c>
      <c r="W2" s="45" t="s">
        <v>2402</v>
      </c>
    </row>
    <row r="3" spans="1:23" hidden="1">
      <c r="A3" s="2">
        <v>45797</v>
      </c>
      <c r="B3" s="1" t="s">
        <v>2403</v>
      </c>
      <c r="C3" s="1" t="s">
        <v>2404</v>
      </c>
      <c r="D3" s="1" t="s">
        <v>2405</v>
      </c>
      <c r="E3" s="1" t="s">
        <v>2405</v>
      </c>
      <c r="F3" s="3" t="s">
        <v>2406</v>
      </c>
      <c r="G3" s="1" t="s">
        <v>2407</v>
      </c>
      <c r="H3" s="4" t="s">
        <v>2401</v>
      </c>
      <c r="V3" s="45">
        <f t="shared" si="0"/>
        <v>1</v>
      </c>
      <c r="W3" s="45" t="s">
        <v>2408</v>
      </c>
    </row>
    <row r="4" spans="1:23" hidden="1">
      <c r="A4" s="2">
        <v>45797</v>
      </c>
      <c r="B4" s="1" t="s">
        <v>2409</v>
      </c>
      <c r="C4" s="1" t="s">
        <v>2410</v>
      </c>
      <c r="D4" s="1" t="s">
        <v>2398</v>
      </c>
      <c r="E4" s="1" t="s">
        <v>2405</v>
      </c>
      <c r="F4" s="3" t="s">
        <v>2406</v>
      </c>
      <c r="G4" s="1" t="s">
        <v>2411</v>
      </c>
      <c r="H4" s="4" t="s">
        <v>2331</v>
      </c>
      <c r="I4" s="6" t="s">
        <v>2412</v>
      </c>
      <c r="J4" s="5" t="s">
        <v>24</v>
      </c>
      <c r="K4" s="5" t="s">
        <v>24</v>
      </c>
      <c r="L4" s="5" t="s">
        <v>75</v>
      </c>
      <c r="M4" s="5" t="s">
        <v>24</v>
      </c>
      <c r="N4" s="5" t="s">
        <v>24</v>
      </c>
      <c r="O4" s="5" t="s">
        <v>75</v>
      </c>
      <c r="P4" s="5" t="s">
        <v>2413</v>
      </c>
      <c r="Q4" s="2">
        <v>45589</v>
      </c>
      <c r="U4" s="1" t="s">
        <v>2414</v>
      </c>
      <c r="V4" s="45">
        <f t="shared" si="0"/>
        <v>1</v>
      </c>
      <c r="W4" s="45" t="s">
        <v>2415</v>
      </c>
    </row>
    <row r="5" spans="1:23" hidden="1">
      <c r="A5" s="2">
        <v>45798</v>
      </c>
      <c r="B5" s="1" t="s">
        <v>2416</v>
      </c>
      <c r="C5" s="1" t="s">
        <v>2417</v>
      </c>
      <c r="D5" s="1" t="s">
        <v>2418</v>
      </c>
      <c r="E5" s="1">
        <v>85363</v>
      </c>
      <c r="F5" s="3" t="s">
        <v>2406</v>
      </c>
      <c r="G5" s="1" t="s">
        <v>2419</v>
      </c>
      <c r="H5" s="4" t="s">
        <v>2257</v>
      </c>
      <c r="I5" s="6" t="s">
        <v>2420</v>
      </c>
      <c r="J5" s="5" t="s">
        <v>24</v>
      </c>
      <c r="K5" s="5" t="s">
        <v>24</v>
      </c>
      <c r="L5" s="5" t="s">
        <v>2421</v>
      </c>
      <c r="M5" s="5" t="s">
        <v>24</v>
      </c>
      <c r="N5" s="5" t="s">
        <v>24</v>
      </c>
      <c r="O5" s="5" t="s">
        <v>75</v>
      </c>
      <c r="P5" s="5" t="s">
        <v>2413</v>
      </c>
      <c r="Q5" s="2">
        <v>45589</v>
      </c>
      <c r="R5" s="1" t="s">
        <v>2422</v>
      </c>
      <c r="V5" s="45">
        <f t="shared" si="0"/>
        <v>1</v>
      </c>
      <c r="W5" s="45" t="s">
        <v>2423</v>
      </c>
    </row>
    <row r="6" spans="1:23" hidden="1">
      <c r="A6" s="2">
        <v>45798</v>
      </c>
      <c r="B6" s="1" t="s">
        <v>2424</v>
      </c>
      <c r="C6" s="1" t="s">
        <v>2425</v>
      </c>
      <c r="D6" s="1" t="s">
        <v>2426</v>
      </c>
      <c r="E6" s="1">
        <v>85554</v>
      </c>
      <c r="F6" s="3" t="s">
        <v>2406</v>
      </c>
      <c r="G6" s="1" t="s">
        <v>2419</v>
      </c>
      <c r="H6" s="4" t="s">
        <v>2333</v>
      </c>
      <c r="I6" s="5" t="s">
        <v>2412</v>
      </c>
      <c r="J6" s="5" t="s">
        <v>24</v>
      </c>
      <c r="K6" s="5" t="s">
        <v>24</v>
      </c>
      <c r="L6" s="5" t="s">
        <v>75</v>
      </c>
      <c r="M6" s="5" t="s">
        <v>24</v>
      </c>
      <c r="N6" s="5" t="s">
        <v>24</v>
      </c>
      <c r="O6" s="5" t="s">
        <v>75</v>
      </c>
      <c r="P6" s="5" t="s">
        <v>2413</v>
      </c>
      <c r="Q6" s="2">
        <v>45589</v>
      </c>
      <c r="V6" s="45">
        <f t="shared" si="0"/>
        <v>1</v>
      </c>
      <c r="W6" s="45" t="s">
        <v>2427</v>
      </c>
    </row>
    <row r="7" spans="1:23" hidden="1">
      <c r="A7" s="2">
        <v>45799</v>
      </c>
      <c r="B7" s="1" t="s">
        <v>2428</v>
      </c>
      <c r="C7" s="1" t="s">
        <v>2429</v>
      </c>
      <c r="D7" s="1" t="s">
        <v>2405</v>
      </c>
      <c r="E7" s="1" t="s">
        <v>2405</v>
      </c>
      <c r="F7" s="3" t="s">
        <v>2430</v>
      </c>
      <c r="G7" s="1" t="s">
        <v>2431</v>
      </c>
      <c r="H7" s="4" t="s">
        <v>2287</v>
      </c>
      <c r="I7" s="5" t="s">
        <v>2432</v>
      </c>
      <c r="J7" s="5" t="s">
        <v>24</v>
      </c>
      <c r="K7" s="5" t="s">
        <v>24</v>
      </c>
      <c r="L7" s="7" t="s">
        <v>2433</v>
      </c>
      <c r="M7" s="5" t="s">
        <v>24</v>
      </c>
      <c r="N7" s="5" t="s">
        <v>24</v>
      </c>
      <c r="O7" s="5" t="s">
        <v>75</v>
      </c>
      <c r="P7" s="2">
        <v>45964</v>
      </c>
      <c r="Q7" s="2">
        <v>45954</v>
      </c>
      <c r="R7" s="1" t="s">
        <v>2434</v>
      </c>
      <c r="U7" s="1" t="s">
        <v>2435</v>
      </c>
      <c r="V7" s="45">
        <f t="shared" si="0"/>
        <v>1</v>
      </c>
      <c r="W7" s="45" t="s">
        <v>2436</v>
      </c>
    </row>
    <row r="8" spans="1:23" hidden="1">
      <c r="A8" s="2">
        <v>45800</v>
      </c>
      <c r="B8" s="1" t="s">
        <v>2437</v>
      </c>
      <c r="C8" s="1" t="s">
        <v>2438</v>
      </c>
      <c r="D8" s="1" t="s">
        <v>2439</v>
      </c>
      <c r="E8" s="1">
        <v>85009</v>
      </c>
      <c r="F8" s="3" t="s">
        <v>2406</v>
      </c>
      <c r="G8" s="1" t="s">
        <v>2440</v>
      </c>
      <c r="H8" s="4" t="s">
        <v>2405</v>
      </c>
      <c r="U8" s="1" t="s">
        <v>2441</v>
      </c>
      <c r="V8" s="45">
        <f t="shared" si="0"/>
        <v>1</v>
      </c>
      <c r="W8" s="45" t="s">
        <v>2442</v>
      </c>
    </row>
    <row r="9" spans="1:23" hidden="1">
      <c r="A9" s="2">
        <v>45804</v>
      </c>
      <c r="B9" s="1" t="s">
        <v>2443</v>
      </c>
      <c r="C9" s="1" t="s">
        <v>2444</v>
      </c>
      <c r="D9" s="1" t="s">
        <v>2445</v>
      </c>
      <c r="E9" s="1">
        <v>85331</v>
      </c>
      <c r="F9" s="3" t="s">
        <v>2406</v>
      </c>
      <c r="G9" s="1" t="s">
        <v>2446</v>
      </c>
      <c r="H9" s="4" t="s">
        <v>724</v>
      </c>
      <c r="I9" s="6" t="s">
        <v>2412</v>
      </c>
      <c r="J9" s="5" t="s">
        <v>24</v>
      </c>
      <c r="K9" s="5" t="s">
        <v>24</v>
      </c>
      <c r="L9" s="5" t="s">
        <v>75</v>
      </c>
      <c r="M9" s="5" t="s">
        <v>24</v>
      </c>
      <c r="N9" s="5" t="s">
        <v>24</v>
      </c>
      <c r="O9" s="5" t="s">
        <v>75</v>
      </c>
      <c r="P9" s="5" t="s">
        <v>2413</v>
      </c>
      <c r="Q9" s="2">
        <v>45954</v>
      </c>
      <c r="V9" s="45">
        <f t="shared" si="0"/>
        <v>1</v>
      </c>
      <c r="W9" s="45" t="s">
        <v>2447</v>
      </c>
    </row>
    <row r="10" spans="1:23" hidden="1">
      <c r="A10" s="2">
        <v>45805</v>
      </c>
      <c r="B10" s="1" t="s">
        <v>2448</v>
      </c>
      <c r="C10" s="1" t="s">
        <v>2449</v>
      </c>
      <c r="D10" s="1" t="s">
        <v>2405</v>
      </c>
      <c r="E10" s="1" t="s">
        <v>2405</v>
      </c>
      <c r="F10" s="3" t="s">
        <v>2406</v>
      </c>
      <c r="G10" s="1" t="s">
        <v>2450</v>
      </c>
      <c r="H10" s="4" t="s">
        <v>726</v>
      </c>
      <c r="I10" s="5" t="s">
        <v>2451</v>
      </c>
      <c r="J10" s="5" t="s">
        <v>24</v>
      </c>
      <c r="K10" s="5" t="s">
        <v>24</v>
      </c>
      <c r="L10" s="5" t="s">
        <v>75</v>
      </c>
      <c r="M10" s="5" t="s">
        <v>24</v>
      </c>
      <c r="N10" s="5" t="s">
        <v>24</v>
      </c>
      <c r="O10" s="5" t="s">
        <v>75</v>
      </c>
      <c r="P10" s="5" t="s">
        <v>2413</v>
      </c>
      <c r="Q10" s="2">
        <v>45954</v>
      </c>
      <c r="V10" s="45">
        <f t="shared" si="0"/>
        <v>1</v>
      </c>
      <c r="W10" s="45" t="s">
        <v>2452</v>
      </c>
    </row>
    <row r="11" spans="1:23" hidden="1">
      <c r="A11" s="2">
        <v>45812</v>
      </c>
      <c r="B11" s="1" t="s">
        <v>2453</v>
      </c>
      <c r="C11" s="1" t="s">
        <v>2454</v>
      </c>
      <c r="D11" s="1" t="s">
        <v>2405</v>
      </c>
      <c r="E11" s="1" t="s">
        <v>2405</v>
      </c>
      <c r="F11" s="3" t="s">
        <v>2406</v>
      </c>
      <c r="G11" s="1" t="s">
        <v>2455</v>
      </c>
      <c r="H11" s="4" t="s">
        <v>2401</v>
      </c>
      <c r="U11" s="1" t="s">
        <v>2456</v>
      </c>
      <c r="V11" s="53">
        <f t="shared" si="0"/>
        <v>1</v>
      </c>
      <c r="W11" s="53" t="s">
        <v>2457</v>
      </c>
    </row>
    <row r="12" spans="1:23" hidden="1">
      <c r="A12" s="2">
        <v>45812</v>
      </c>
      <c r="B12" s="1" t="s">
        <v>2458</v>
      </c>
      <c r="C12" s="1" t="s">
        <v>2459</v>
      </c>
      <c r="D12" s="1" t="s">
        <v>2405</v>
      </c>
      <c r="E12" s="1" t="s">
        <v>2405</v>
      </c>
      <c r="F12" s="3" t="s">
        <v>2406</v>
      </c>
      <c r="G12" s="1" t="s">
        <v>2455</v>
      </c>
      <c r="H12" s="4" t="s">
        <v>2335</v>
      </c>
      <c r="I12" s="5" t="s">
        <v>2460</v>
      </c>
      <c r="J12" s="5" t="s">
        <v>24</v>
      </c>
      <c r="K12" s="5" t="s">
        <v>24</v>
      </c>
      <c r="L12" s="5" t="s">
        <v>2461</v>
      </c>
      <c r="M12" s="5" t="s">
        <v>24</v>
      </c>
      <c r="N12" s="5" t="s">
        <v>24</v>
      </c>
      <c r="O12" s="5" t="s">
        <v>75</v>
      </c>
      <c r="P12" s="5" t="s">
        <v>2413</v>
      </c>
      <c r="Q12" s="2">
        <v>45957</v>
      </c>
      <c r="V12" s="45">
        <f t="shared" si="0"/>
        <v>1</v>
      </c>
      <c r="W12" s="45" t="s">
        <v>2462</v>
      </c>
    </row>
    <row r="13" spans="1:23" hidden="1">
      <c r="A13" s="2">
        <v>45813</v>
      </c>
      <c r="B13" s="1" t="s">
        <v>2463</v>
      </c>
      <c r="C13" s="1" t="s">
        <v>2464</v>
      </c>
      <c r="D13" s="1" t="s">
        <v>2465</v>
      </c>
      <c r="E13" s="1" t="s">
        <v>2405</v>
      </c>
      <c r="F13" s="3" t="s">
        <v>2406</v>
      </c>
      <c r="G13" s="1" t="s">
        <v>2466</v>
      </c>
      <c r="H13" s="4" t="s">
        <v>2254</v>
      </c>
      <c r="I13" s="6" t="s">
        <v>2420</v>
      </c>
      <c r="J13" s="5" t="s">
        <v>24</v>
      </c>
      <c r="K13" s="5" t="s">
        <v>24</v>
      </c>
      <c r="L13" s="5" t="s">
        <v>75</v>
      </c>
      <c r="M13" s="5" t="s">
        <v>24</v>
      </c>
      <c r="N13" s="5" t="s">
        <v>24</v>
      </c>
      <c r="O13" s="5" t="s">
        <v>75</v>
      </c>
      <c r="P13" s="5" t="s">
        <v>2413</v>
      </c>
      <c r="Q13" s="2">
        <v>45957</v>
      </c>
      <c r="V13" s="45">
        <f t="shared" si="0"/>
        <v>1</v>
      </c>
      <c r="W13" s="45" t="s">
        <v>2467</v>
      </c>
    </row>
    <row r="14" spans="1:23" hidden="1">
      <c r="A14" s="2">
        <v>45813</v>
      </c>
      <c r="B14" s="1" t="s">
        <v>2468</v>
      </c>
      <c r="C14" s="1" t="s">
        <v>2469</v>
      </c>
      <c r="D14" s="1" t="s">
        <v>2470</v>
      </c>
      <c r="E14" s="1">
        <v>86336</v>
      </c>
      <c r="F14" s="3" t="s">
        <v>2406</v>
      </c>
      <c r="G14" s="1" t="s">
        <v>2466</v>
      </c>
      <c r="H14" s="4" t="s">
        <v>2471</v>
      </c>
      <c r="J14" s="5" t="s">
        <v>24</v>
      </c>
      <c r="V14" s="45">
        <f t="shared" si="0"/>
        <v>1</v>
      </c>
      <c r="W14" s="45" t="s">
        <v>2472</v>
      </c>
    </row>
    <row r="15" spans="1:23" hidden="1">
      <c r="A15" s="2">
        <v>45814</v>
      </c>
      <c r="B15" s="1" t="s">
        <v>2473</v>
      </c>
      <c r="C15" s="1" t="s">
        <v>2474</v>
      </c>
      <c r="D15" s="1" t="s">
        <v>2475</v>
      </c>
      <c r="E15" s="1">
        <v>85351</v>
      </c>
      <c r="F15" s="3" t="s">
        <v>2406</v>
      </c>
      <c r="G15" s="1" t="s">
        <v>2476</v>
      </c>
      <c r="H15" s="4" t="s">
        <v>2241</v>
      </c>
      <c r="I15" s="5" t="s">
        <v>2451</v>
      </c>
      <c r="J15" s="5" t="s">
        <v>24</v>
      </c>
      <c r="K15" s="5" t="s">
        <v>24</v>
      </c>
      <c r="L15" s="5" t="s">
        <v>75</v>
      </c>
      <c r="M15" s="5" t="s">
        <v>24</v>
      </c>
      <c r="N15" s="5" t="s">
        <v>24</v>
      </c>
      <c r="O15" s="5" t="s">
        <v>75</v>
      </c>
      <c r="P15" s="5" t="s">
        <v>2413</v>
      </c>
      <c r="Q15" s="2">
        <v>45957</v>
      </c>
      <c r="V15" s="45">
        <f t="shared" si="0"/>
        <v>1</v>
      </c>
      <c r="W15" s="125" t="s">
        <v>2477</v>
      </c>
    </row>
    <row r="16" spans="1:23" hidden="1">
      <c r="A16" s="2">
        <v>45821</v>
      </c>
      <c r="B16" s="1" t="s">
        <v>2478</v>
      </c>
      <c r="C16" s="1" t="s">
        <v>2479</v>
      </c>
      <c r="D16" s="1" t="s">
        <v>2405</v>
      </c>
      <c r="E16" s="1" t="s">
        <v>2405</v>
      </c>
      <c r="F16" s="3" t="s">
        <v>2406</v>
      </c>
      <c r="G16" s="1" t="s">
        <v>2480</v>
      </c>
      <c r="H16" s="4" t="s">
        <v>2290</v>
      </c>
      <c r="I16" s="6" t="s">
        <v>2420</v>
      </c>
      <c r="J16" s="5" t="s">
        <v>24</v>
      </c>
      <c r="K16" s="5" t="s">
        <v>24</v>
      </c>
      <c r="L16" s="7" t="s">
        <v>2481</v>
      </c>
      <c r="M16" s="5" t="s">
        <v>24</v>
      </c>
      <c r="N16" s="5" t="s">
        <v>24</v>
      </c>
      <c r="O16" s="5" t="s">
        <v>75</v>
      </c>
      <c r="P16" s="5" t="s">
        <v>2413</v>
      </c>
      <c r="Q16" s="2">
        <v>45957</v>
      </c>
      <c r="R16" s="1" t="s">
        <v>2482</v>
      </c>
      <c r="V16" s="45">
        <f t="shared" si="0"/>
        <v>1</v>
      </c>
      <c r="W16" s="45" t="s">
        <v>2483</v>
      </c>
    </row>
    <row r="17" spans="1:23" ht="10.35" hidden="1" customHeight="1">
      <c r="A17" s="2">
        <v>45824</v>
      </c>
      <c r="B17" s="1" t="s">
        <v>2484</v>
      </c>
      <c r="C17" s="1" t="s">
        <v>2485</v>
      </c>
      <c r="D17" s="1" t="s">
        <v>2405</v>
      </c>
      <c r="E17" s="1" t="s">
        <v>2405</v>
      </c>
      <c r="F17" s="3" t="s">
        <v>2406</v>
      </c>
      <c r="G17" s="3" t="s">
        <v>2486</v>
      </c>
      <c r="H17" s="4" t="s">
        <v>2401</v>
      </c>
      <c r="I17" s="6"/>
      <c r="U17" s="1" t="s">
        <v>2487</v>
      </c>
      <c r="V17" s="45">
        <f t="shared" si="0"/>
        <v>1</v>
      </c>
      <c r="W17" s="45" t="s">
        <v>2488</v>
      </c>
    </row>
    <row r="18" spans="1:23" hidden="1">
      <c r="A18" s="2">
        <v>45824</v>
      </c>
      <c r="B18" s="1" t="s">
        <v>2489</v>
      </c>
      <c r="C18" s="1" t="s">
        <v>2490</v>
      </c>
      <c r="D18" s="1" t="s">
        <v>2405</v>
      </c>
      <c r="E18" s="1" t="s">
        <v>2405</v>
      </c>
      <c r="F18" s="3" t="s">
        <v>2406</v>
      </c>
      <c r="G18" s="1" t="s">
        <v>2491</v>
      </c>
      <c r="H18" s="4" t="s">
        <v>2401</v>
      </c>
      <c r="I18" s="6"/>
      <c r="V18" s="45">
        <f t="shared" si="0"/>
        <v>1</v>
      </c>
      <c r="W18" s="45" t="s">
        <v>2492</v>
      </c>
    </row>
    <row r="19" spans="1:23" hidden="1">
      <c r="A19" s="2">
        <v>45824</v>
      </c>
      <c r="B19" s="1" t="s">
        <v>2403</v>
      </c>
      <c r="C19" s="1" t="s">
        <v>2404</v>
      </c>
      <c r="D19" s="1" t="s">
        <v>2405</v>
      </c>
      <c r="E19" s="1" t="s">
        <v>2405</v>
      </c>
      <c r="F19" s="3" t="s">
        <v>2406</v>
      </c>
      <c r="G19" s="1" t="s">
        <v>2493</v>
      </c>
      <c r="H19" s="4" t="s">
        <v>2401</v>
      </c>
      <c r="I19" s="6"/>
      <c r="U19" s="1" t="s">
        <v>2494</v>
      </c>
      <c r="V19" s="45">
        <f t="shared" si="0"/>
        <v>1</v>
      </c>
      <c r="W19" s="45" t="s">
        <v>2495</v>
      </c>
    </row>
    <row r="20" spans="1:23" hidden="1">
      <c r="A20" s="2">
        <v>45825</v>
      </c>
      <c r="B20" s="1" t="s">
        <v>2496</v>
      </c>
      <c r="C20" s="1" t="s">
        <v>2497</v>
      </c>
      <c r="D20" s="1" t="s">
        <v>2498</v>
      </c>
      <c r="E20" s="1">
        <v>85379</v>
      </c>
      <c r="F20" s="3" t="s">
        <v>2406</v>
      </c>
      <c r="G20" s="1" t="s">
        <v>2499</v>
      </c>
      <c r="H20" s="4" t="s">
        <v>2401</v>
      </c>
      <c r="I20" s="6"/>
      <c r="V20" s="45">
        <f t="shared" si="0"/>
        <v>1</v>
      </c>
      <c r="W20" s="45" t="s">
        <v>2500</v>
      </c>
    </row>
    <row r="21" spans="1:23" hidden="1">
      <c r="A21" s="2">
        <v>45825</v>
      </c>
      <c r="B21" s="1" t="s">
        <v>2501</v>
      </c>
      <c r="C21" s="1" t="s">
        <v>2502</v>
      </c>
      <c r="D21" s="1" t="s">
        <v>2498</v>
      </c>
      <c r="E21" s="1">
        <v>85387</v>
      </c>
      <c r="F21" s="3" t="s">
        <v>2406</v>
      </c>
      <c r="G21" s="1" t="s">
        <v>2499</v>
      </c>
      <c r="H21" s="4" t="s">
        <v>2401</v>
      </c>
      <c r="I21" s="6"/>
      <c r="V21" s="45">
        <f t="shared" si="0"/>
        <v>1</v>
      </c>
      <c r="W21" s="45" t="s">
        <v>2503</v>
      </c>
    </row>
    <row r="22" spans="1:23" hidden="1">
      <c r="A22" s="2">
        <v>45825</v>
      </c>
      <c r="B22" s="1" t="s">
        <v>2504</v>
      </c>
      <c r="C22" s="1" t="s">
        <v>20</v>
      </c>
      <c r="D22" s="1" t="s">
        <v>2398</v>
      </c>
      <c r="E22" s="1">
        <v>85308</v>
      </c>
      <c r="F22" s="3" t="s">
        <v>2406</v>
      </c>
      <c r="G22" s="1" t="s">
        <v>2499</v>
      </c>
      <c r="H22" s="4" t="s">
        <v>2244</v>
      </c>
      <c r="I22" s="6" t="s">
        <v>2412</v>
      </c>
      <c r="J22" s="5" t="s">
        <v>24</v>
      </c>
      <c r="K22" s="5" t="s">
        <v>24</v>
      </c>
      <c r="L22" s="4" t="s">
        <v>75</v>
      </c>
      <c r="M22" s="4" t="s">
        <v>24</v>
      </c>
      <c r="N22" s="4" t="s">
        <v>24</v>
      </c>
      <c r="O22" s="5" t="s">
        <v>75</v>
      </c>
      <c r="P22" s="5" t="s">
        <v>2413</v>
      </c>
      <c r="Q22" s="2">
        <v>45957</v>
      </c>
      <c r="V22" s="45">
        <f t="shared" si="0"/>
        <v>1</v>
      </c>
      <c r="W22" s="45" t="s">
        <v>2505</v>
      </c>
    </row>
    <row r="23" spans="1:23" hidden="1">
      <c r="A23" s="2">
        <v>45826</v>
      </c>
      <c r="B23" s="1" t="s">
        <v>2506</v>
      </c>
      <c r="C23" s="1" t="s">
        <v>2507</v>
      </c>
      <c r="D23" s="1" t="s">
        <v>2439</v>
      </c>
      <c r="E23" s="1">
        <v>85027</v>
      </c>
      <c r="F23" s="3" t="s">
        <v>2406</v>
      </c>
      <c r="G23" s="1" t="s">
        <v>2508</v>
      </c>
      <c r="H23" s="4" t="s">
        <v>2401</v>
      </c>
      <c r="U23" s="1" t="s">
        <v>2509</v>
      </c>
      <c r="V23" s="45">
        <f t="shared" si="0"/>
        <v>1</v>
      </c>
      <c r="W23" s="45" t="s">
        <v>2510</v>
      </c>
    </row>
    <row r="24" spans="1:23" hidden="1">
      <c r="A24" s="2">
        <v>45826</v>
      </c>
      <c r="B24" s="1" t="s">
        <v>2511</v>
      </c>
      <c r="C24" s="1" t="s">
        <v>2512</v>
      </c>
      <c r="D24" s="1" t="s">
        <v>2513</v>
      </c>
      <c r="E24" s="1">
        <v>85254</v>
      </c>
      <c r="F24" s="3" t="s">
        <v>2406</v>
      </c>
      <c r="G24" s="1" t="s">
        <v>2508</v>
      </c>
      <c r="H24" s="4" t="s">
        <v>728</v>
      </c>
      <c r="I24" s="5" t="s">
        <v>2514</v>
      </c>
      <c r="J24" s="5" t="s">
        <v>24</v>
      </c>
      <c r="K24" s="5" t="s">
        <v>24</v>
      </c>
      <c r="L24" s="5" t="s">
        <v>75</v>
      </c>
      <c r="M24" s="5" t="s">
        <v>24</v>
      </c>
      <c r="N24" s="5" t="s">
        <v>24</v>
      </c>
      <c r="O24" s="5" t="s">
        <v>75</v>
      </c>
      <c r="P24" s="5" t="s">
        <v>2413</v>
      </c>
      <c r="Q24" s="2">
        <v>45957</v>
      </c>
      <c r="V24" s="45">
        <f t="shared" si="0"/>
        <v>1</v>
      </c>
      <c r="W24" s="45" t="s">
        <v>2515</v>
      </c>
    </row>
    <row r="25" spans="1:23" hidden="1">
      <c r="A25" s="2">
        <v>45826</v>
      </c>
      <c r="B25" s="1" t="s">
        <v>2516</v>
      </c>
      <c r="C25" s="1" t="s">
        <v>2517</v>
      </c>
      <c r="D25" s="1" t="s">
        <v>2518</v>
      </c>
      <c r="E25" s="1">
        <v>85233</v>
      </c>
      <c r="F25" s="3" t="s">
        <v>2406</v>
      </c>
      <c r="G25" s="1" t="s">
        <v>2508</v>
      </c>
      <c r="H25" s="4" t="s">
        <v>2337</v>
      </c>
      <c r="I25" s="5" t="s">
        <v>2412</v>
      </c>
      <c r="J25" s="5" t="s">
        <v>24</v>
      </c>
      <c r="K25" s="5" t="s">
        <v>24</v>
      </c>
      <c r="L25" s="5" t="s">
        <v>75</v>
      </c>
      <c r="M25" s="5" t="s">
        <v>24</v>
      </c>
      <c r="N25" s="5" t="s">
        <v>24</v>
      </c>
      <c r="O25" s="5" t="s">
        <v>75</v>
      </c>
      <c r="P25" s="5" t="s">
        <v>2413</v>
      </c>
      <c r="Q25" s="2">
        <v>45957</v>
      </c>
      <c r="V25" s="45">
        <f t="shared" si="0"/>
        <v>1</v>
      </c>
      <c r="W25" s="45" t="s">
        <v>2519</v>
      </c>
    </row>
    <row r="26" spans="1:23" hidden="1">
      <c r="A26" s="2">
        <v>45826</v>
      </c>
      <c r="B26" s="1" t="s">
        <v>2520</v>
      </c>
      <c r="C26" s="1" t="s">
        <v>2521</v>
      </c>
      <c r="D26" s="1" t="s">
        <v>2498</v>
      </c>
      <c r="E26" s="1">
        <v>85388</v>
      </c>
      <c r="F26" s="3" t="s">
        <v>2406</v>
      </c>
      <c r="G26" s="1" t="s">
        <v>2508</v>
      </c>
      <c r="H26" s="4" t="s">
        <v>730</v>
      </c>
      <c r="I26" s="5" t="s">
        <v>2412</v>
      </c>
      <c r="J26" s="5" t="s">
        <v>24</v>
      </c>
      <c r="K26" s="5" t="s">
        <v>24</v>
      </c>
      <c r="L26" s="5" t="s">
        <v>75</v>
      </c>
      <c r="M26" s="5" t="s">
        <v>24</v>
      </c>
      <c r="N26" s="5" t="s">
        <v>24</v>
      </c>
      <c r="O26" s="5" t="s">
        <v>75</v>
      </c>
      <c r="P26" s="5" t="s">
        <v>2413</v>
      </c>
      <c r="Q26" s="2">
        <v>45957</v>
      </c>
      <c r="V26" s="45">
        <f t="shared" si="0"/>
        <v>1</v>
      </c>
      <c r="W26" s="45" t="s">
        <v>2522</v>
      </c>
    </row>
    <row r="27" spans="1:23" hidden="1">
      <c r="A27" s="2">
        <v>45826</v>
      </c>
      <c r="B27" s="1" t="s">
        <v>2523</v>
      </c>
      <c r="C27" s="1" t="s">
        <v>2524</v>
      </c>
      <c r="D27" s="1" t="s">
        <v>2513</v>
      </c>
      <c r="E27" s="1">
        <v>85266</v>
      </c>
      <c r="F27" s="3" t="s">
        <v>2406</v>
      </c>
      <c r="G27" s="1" t="s">
        <v>2508</v>
      </c>
      <c r="H27" s="4" t="s">
        <v>732</v>
      </c>
      <c r="I27" s="5" t="s">
        <v>2412</v>
      </c>
      <c r="J27" s="5" t="s">
        <v>24</v>
      </c>
      <c r="K27" s="5" t="s">
        <v>24</v>
      </c>
      <c r="L27" s="5" t="s">
        <v>75</v>
      </c>
      <c r="M27" s="5" t="s">
        <v>24</v>
      </c>
      <c r="N27" s="5" t="s">
        <v>24</v>
      </c>
      <c r="O27" s="5" t="s">
        <v>75</v>
      </c>
      <c r="P27" s="5" t="s">
        <v>2413</v>
      </c>
      <c r="Q27" s="2">
        <v>45957</v>
      </c>
      <c r="V27" s="45">
        <f t="shared" si="0"/>
        <v>1</v>
      </c>
      <c r="W27" s="45" t="s">
        <v>2525</v>
      </c>
    </row>
    <row r="28" spans="1:23" hidden="1">
      <c r="A28" s="2">
        <v>45826</v>
      </c>
      <c r="B28" s="1" t="s">
        <v>2526</v>
      </c>
      <c r="C28" s="1" t="s">
        <v>2527</v>
      </c>
      <c r="D28" s="1" t="s">
        <v>2528</v>
      </c>
      <c r="E28" s="1" t="s">
        <v>2405</v>
      </c>
      <c r="F28" s="3" t="s">
        <v>2406</v>
      </c>
      <c r="G28" s="1" t="s">
        <v>2529</v>
      </c>
      <c r="H28" s="4" t="s">
        <v>2401</v>
      </c>
      <c r="I28" s="6"/>
      <c r="U28" s="1" t="s">
        <v>2456</v>
      </c>
      <c r="V28" s="45">
        <f t="shared" si="0"/>
        <v>1</v>
      </c>
      <c r="W28" s="45" t="s">
        <v>2530</v>
      </c>
    </row>
    <row r="29" spans="1:23" hidden="1">
      <c r="A29" s="2">
        <v>45826</v>
      </c>
      <c r="B29" s="1" t="s">
        <v>2531</v>
      </c>
      <c r="C29" s="1" t="s">
        <v>2532</v>
      </c>
      <c r="D29" s="1" t="s">
        <v>2513</v>
      </c>
      <c r="E29" s="1">
        <v>85254</v>
      </c>
      <c r="F29" s="3" t="s">
        <v>2406</v>
      </c>
      <c r="G29" s="1" t="s">
        <v>2529</v>
      </c>
      <c r="H29" s="4" t="s">
        <v>2292</v>
      </c>
      <c r="I29" s="5" t="s">
        <v>2432</v>
      </c>
      <c r="J29" s="5" t="s">
        <v>2533</v>
      </c>
      <c r="K29" s="5" t="s">
        <v>24</v>
      </c>
      <c r="L29" s="5" t="s">
        <v>2534</v>
      </c>
      <c r="M29" s="5" t="s">
        <v>24</v>
      </c>
      <c r="N29" s="5" t="s">
        <v>24</v>
      </c>
      <c r="O29" s="5" t="s">
        <v>75</v>
      </c>
      <c r="P29" s="5" t="s">
        <v>2413</v>
      </c>
      <c r="Q29" s="2">
        <v>45957</v>
      </c>
      <c r="U29" s="1" t="s">
        <v>2535</v>
      </c>
      <c r="V29" s="45">
        <f t="shared" si="0"/>
        <v>1</v>
      </c>
      <c r="W29" s="45" t="s">
        <v>2536</v>
      </c>
    </row>
    <row r="30" spans="1:23" hidden="1">
      <c r="A30" s="2">
        <v>45826</v>
      </c>
      <c r="B30" s="1" t="s">
        <v>2537</v>
      </c>
      <c r="C30" s="1" t="s">
        <v>2538</v>
      </c>
      <c r="D30" s="1" t="s">
        <v>2439</v>
      </c>
      <c r="E30" s="1">
        <v>85029</v>
      </c>
      <c r="F30" s="3" t="s">
        <v>2406</v>
      </c>
      <c r="G30" s="1" t="s">
        <v>2529</v>
      </c>
      <c r="H30" s="4" t="s">
        <v>2278</v>
      </c>
      <c r="I30" s="5" t="s">
        <v>2412</v>
      </c>
      <c r="J30" s="5" t="s">
        <v>24</v>
      </c>
      <c r="K30" s="5" t="s">
        <v>24</v>
      </c>
      <c r="L30" s="7" t="s">
        <v>2539</v>
      </c>
      <c r="M30" s="5" t="s">
        <v>24</v>
      </c>
      <c r="N30" s="5" t="s">
        <v>24</v>
      </c>
      <c r="O30" s="5" t="s">
        <v>75</v>
      </c>
      <c r="P30" s="2">
        <v>45964</v>
      </c>
      <c r="Q30" s="2">
        <v>45957</v>
      </c>
      <c r="R30" s="1" t="s">
        <v>2540</v>
      </c>
      <c r="U30" s="1" t="s">
        <v>2541</v>
      </c>
      <c r="V30" s="45">
        <f t="shared" si="0"/>
        <v>1</v>
      </c>
      <c r="W30" s="45" t="s">
        <v>2542</v>
      </c>
    </row>
    <row r="31" spans="1:23" hidden="1">
      <c r="A31" s="2">
        <v>45826</v>
      </c>
      <c r="B31" s="1" t="s">
        <v>2543</v>
      </c>
      <c r="C31" s="1" t="s">
        <v>2524</v>
      </c>
      <c r="D31" s="1" t="s">
        <v>2405</v>
      </c>
      <c r="E31" s="1" t="s">
        <v>2405</v>
      </c>
      <c r="F31" s="3" t="s">
        <v>2406</v>
      </c>
      <c r="G31" s="1" t="s">
        <v>2544</v>
      </c>
      <c r="H31" s="4" t="s">
        <v>2401</v>
      </c>
      <c r="I31" s="6"/>
      <c r="U31" s="1" t="s">
        <v>2456</v>
      </c>
      <c r="V31" s="45">
        <f t="shared" si="0"/>
        <v>1</v>
      </c>
      <c r="W31" s="45" t="s">
        <v>2545</v>
      </c>
    </row>
    <row r="32" spans="1:23" hidden="1">
      <c r="A32" s="2">
        <v>45826</v>
      </c>
      <c r="B32" s="1" t="s">
        <v>2546</v>
      </c>
      <c r="C32" s="1" t="s">
        <v>2547</v>
      </c>
      <c r="D32" s="1" t="s">
        <v>2405</v>
      </c>
      <c r="E32" s="1" t="s">
        <v>2405</v>
      </c>
      <c r="F32" s="3" t="s">
        <v>2406</v>
      </c>
      <c r="G32" s="1" t="s">
        <v>2544</v>
      </c>
      <c r="H32" s="4" t="s">
        <v>2281</v>
      </c>
      <c r="I32" s="5" t="s">
        <v>2451</v>
      </c>
      <c r="J32" s="5" t="s">
        <v>24</v>
      </c>
      <c r="K32" s="5" t="s">
        <v>24</v>
      </c>
      <c r="L32" s="4" t="s">
        <v>75</v>
      </c>
      <c r="M32" s="4" t="s">
        <v>24</v>
      </c>
      <c r="N32" s="4" t="s">
        <v>24</v>
      </c>
      <c r="O32" s="5" t="s">
        <v>75</v>
      </c>
      <c r="P32" s="5" t="s">
        <v>2413</v>
      </c>
      <c r="Q32" s="2">
        <v>45957</v>
      </c>
      <c r="V32" s="45">
        <f t="shared" si="0"/>
        <v>1</v>
      </c>
      <c r="W32" s="45" t="s">
        <v>2548</v>
      </c>
    </row>
    <row r="33" spans="1:23" hidden="1">
      <c r="A33" s="2">
        <v>45826</v>
      </c>
      <c r="B33" s="1" t="s">
        <v>2549</v>
      </c>
      <c r="C33" s="1" t="s">
        <v>2550</v>
      </c>
      <c r="D33" s="1" t="s">
        <v>2405</v>
      </c>
      <c r="E33" s="1" t="s">
        <v>2405</v>
      </c>
      <c r="F33" s="3" t="s">
        <v>2406</v>
      </c>
      <c r="G33" s="1" t="s">
        <v>2544</v>
      </c>
      <c r="H33" s="4" t="s">
        <v>735</v>
      </c>
      <c r="I33" s="6" t="s">
        <v>2412</v>
      </c>
      <c r="J33" s="5" t="s">
        <v>24</v>
      </c>
      <c r="K33" s="5" t="s">
        <v>24</v>
      </c>
      <c r="L33" s="4" t="s">
        <v>75</v>
      </c>
      <c r="M33" s="4" t="s">
        <v>24</v>
      </c>
      <c r="N33" s="4" t="s">
        <v>24</v>
      </c>
      <c r="O33" s="5" t="s">
        <v>75</v>
      </c>
      <c r="P33" s="5" t="s">
        <v>2413</v>
      </c>
      <c r="Q33" s="2">
        <v>45957</v>
      </c>
      <c r="R33" s="1" t="s">
        <v>2551</v>
      </c>
      <c r="U33" s="1" t="s">
        <v>2552</v>
      </c>
      <c r="V33" s="45">
        <f t="shared" si="0"/>
        <v>1</v>
      </c>
      <c r="W33" s="45" t="s">
        <v>2553</v>
      </c>
    </row>
    <row r="34" spans="1:23" hidden="1">
      <c r="A34" s="2">
        <v>45826</v>
      </c>
      <c r="B34" s="1" t="s">
        <v>2554</v>
      </c>
      <c r="C34" s="1" t="s">
        <v>20</v>
      </c>
      <c r="D34" s="1" t="s">
        <v>2398</v>
      </c>
      <c r="E34" s="1">
        <v>85310</v>
      </c>
      <c r="F34" s="3" t="s">
        <v>2406</v>
      </c>
      <c r="G34" s="1" t="s">
        <v>2544</v>
      </c>
      <c r="H34" s="4" t="s">
        <v>2401</v>
      </c>
      <c r="I34" s="6"/>
      <c r="U34" s="1" t="s">
        <v>2456</v>
      </c>
      <c r="V34" s="45">
        <f t="shared" si="0"/>
        <v>1</v>
      </c>
      <c r="W34" s="45" t="s">
        <v>2555</v>
      </c>
    </row>
    <row r="35" spans="1:23" hidden="1">
      <c r="A35" s="2">
        <v>45826</v>
      </c>
      <c r="B35" s="1" t="s">
        <v>2556</v>
      </c>
      <c r="C35" s="1" t="s">
        <v>2557</v>
      </c>
      <c r="D35" s="1" t="s">
        <v>2445</v>
      </c>
      <c r="E35" s="1">
        <v>85331</v>
      </c>
      <c r="F35" s="3" t="s">
        <v>2406</v>
      </c>
      <c r="G35" s="1" t="s">
        <v>2544</v>
      </c>
      <c r="H35" s="4" t="s">
        <v>2295</v>
      </c>
      <c r="I35" s="6" t="s">
        <v>2558</v>
      </c>
      <c r="J35" s="5" t="s">
        <v>24</v>
      </c>
      <c r="K35" s="5" t="s">
        <v>24</v>
      </c>
      <c r="L35" s="9" t="s">
        <v>2559</v>
      </c>
      <c r="M35" s="4" t="s">
        <v>24</v>
      </c>
      <c r="N35" s="4" t="s">
        <v>24</v>
      </c>
      <c r="O35" s="5" t="s">
        <v>75</v>
      </c>
      <c r="P35" s="2">
        <v>45964</v>
      </c>
      <c r="Q35" s="2">
        <v>45957</v>
      </c>
      <c r="R35" s="1" t="s">
        <v>2540</v>
      </c>
      <c r="U35" s="1" t="s">
        <v>2560</v>
      </c>
      <c r="V35" s="45">
        <f t="shared" si="0"/>
        <v>1</v>
      </c>
      <c r="W35" s="45" t="s">
        <v>2561</v>
      </c>
    </row>
    <row r="36" spans="1:23" hidden="1">
      <c r="A36" s="2">
        <v>45827</v>
      </c>
      <c r="B36" s="1" t="s">
        <v>2562</v>
      </c>
      <c r="C36" s="1" t="s">
        <v>2563</v>
      </c>
      <c r="D36" s="1" t="s">
        <v>2564</v>
      </c>
      <c r="E36" s="1" t="s">
        <v>2405</v>
      </c>
      <c r="F36" s="3" t="s">
        <v>2565</v>
      </c>
      <c r="G36" s="1" t="s">
        <v>2566</v>
      </c>
      <c r="H36" s="4" t="s">
        <v>2401</v>
      </c>
      <c r="I36" s="6"/>
      <c r="L36" s="4"/>
      <c r="M36" s="4"/>
      <c r="N36" s="4"/>
      <c r="U36" s="1" t="s">
        <v>2456</v>
      </c>
      <c r="V36" s="45">
        <f t="shared" si="0"/>
        <v>1</v>
      </c>
      <c r="W36" s="45" t="s">
        <v>2567</v>
      </c>
    </row>
    <row r="37" spans="1:23" hidden="1">
      <c r="A37" s="2">
        <v>45827</v>
      </c>
      <c r="B37" s="1" t="s">
        <v>2568</v>
      </c>
      <c r="C37" s="1" t="s">
        <v>2569</v>
      </c>
      <c r="D37" s="1" t="s">
        <v>2570</v>
      </c>
      <c r="E37" s="1" t="s">
        <v>2405</v>
      </c>
      <c r="F37" s="3" t="s">
        <v>2406</v>
      </c>
      <c r="G37" s="1" t="s">
        <v>2571</v>
      </c>
      <c r="H37" s="4" t="s">
        <v>2401</v>
      </c>
      <c r="I37" s="6"/>
      <c r="L37" s="4"/>
      <c r="M37" s="4"/>
      <c r="N37" s="4"/>
      <c r="U37" s="1" t="s">
        <v>2456</v>
      </c>
      <c r="V37" s="45">
        <f t="shared" si="0"/>
        <v>1</v>
      </c>
      <c r="W37" s="45" t="s">
        <v>2572</v>
      </c>
    </row>
    <row r="38" spans="1:23" hidden="1">
      <c r="A38" s="2">
        <v>45827</v>
      </c>
      <c r="B38" s="1" t="s">
        <v>2573</v>
      </c>
      <c r="C38" s="1" t="s">
        <v>2574</v>
      </c>
      <c r="D38" s="1" t="s">
        <v>2405</v>
      </c>
      <c r="E38" s="1" t="s">
        <v>2405</v>
      </c>
      <c r="F38" s="3" t="s">
        <v>2406</v>
      </c>
      <c r="G38" s="1" t="s">
        <v>2571</v>
      </c>
      <c r="H38" s="4" t="s">
        <v>2401</v>
      </c>
      <c r="I38" s="6"/>
      <c r="L38" s="4"/>
      <c r="M38" s="4"/>
      <c r="N38" s="4"/>
      <c r="U38" s="1" t="s">
        <v>2456</v>
      </c>
      <c r="V38" s="45">
        <f t="shared" si="0"/>
        <v>1</v>
      </c>
      <c r="W38" s="45" t="s">
        <v>2575</v>
      </c>
    </row>
    <row r="39" spans="1:23" hidden="1">
      <c r="A39" s="2">
        <v>45827</v>
      </c>
      <c r="B39" s="1" t="s">
        <v>2576</v>
      </c>
      <c r="C39" s="1" t="s">
        <v>2577</v>
      </c>
      <c r="D39" s="1" t="s">
        <v>2405</v>
      </c>
      <c r="E39" s="1" t="s">
        <v>2405</v>
      </c>
      <c r="F39" s="3" t="s">
        <v>2406</v>
      </c>
      <c r="G39" s="1" t="s">
        <v>2571</v>
      </c>
      <c r="H39" s="4" t="s">
        <v>738</v>
      </c>
      <c r="I39" s="6" t="s">
        <v>2412</v>
      </c>
      <c r="J39" s="5" t="s">
        <v>24</v>
      </c>
      <c r="K39" s="5" t="s">
        <v>24</v>
      </c>
      <c r="L39" s="4" t="s">
        <v>75</v>
      </c>
      <c r="M39" s="4" t="s">
        <v>24</v>
      </c>
      <c r="N39" s="4" t="s">
        <v>24</v>
      </c>
      <c r="O39" s="5" t="s">
        <v>75</v>
      </c>
      <c r="P39" s="5" t="s">
        <v>2413</v>
      </c>
      <c r="Q39" s="2">
        <v>45957</v>
      </c>
      <c r="V39" s="45">
        <f t="shared" si="0"/>
        <v>1</v>
      </c>
      <c r="W39" s="45" t="s">
        <v>2578</v>
      </c>
    </row>
    <row r="40" spans="1:23" hidden="1">
      <c r="A40" s="2">
        <v>45827</v>
      </c>
      <c r="B40" s="1" t="s">
        <v>2579</v>
      </c>
      <c r="C40" s="1" t="s">
        <v>2580</v>
      </c>
      <c r="D40" s="1" t="s">
        <v>2439</v>
      </c>
      <c r="E40" s="1" t="s">
        <v>2405</v>
      </c>
      <c r="F40" s="3" t="s">
        <v>2406</v>
      </c>
      <c r="G40" s="1" t="s">
        <v>2581</v>
      </c>
      <c r="H40" s="4" t="s">
        <v>2401</v>
      </c>
      <c r="I40" s="6"/>
      <c r="L40" s="4"/>
      <c r="M40" s="4"/>
      <c r="N40" s="4"/>
      <c r="V40" s="45">
        <f t="shared" si="0"/>
        <v>1</v>
      </c>
      <c r="W40" s="45" t="s">
        <v>2582</v>
      </c>
    </row>
    <row r="41" spans="1:23" hidden="1">
      <c r="A41" s="2">
        <v>45827</v>
      </c>
      <c r="B41" s="1" t="s">
        <v>2583</v>
      </c>
      <c r="C41" s="1" t="s">
        <v>2584</v>
      </c>
      <c r="D41" s="1" t="s">
        <v>2498</v>
      </c>
      <c r="E41" s="1">
        <v>85374</v>
      </c>
      <c r="F41" s="3" t="s">
        <v>2406</v>
      </c>
      <c r="G41" s="1" t="s">
        <v>2581</v>
      </c>
      <c r="H41" s="4" t="s">
        <v>741</v>
      </c>
      <c r="I41" s="6" t="s">
        <v>2514</v>
      </c>
      <c r="J41" s="5" t="s">
        <v>24</v>
      </c>
      <c r="K41" s="5" t="s">
        <v>24</v>
      </c>
      <c r="L41" s="4" t="s">
        <v>75</v>
      </c>
      <c r="M41" s="4" t="s">
        <v>24</v>
      </c>
      <c r="N41" s="4" t="s">
        <v>24</v>
      </c>
      <c r="O41" s="5" t="s">
        <v>75</v>
      </c>
      <c r="P41" s="5" t="s">
        <v>2413</v>
      </c>
      <c r="Q41" s="2">
        <v>45957</v>
      </c>
      <c r="V41" s="45">
        <f t="shared" si="0"/>
        <v>1</v>
      </c>
      <c r="W41" s="45" t="s">
        <v>2585</v>
      </c>
    </row>
    <row r="42" spans="1:23" hidden="1">
      <c r="A42" s="2">
        <v>45831</v>
      </c>
      <c r="B42" s="1" t="s">
        <v>2586</v>
      </c>
      <c r="C42" s="1" t="s">
        <v>2485</v>
      </c>
      <c r="D42" s="1" t="s">
        <v>2564</v>
      </c>
      <c r="E42" s="1">
        <v>85338</v>
      </c>
      <c r="F42" s="3" t="s">
        <v>2406</v>
      </c>
      <c r="H42" s="4" t="s">
        <v>2401</v>
      </c>
      <c r="L42" s="4"/>
      <c r="M42" s="4"/>
      <c r="N42" s="4"/>
      <c r="V42" s="45">
        <f t="shared" si="0"/>
        <v>1</v>
      </c>
      <c r="W42" s="45" t="s">
        <v>2587</v>
      </c>
    </row>
    <row r="43" spans="1:23" hidden="1">
      <c r="A43" s="2">
        <v>45831</v>
      </c>
      <c r="B43" s="1" t="s">
        <v>2588</v>
      </c>
      <c r="C43" s="1" t="s">
        <v>2589</v>
      </c>
      <c r="D43" s="1" t="s">
        <v>2570</v>
      </c>
      <c r="E43" s="1">
        <v>85326</v>
      </c>
      <c r="F43" s="3" t="s">
        <v>2406</v>
      </c>
      <c r="H43" s="4" t="s">
        <v>2401</v>
      </c>
      <c r="L43" s="4"/>
      <c r="M43" s="4"/>
      <c r="N43" s="4"/>
      <c r="V43" s="45">
        <f t="shared" si="0"/>
        <v>1</v>
      </c>
      <c r="W43" s="45" t="s">
        <v>2590</v>
      </c>
    </row>
    <row r="44" spans="1:23" hidden="1">
      <c r="A44" s="2">
        <v>45831</v>
      </c>
      <c r="B44" s="1" t="s">
        <v>2591</v>
      </c>
      <c r="C44" s="1" t="s">
        <v>2592</v>
      </c>
      <c r="D44" s="1" t="s">
        <v>2570</v>
      </c>
      <c r="E44" s="1" t="s">
        <v>2405</v>
      </c>
      <c r="F44" s="3" t="s">
        <v>2399</v>
      </c>
      <c r="H44" s="4" t="s">
        <v>2237</v>
      </c>
      <c r="I44" s="5" t="s">
        <v>2514</v>
      </c>
      <c r="J44" s="5" t="s">
        <v>24</v>
      </c>
      <c r="K44" s="5" t="s">
        <v>24</v>
      </c>
      <c r="L44" s="4" t="s">
        <v>2593</v>
      </c>
      <c r="M44" s="4" t="s">
        <v>24</v>
      </c>
      <c r="N44" s="4" t="s">
        <v>24</v>
      </c>
      <c r="O44" s="5" t="s">
        <v>75</v>
      </c>
      <c r="P44" s="5" t="s">
        <v>2413</v>
      </c>
      <c r="Q44" s="2">
        <v>45957</v>
      </c>
      <c r="V44" s="45">
        <f t="shared" si="0"/>
        <v>1</v>
      </c>
      <c r="W44" s="45" t="s">
        <v>2594</v>
      </c>
    </row>
    <row r="45" spans="1:23" hidden="1">
      <c r="A45" s="2">
        <v>45831</v>
      </c>
      <c r="B45" s="1" t="s">
        <v>2595</v>
      </c>
      <c r="C45" s="1" t="s">
        <v>2596</v>
      </c>
      <c r="D45" s="1" t="s">
        <v>2439</v>
      </c>
      <c r="E45" s="1">
        <v>85006</v>
      </c>
      <c r="F45" s="3" t="s">
        <v>2399</v>
      </c>
      <c r="H45" s="4" t="s">
        <v>2297</v>
      </c>
      <c r="I45" s="5" t="s">
        <v>2597</v>
      </c>
      <c r="J45" s="5" t="s">
        <v>24</v>
      </c>
      <c r="K45" s="5" t="s">
        <v>24</v>
      </c>
      <c r="L45" s="4" t="s">
        <v>2598</v>
      </c>
      <c r="M45" s="4" t="s">
        <v>24</v>
      </c>
      <c r="N45" s="4" t="s">
        <v>24</v>
      </c>
      <c r="O45" s="5" t="s">
        <v>75</v>
      </c>
      <c r="P45" s="5" t="s">
        <v>2413</v>
      </c>
      <c r="Q45" s="2">
        <v>45957</v>
      </c>
      <c r="V45" s="45">
        <f t="shared" si="0"/>
        <v>1</v>
      </c>
      <c r="W45" s="45" t="s">
        <v>2599</v>
      </c>
    </row>
    <row r="46" spans="1:23" hidden="1">
      <c r="A46" s="2">
        <v>45831</v>
      </c>
      <c r="B46" s="1" t="s">
        <v>2600</v>
      </c>
      <c r="C46" s="1" t="s">
        <v>2601</v>
      </c>
      <c r="D46" s="1" t="s">
        <v>2439</v>
      </c>
      <c r="E46" s="1">
        <v>85085</v>
      </c>
      <c r="F46" s="3" t="s">
        <v>2399</v>
      </c>
      <c r="H46" s="4" t="s">
        <v>2471</v>
      </c>
      <c r="L46" s="4"/>
      <c r="M46" s="4"/>
      <c r="N46" s="4"/>
      <c r="V46" s="45">
        <f t="shared" si="0"/>
        <v>1</v>
      </c>
      <c r="W46" s="45" t="s">
        <v>2602</v>
      </c>
    </row>
    <row r="47" spans="1:23" hidden="1">
      <c r="A47" s="2">
        <v>45831</v>
      </c>
      <c r="B47" s="1" t="s">
        <v>2603</v>
      </c>
      <c r="C47" s="1" t="s">
        <v>2604</v>
      </c>
      <c r="D47" s="1" t="s">
        <v>2605</v>
      </c>
      <c r="E47" s="1">
        <v>85383</v>
      </c>
      <c r="F47" s="3" t="s">
        <v>2399</v>
      </c>
      <c r="H47" s="4" t="s">
        <v>743</v>
      </c>
      <c r="I47" s="5" t="s">
        <v>2412</v>
      </c>
      <c r="J47" s="5" t="s">
        <v>24</v>
      </c>
      <c r="K47" s="5" t="s">
        <v>24</v>
      </c>
      <c r="L47" s="4" t="s">
        <v>2606</v>
      </c>
      <c r="M47" s="4" t="s">
        <v>24</v>
      </c>
      <c r="N47" s="4" t="s">
        <v>24</v>
      </c>
      <c r="O47" s="5" t="s">
        <v>75</v>
      </c>
      <c r="P47" s="5" t="s">
        <v>2413</v>
      </c>
      <c r="Q47" s="2">
        <v>45957</v>
      </c>
      <c r="V47" s="45">
        <f t="shared" si="0"/>
        <v>1</v>
      </c>
      <c r="W47" s="125" t="s">
        <v>2607</v>
      </c>
    </row>
    <row r="48" spans="1:23" hidden="1">
      <c r="A48" s="2">
        <v>45831</v>
      </c>
      <c r="B48" s="1" t="s">
        <v>2608</v>
      </c>
      <c r="C48" s="1" t="s">
        <v>2609</v>
      </c>
      <c r="D48" s="1" t="s">
        <v>2405</v>
      </c>
      <c r="E48" s="1" t="s">
        <v>2405</v>
      </c>
      <c r="F48" s="3" t="s">
        <v>2399</v>
      </c>
      <c r="H48" s="4" t="s">
        <v>2401</v>
      </c>
      <c r="L48" s="4"/>
      <c r="M48" s="4"/>
      <c r="N48" s="4"/>
      <c r="V48" s="45">
        <f t="shared" si="0"/>
        <v>1</v>
      </c>
      <c r="W48" s="45" t="s">
        <v>2610</v>
      </c>
    </row>
    <row r="49" spans="1:23" hidden="1">
      <c r="A49" s="2">
        <v>45831</v>
      </c>
      <c r="B49" s="1" t="s">
        <v>2611</v>
      </c>
      <c r="C49" s="1" t="s">
        <v>2612</v>
      </c>
      <c r="D49" s="1" t="s">
        <v>2405</v>
      </c>
      <c r="E49" s="1" t="s">
        <v>2405</v>
      </c>
      <c r="F49" s="3" t="s">
        <v>2399</v>
      </c>
      <c r="H49" s="4" t="s">
        <v>2613</v>
      </c>
      <c r="V49" s="45">
        <f t="shared" si="0"/>
        <v>1</v>
      </c>
      <c r="W49" s="45" t="s">
        <v>2614</v>
      </c>
    </row>
    <row r="50" spans="1:23" hidden="1">
      <c r="A50" s="2">
        <v>45831</v>
      </c>
      <c r="B50" s="1" t="s">
        <v>2615</v>
      </c>
      <c r="C50" s="1" t="s">
        <v>2616</v>
      </c>
      <c r="D50" s="1" t="s">
        <v>2465</v>
      </c>
      <c r="E50" s="1">
        <v>86323</v>
      </c>
      <c r="F50" s="3" t="s">
        <v>2406</v>
      </c>
      <c r="G50" s="1" t="s">
        <v>2617</v>
      </c>
      <c r="H50" s="4" t="s">
        <v>746</v>
      </c>
      <c r="I50" s="5" t="s">
        <v>2451</v>
      </c>
      <c r="J50" s="5" t="s">
        <v>24</v>
      </c>
      <c r="K50" s="5" t="s">
        <v>24</v>
      </c>
      <c r="L50" s="5" t="s">
        <v>75</v>
      </c>
      <c r="M50" s="5" t="s">
        <v>24</v>
      </c>
      <c r="N50" s="5" t="s">
        <v>24</v>
      </c>
      <c r="O50" s="5" t="s">
        <v>75</v>
      </c>
      <c r="P50" s="5" t="s">
        <v>2413</v>
      </c>
      <c r="Q50" s="2">
        <v>45958</v>
      </c>
      <c r="V50" s="45">
        <f t="shared" si="0"/>
        <v>1</v>
      </c>
      <c r="W50" s="125" t="s">
        <v>2618</v>
      </c>
    </row>
    <row r="51" spans="1:23" hidden="1">
      <c r="A51" s="2">
        <v>45833</v>
      </c>
      <c r="B51" s="1" t="s">
        <v>2619</v>
      </c>
      <c r="C51" s="1" t="s">
        <v>2620</v>
      </c>
      <c r="D51" s="1" t="s">
        <v>2405</v>
      </c>
      <c r="E51" s="1" t="s">
        <v>2405</v>
      </c>
      <c r="F51" s="3" t="s">
        <v>2406</v>
      </c>
      <c r="H51" s="4" t="s">
        <v>2401</v>
      </c>
      <c r="V51" s="45">
        <f t="shared" si="0"/>
        <v>1</v>
      </c>
      <c r="W51" s="45" t="s">
        <v>2621</v>
      </c>
    </row>
    <row r="52" spans="1:23" hidden="1">
      <c r="A52" s="2">
        <v>45835</v>
      </c>
      <c r="B52" s="1" t="s">
        <v>2622</v>
      </c>
      <c r="C52" s="1" t="s">
        <v>2623</v>
      </c>
      <c r="D52" s="1" t="s">
        <v>2513</v>
      </c>
      <c r="E52" s="1">
        <v>85260</v>
      </c>
      <c r="F52" s="3" t="s">
        <v>2406</v>
      </c>
      <c r="G52" s="1" t="s">
        <v>2624</v>
      </c>
      <c r="H52" s="4" t="s">
        <v>2401</v>
      </c>
      <c r="V52" s="45">
        <f t="shared" si="0"/>
        <v>1</v>
      </c>
      <c r="W52" s="45" t="s">
        <v>2625</v>
      </c>
    </row>
    <row r="53" spans="1:23" hidden="1">
      <c r="A53" s="2">
        <v>45839</v>
      </c>
      <c r="B53" s="1" t="s">
        <v>2626</v>
      </c>
      <c r="C53" s="1" t="s">
        <v>2627</v>
      </c>
      <c r="D53" s="1" t="s">
        <v>2439</v>
      </c>
      <c r="E53" s="1">
        <v>85032</v>
      </c>
      <c r="F53" s="3" t="s">
        <v>2406</v>
      </c>
      <c r="G53" s="1" t="s">
        <v>2628</v>
      </c>
      <c r="H53" s="4" t="s">
        <v>748</v>
      </c>
      <c r="I53" s="6" t="s">
        <v>2514</v>
      </c>
      <c r="J53" s="5" t="s">
        <v>24</v>
      </c>
      <c r="K53" s="5" t="s">
        <v>24</v>
      </c>
      <c r="L53" s="5" t="s">
        <v>75</v>
      </c>
      <c r="M53" s="5" t="s">
        <v>24</v>
      </c>
      <c r="N53" s="5" t="s">
        <v>24</v>
      </c>
      <c r="O53" s="5" t="s">
        <v>75</v>
      </c>
      <c r="P53" s="5" t="s">
        <v>2413</v>
      </c>
      <c r="Q53" s="2">
        <v>45958</v>
      </c>
      <c r="U53" s="1" t="s">
        <v>2629</v>
      </c>
      <c r="V53" s="45">
        <f t="shared" si="0"/>
        <v>1</v>
      </c>
      <c r="W53" s="45" t="s">
        <v>2630</v>
      </c>
    </row>
    <row r="54" spans="1:23" hidden="1">
      <c r="A54" s="2">
        <v>45840</v>
      </c>
      <c r="B54" s="1" t="s">
        <v>2631</v>
      </c>
      <c r="C54" s="1" t="s">
        <v>2632</v>
      </c>
      <c r="D54" s="1" t="s">
        <v>2405</v>
      </c>
      <c r="E54" s="1" t="s">
        <v>2405</v>
      </c>
      <c r="F54" s="3" t="s">
        <v>2406</v>
      </c>
      <c r="G54" s="1" t="s">
        <v>2633</v>
      </c>
      <c r="H54" s="4" t="s">
        <v>2401</v>
      </c>
      <c r="U54" s="1" t="s">
        <v>2456</v>
      </c>
      <c r="V54" s="45">
        <f t="shared" si="0"/>
        <v>1</v>
      </c>
      <c r="W54" s="45" t="s">
        <v>2634</v>
      </c>
    </row>
    <row r="55" spans="1:23" hidden="1">
      <c r="A55" s="2">
        <v>45840</v>
      </c>
      <c r="B55" s="1" t="s">
        <v>2635</v>
      </c>
      <c r="C55" s="1" t="s">
        <v>2636</v>
      </c>
      <c r="D55" s="1" t="s">
        <v>2405</v>
      </c>
      <c r="E55" s="1" t="s">
        <v>2405</v>
      </c>
      <c r="F55" s="3" t="s">
        <v>2406</v>
      </c>
      <c r="G55" s="1" t="s">
        <v>2633</v>
      </c>
      <c r="H55" s="4" t="s">
        <v>2401</v>
      </c>
      <c r="I55" s="10"/>
      <c r="U55" s="1" t="s">
        <v>2456</v>
      </c>
      <c r="V55" s="45">
        <f t="shared" si="0"/>
        <v>1</v>
      </c>
      <c r="W55" s="45" t="s">
        <v>2637</v>
      </c>
    </row>
    <row r="56" spans="1:23" hidden="1">
      <c r="A56" s="2">
        <v>45845</v>
      </c>
      <c r="B56" s="1" t="s">
        <v>2638</v>
      </c>
      <c r="C56" s="1" t="s">
        <v>2639</v>
      </c>
      <c r="D56" s="1" t="s">
        <v>2439</v>
      </c>
      <c r="E56" s="1">
        <v>85022</v>
      </c>
      <c r="F56" s="3" t="s">
        <v>2406</v>
      </c>
      <c r="G56" s="1" t="s">
        <v>2640</v>
      </c>
      <c r="H56" s="4" t="s">
        <v>2401</v>
      </c>
      <c r="V56" s="45">
        <f t="shared" si="0"/>
        <v>1</v>
      </c>
      <c r="W56" s="125" t="s">
        <v>2641</v>
      </c>
    </row>
    <row r="57" spans="1:23" hidden="1">
      <c r="A57" s="2">
        <v>45846</v>
      </c>
      <c r="B57" s="1" t="s">
        <v>2642</v>
      </c>
      <c r="C57" s="1" t="s">
        <v>2643</v>
      </c>
      <c r="D57" s="1" t="s">
        <v>2470</v>
      </c>
      <c r="E57" s="1">
        <v>86351</v>
      </c>
      <c r="F57" s="3" t="s">
        <v>2406</v>
      </c>
      <c r="G57" s="1" t="s">
        <v>2644</v>
      </c>
      <c r="H57" s="4" t="s">
        <v>2299</v>
      </c>
      <c r="I57" s="5" t="s">
        <v>2432</v>
      </c>
      <c r="J57" s="5" t="s">
        <v>24</v>
      </c>
      <c r="K57" s="5" t="s">
        <v>24</v>
      </c>
      <c r="L57" s="7" t="s">
        <v>2645</v>
      </c>
      <c r="M57" s="5" t="s">
        <v>24</v>
      </c>
      <c r="N57" s="5" t="s">
        <v>24</v>
      </c>
      <c r="O57" s="5" t="s">
        <v>75</v>
      </c>
      <c r="P57" s="2">
        <v>45964</v>
      </c>
      <c r="Q57" s="2">
        <v>45958</v>
      </c>
      <c r="R57" s="1" t="s">
        <v>2646</v>
      </c>
      <c r="V57" s="45">
        <f t="shared" si="0"/>
        <v>1</v>
      </c>
      <c r="W57" s="45" t="s">
        <v>2647</v>
      </c>
    </row>
    <row r="58" spans="1:23" hidden="1">
      <c r="A58" s="2">
        <v>45847</v>
      </c>
      <c r="B58" s="1" t="s">
        <v>2648</v>
      </c>
      <c r="C58" s="1" t="s">
        <v>2649</v>
      </c>
      <c r="D58" s="1" t="s">
        <v>2650</v>
      </c>
      <c r="E58" s="1">
        <v>85340</v>
      </c>
      <c r="F58" s="3" t="s">
        <v>2406</v>
      </c>
      <c r="G58" s="1" t="s">
        <v>2651</v>
      </c>
      <c r="H58" s="4" t="s">
        <v>751</v>
      </c>
      <c r="I58" s="5" t="s">
        <v>2652</v>
      </c>
      <c r="J58" s="5" t="s">
        <v>24</v>
      </c>
      <c r="K58" s="5" t="s">
        <v>24</v>
      </c>
      <c r="L58" s="5" t="s">
        <v>2653</v>
      </c>
      <c r="M58" s="5" t="s">
        <v>24</v>
      </c>
      <c r="N58" s="5" t="s">
        <v>24</v>
      </c>
      <c r="O58" s="5" t="s">
        <v>75</v>
      </c>
      <c r="P58" s="5" t="s">
        <v>2413</v>
      </c>
      <c r="Q58" s="2">
        <v>45958</v>
      </c>
      <c r="V58" s="45">
        <f t="shared" si="0"/>
        <v>1</v>
      </c>
      <c r="W58" s="45" t="s">
        <v>2654</v>
      </c>
    </row>
    <row r="59" spans="1:23" hidden="1">
      <c r="A59" s="2">
        <v>45847</v>
      </c>
      <c r="B59" s="1" t="s">
        <v>2655</v>
      </c>
      <c r="C59" s="1" t="s">
        <v>2656</v>
      </c>
      <c r="D59" s="1" t="s">
        <v>2439</v>
      </c>
      <c r="E59" s="1">
        <v>85029</v>
      </c>
      <c r="F59" s="11" t="s">
        <v>2657</v>
      </c>
      <c r="G59" s="1" t="s">
        <v>2658</v>
      </c>
      <c r="H59" s="4" t="s">
        <v>753</v>
      </c>
      <c r="I59" s="5" t="s">
        <v>2659</v>
      </c>
      <c r="J59" s="5" t="s">
        <v>24</v>
      </c>
      <c r="K59" s="5" t="s">
        <v>24</v>
      </c>
      <c r="L59" s="5" t="s">
        <v>75</v>
      </c>
      <c r="M59" s="5" t="s">
        <v>24</v>
      </c>
      <c r="N59" s="5" t="s">
        <v>24</v>
      </c>
      <c r="O59" s="5" t="s">
        <v>75</v>
      </c>
      <c r="P59" s="5" t="s">
        <v>2413</v>
      </c>
      <c r="Q59" s="2">
        <v>45958</v>
      </c>
      <c r="V59" s="45">
        <f t="shared" si="0"/>
        <v>1</v>
      </c>
      <c r="W59" s="45" t="s">
        <v>2660</v>
      </c>
    </row>
    <row r="60" spans="1:23" hidden="1">
      <c r="A60" s="2">
        <v>45848</v>
      </c>
      <c r="B60" s="1" t="s">
        <v>2661</v>
      </c>
      <c r="C60" s="1" t="s">
        <v>2662</v>
      </c>
      <c r="D60" s="1" t="s">
        <v>2663</v>
      </c>
      <c r="E60" s="1">
        <v>87048</v>
      </c>
      <c r="F60" s="3" t="s">
        <v>2406</v>
      </c>
      <c r="G60" s="1" t="s">
        <v>2664</v>
      </c>
      <c r="H60" s="4" t="s">
        <v>2401</v>
      </c>
      <c r="V60" s="45">
        <f t="shared" si="0"/>
        <v>1</v>
      </c>
      <c r="W60" s="45" t="s">
        <v>2665</v>
      </c>
    </row>
    <row r="61" spans="1:23" hidden="1">
      <c r="A61" s="2">
        <v>45848</v>
      </c>
      <c r="B61" s="1" t="s">
        <v>2666</v>
      </c>
      <c r="C61" s="1" t="s">
        <v>2667</v>
      </c>
      <c r="D61" s="1" t="s">
        <v>2470</v>
      </c>
      <c r="E61" s="1">
        <v>86336</v>
      </c>
      <c r="F61" s="3" t="s">
        <v>2668</v>
      </c>
      <c r="G61" s="1" t="s">
        <v>2664</v>
      </c>
      <c r="H61" s="4" t="s">
        <v>2471</v>
      </c>
      <c r="V61" s="45">
        <f t="shared" si="0"/>
        <v>1</v>
      </c>
      <c r="W61" s="45" t="s">
        <v>2669</v>
      </c>
    </row>
    <row r="62" spans="1:23" hidden="1">
      <c r="A62" s="2">
        <v>45852</v>
      </c>
      <c r="B62" s="1" t="s">
        <v>2670</v>
      </c>
      <c r="C62" s="1" t="s">
        <v>2639</v>
      </c>
      <c r="D62" s="1" t="s">
        <v>2405</v>
      </c>
      <c r="E62" s="1" t="s">
        <v>2405</v>
      </c>
      <c r="F62" s="3" t="s">
        <v>2406</v>
      </c>
      <c r="G62" s="1" t="s">
        <v>2671</v>
      </c>
      <c r="H62" s="4" t="s">
        <v>96</v>
      </c>
      <c r="I62" s="5" t="s">
        <v>2451</v>
      </c>
      <c r="J62" s="5" t="s">
        <v>24</v>
      </c>
      <c r="K62" s="5" t="s">
        <v>24</v>
      </c>
      <c r="L62" s="5" t="s">
        <v>2672</v>
      </c>
      <c r="M62" s="5" t="s">
        <v>24</v>
      </c>
      <c r="N62" s="5" t="s">
        <v>24</v>
      </c>
      <c r="O62" s="5" t="s">
        <v>75</v>
      </c>
      <c r="P62" s="5" t="s">
        <v>2413</v>
      </c>
      <c r="Q62" s="2">
        <v>45958</v>
      </c>
      <c r="V62" s="45">
        <f t="shared" si="0"/>
        <v>1</v>
      </c>
      <c r="W62" s="45" t="s">
        <v>2673</v>
      </c>
    </row>
    <row r="63" spans="1:23" hidden="1">
      <c r="A63" s="2">
        <v>45852</v>
      </c>
      <c r="B63" s="1" t="s">
        <v>2537</v>
      </c>
      <c r="C63" s="1" t="s">
        <v>2538</v>
      </c>
      <c r="D63" s="1" t="s">
        <v>2674</v>
      </c>
      <c r="E63" s="1">
        <v>86314</v>
      </c>
      <c r="F63" s="3" t="s">
        <v>2406</v>
      </c>
      <c r="G63" s="1" t="s">
        <v>2671</v>
      </c>
      <c r="H63" s="4" t="s">
        <v>755</v>
      </c>
      <c r="I63" s="5" t="s">
        <v>2659</v>
      </c>
      <c r="J63" s="5" t="s">
        <v>24</v>
      </c>
      <c r="K63" s="5" t="s">
        <v>24</v>
      </c>
      <c r="L63" s="5" t="s">
        <v>75</v>
      </c>
      <c r="M63" s="5" t="s">
        <v>24</v>
      </c>
      <c r="N63" s="5" t="s">
        <v>24</v>
      </c>
      <c r="O63" s="5" t="s">
        <v>75</v>
      </c>
      <c r="P63" s="5" t="s">
        <v>2413</v>
      </c>
      <c r="Q63" s="2">
        <v>45958</v>
      </c>
      <c r="V63" s="45">
        <f t="shared" si="0"/>
        <v>1</v>
      </c>
      <c r="W63" s="45" t="s">
        <v>2675</v>
      </c>
    </row>
    <row r="64" spans="1:23" hidden="1">
      <c r="A64" s="2">
        <v>45854</v>
      </c>
      <c r="B64" s="1" t="s">
        <v>2676</v>
      </c>
      <c r="C64" s="1" t="s">
        <v>2677</v>
      </c>
      <c r="D64" s="1" t="s">
        <v>2678</v>
      </c>
      <c r="E64" s="1">
        <v>85541</v>
      </c>
      <c r="F64" s="3" t="s">
        <v>2668</v>
      </c>
      <c r="G64" s="1" t="s">
        <v>2679</v>
      </c>
      <c r="H64" s="4" t="s">
        <v>2301</v>
      </c>
      <c r="I64" s="5" t="s">
        <v>2432</v>
      </c>
      <c r="J64" s="5" t="s">
        <v>24</v>
      </c>
      <c r="K64" s="5" t="s">
        <v>24</v>
      </c>
      <c r="L64" s="7" t="s">
        <v>2680</v>
      </c>
      <c r="M64" s="5" t="s">
        <v>24</v>
      </c>
      <c r="N64" s="5" t="s">
        <v>24</v>
      </c>
      <c r="O64" s="5" t="s">
        <v>75</v>
      </c>
      <c r="P64" s="2">
        <v>45964</v>
      </c>
      <c r="Q64" s="2">
        <v>45958</v>
      </c>
      <c r="R64" s="1" t="s">
        <v>2540</v>
      </c>
      <c r="U64" s="1" t="s">
        <v>2681</v>
      </c>
      <c r="V64" s="45">
        <f t="shared" si="0"/>
        <v>1</v>
      </c>
      <c r="W64" s="45" t="s">
        <v>2682</v>
      </c>
    </row>
    <row r="65" spans="1:23" hidden="1">
      <c r="A65" s="2">
        <v>45859</v>
      </c>
      <c r="B65" s="1" t="s">
        <v>2683</v>
      </c>
      <c r="C65" s="1" t="s">
        <v>2684</v>
      </c>
      <c r="D65" s="1" t="s">
        <v>2439</v>
      </c>
      <c r="E65" s="1">
        <v>85029</v>
      </c>
      <c r="F65" s="3" t="s">
        <v>2685</v>
      </c>
      <c r="G65" s="1" t="s">
        <v>2686</v>
      </c>
      <c r="H65" s="12" t="s">
        <v>2303</v>
      </c>
      <c r="I65" s="5" t="s">
        <v>2412</v>
      </c>
      <c r="J65" s="5" t="s">
        <v>24</v>
      </c>
      <c r="K65" s="5" t="s">
        <v>24</v>
      </c>
      <c r="L65" s="7" t="s">
        <v>2687</v>
      </c>
      <c r="M65" s="5" t="s">
        <v>24</v>
      </c>
      <c r="N65" s="5" t="s">
        <v>24</v>
      </c>
      <c r="O65" s="5" t="s">
        <v>75</v>
      </c>
      <c r="P65" s="2">
        <v>45964</v>
      </c>
      <c r="Q65" s="2">
        <v>45958</v>
      </c>
      <c r="R65" s="1" t="s">
        <v>2688</v>
      </c>
      <c r="V65" s="45">
        <f t="shared" si="0"/>
        <v>1</v>
      </c>
      <c r="W65" s="45" t="s">
        <v>2689</v>
      </c>
    </row>
    <row r="66" spans="1:23" hidden="1">
      <c r="A66" s="2">
        <v>45861</v>
      </c>
      <c r="B66" s="1" t="s">
        <v>2690</v>
      </c>
      <c r="C66" s="1" t="s">
        <v>20</v>
      </c>
      <c r="D66" s="1" t="s">
        <v>2439</v>
      </c>
      <c r="E66" s="1">
        <v>85054</v>
      </c>
      <c r="F66" s="3" t="s">
        <v>2406</v>
      </c>
      <c r="G66" s="1" t="s">
        <v>2691</v>
      </c>
      <c r="H66" s="4" t="s">
        <v>2264</v>
      </c>
      <c r="I66" s="5" t="s">
        <v>2432</v>
      </c>
      <c r="J66" s="5" t="s">
        <v>24</v>
      </c>
      <c r="K66" s="5" t="s">
        <v>24</v>
      </c>
      <c r="L66" s="5" t="s">
        <v>2692</v>
      </c>
      <c r="M66" s="5" t="s">
        <v>24</v>
      </c>
      <c r="N66" s="5" t="s">
        <v>24</v>
      </c>
      <c r="O66" s="5" t="s">
        <v>75</v>
      </c>
      <c r="P66" s="5" t="s">
        <v>2413</v>
      </c>
      <c r="Q66" s="2">
        <v>45958</v>
      </c>
      <c r="R66" s="1" t="s">
        <v>2693</v>
      </c>
      <c r="V66" s="45">
        <f t="shared" ref="V66:V129" si="1">IF(OR(ISNUMBER(SEARCH("unable to locate acct",G66)),ISNUMBER(SEARCH("unknown",G66)),ISNUMBER(SEARCH("inactive",G66)),H66=""),0,1)</f>
        <v>1</v>
      </c>
      <c r="W66" s="45" t="s">
        <v>2694</v>
      </c>
    </row>
    <row r="67" spans="1:23" hidden="1">
      <c r="A67" s="2">
        <v>45861</v>
      </c>
      <c r="B67" s="1" t="s">
        <v>2695</v>
      </c>
      <c r="C67" s="1" t="s">
        <v>2547</v>
      </c>
      <c r="D67" s="1" t="s">
        <v>2405</v>
      </c>
      <c r="E67" s="1" t="s">
        <v>2405</v>
      </c>
      <c r="F67" s="3" t="s">
        <v>2696</v>
      </c>
      <c r="G67" s="1" t="s">
        <v>2691</v>
      </c>
      <c r="H67" s="4" t="s">
        <v>2401</v>
      </c>
      <c r="V67" s="45">
        <f t="shared" si="1"/>
        <v>1</v>
      </c>
      <c r="W67" s="45" t="s">
        <v>2697</v>
      </c>
    </row>
    <row r="68" spans="1:23" hidden="1">
      <c r="A68" s="2">
        <v>45883</v>
      </c>
      <c r="B68" s="1" t="s">
        <v>2698</v>
      </c>
      <c r="C68" s="1" t="s">
        <v>2699</v>
      </c>
      <c r="D68" s="1" t="s">
        <v>2470</v>
      </c>
      <c r="E68" s="1">
        <v>85336</v>
      </c>
      <c r="F68" s="3" t="s">
        <v>2700</v>
      </c>
      <c r="G68" s="1" t="s">
        <v>2701</v>
      </c>
      <c r="H68" s="4" t="s">
        <v>757</v>
      </c>
      <c r="I68" s="5" t="s">
        <v>2702</v>
      </c>
      <c r="J68" s="5" t="s">
        <v>24</v>
      </c>
      <c r="K68" s="5" t="s">
        <v>24</v>
      </c>
      <c r="L68" s="5" t="s">
        <v>75</v>
      </c>
      <c r="M68" s="5" t="s">
        <v>24</v>
      </c>
      <c r="N68" s="5" t="s">
        <v>24</v>
      </c>
      <c r="O68" s="5" t="s">
        <v>75</v>
      </c>
      <c r="P68" s="5" t="s">
        <v>2413</v>
      </c>
      <c r="Q68" s="2">
        <v>45958</v>
      </c>
      <c r="U68" s="1" t="s">
        <v>2703</v>
      </c>
      <c r="V68" s="45">
        <f t="shared" si="1"/>
        <v>1</v>
      </c>
      <c r="W68" s="45" t="s">
        <v>2704</v>
      </c>
    </row>
    <row r="69" spans="1:23" hidden="1">
      <c r="A69" s="2">
        <v>45883</v>
      </c>
      <c r="B69" s="1" t="s">
        <v>2705</v>
      </c>
      <c r="C69" s="1" t="s">
        <v>2706</v>
      </c>
      <c r="D69" s="1" t="s">
        <v>2439</v>
      </c>
      <c r="E69" s="1">
        <v>85023</v>
      </c>
      <c r="F69" s="3" t="s">
        <v>2406</v>
      </c>
      <c r="G69" s="1" t="s">
        <v>2701</v>
      </c>
      <c r="H69" s="4" t="s">
        <v>2401</v>
      </c>
      <c r="V69" s="45">
        <f t="shared" si="1"/>
        <v>1</v>
      </c>
      <c r="W69" s="45" t="s">
        <v>2707</v>
      </c>
    </row>
    <row r="70" spans="1:23" hidden="1">
      <c r="A70" s="2">
        <v>45895</v>
      </c>
      <c r="B70" s="1" t="s">
        <v>2708</v>
      </c>
      <c r="C70" s="1" t="s">
        <v>2527</v>
      </c>
      <c r="D70" s="1" t="s">
        <v>2709</v>
      </c>
      <c r="E70" s="1">
        <v>85139</v>
      </c>
      <c r="F70" s="3" t="s">
        <v>2710</v>
      </c>
      <c r="G70" s="1" t="s">
        <v>2711</v>
      </c>
      <c r="H70" s="4" t="s">
        <v>2401</v>
      </c>
      <c r="V70" s="45">
        <f t="shared" si="1"/>
        <v>1</v>
      </c>
      <c r="W70" s="45" t="s">
        <v>2712</v>
      </c>
    </row>
    <row r="71" spans="1:23" hidden="1">
      <c r="A71" s="2">
        <v>45898</v>
      </c>
      <c r="B71" s="1" t="s">
        <v>2713</v>
      </c>
      <c r="C71" s="1" t="s">
        <v>2714</v>
      </c>
      <c r="D71" s="1" t="s">
        <v>2405</v>
      </c>
      <c r="E71" s="1" t="s">
        <v>2405</v>
      </c>
      <c r="F71" s="3" t="s">
        <v>2399</v>
      </c>
      <c r="G71" s="1" t="s">
        <v>2715</v>
      </c>
      <c r="H71" s="4" t="s">
        <v>2306</v>
      </c>
      <c r="I71" s="5" t="s">
        <v>2597</v>
      </c>
      <c r="J71" s="5" t="s">
        <v>75</v>
      </c>
      <c r="K71" s="5" t="s">
        <v>24</v>
      </c>
      <c r="L71" s="5" t="s">
        <v>2716</v>
      </c>
      <c r="M71" s="5" t="s">
        <v>24</v>
      </c>
      <c r="N71" s="5" t="s">
        <v>24</v>
      </c>
      <c r="O71" s="5" t="s">
        <v>75</v>
      </c>
      <c r="P71" s="5" t="s">
        <v>2413</v>
      </c>
      <c r="Q71" s="2">
        <v>45958</v>
      </c>
      <c r="V71" s="45">
        <f t="shared" si="1"/>
        <v>1</v>
      </c>
      <c r="W71" s="45" t="s">
        <v>2717</v>
      </c>
    </row>
    <row r="72" spans="1:23" hidden="1">
      <c r="A72" s="2">
        <v>45902</v>
      </c>
      <c r="B72" s="1" t="s">
        <v>2718</v>
      </c>
      <c r="C72" s="1" t="s">
        <v>2719</v>
      </c>
      <c r="D72" s="1" t="s">
        <v>2498</v>
      </c>
      <c r="E72" s="1">
        <v>85374</v>
      </c>
      <c r="F72" s="3" t="s">
        <v>2406</v>
      </c>
      <c r="G72" s="1" t="s">
        <v>2720</v>
      </c>
      <c r="H72" s="4" t="s">
        <v>759</v>
      </c>
      <c r="I72" s="5" t="s">
        <v>2514</v>
      </c>
      <c r="J72" s="5" t="s">
        <v>2413</v>
      </c>
      <c r="K72" s="5" t="s">
        <v>24</v>
      </c>
      <c r="L72" s="5" t="s">
        <v>2606</v>
      </c>
      <c r="M72" s="5" t="s">
        <v>24</v>
      </c>
      <c r="N72" s="5" t="s">
        <v>24</v>
      </c>
      <c r="O72" s="5" t="s">
        <v>75</v>
      </c>
      <c r="P72" s="5" t="s">
        <v>2413</v>
      </c>
      <c r="Q72" s="2">
        <v>45967</v>
      </c>
      <c r="V72" s="45">
        <f t="shared" si="1"/>
        <v>1</v>
      </c>
      <c r="W72" s="45" t="s">
        <v>2721</v>
      </c>
    </row>
    <row r="73" spans="1:23" hidden="1">
      <c r="A73" s="2">
        <v>45902</v>
      </c>
      <c r="B73" s="1" t="s">
        <v>2722</v>
      </c>
      <c r="C73" s="1" t="s">
        <v>2632</v>
      </c>
      <c r="D73" s="1" t="s">
        <v>2513</v>
      </c>
      <c r="E73" s="1">
        <v>85254</v>
      </c>
      <c r="F73" s="3" t="s">
        <v>2723</v>
      </c>
      <c r="G73" s="1" t="s">
        <v>2720</v>
      </c>
      <c r="H73" s="4" t="s">
        <v>2401</v>
      </c>
      <c r="V73" s="45">
        <f t="shared" si="1"/>
        <v>1</v>
      </c>
      <c r="W73" s="45" t="s">
        <v>2724</v>
      </c>
    </row>
    <row r="74" spans="1:23" hidden="1">
      <c r="A74" s="2">
        <v>56859</v>
      </c>
      <c r="B74" s="1" t="s">
        <v>2725</v>
      </c>
      <c r="C74" s="1" t="s">
        <v>2726</v>
      </c>
      <c r="D74" s="1" t="s">
        <v>2605</v>
      </c>
      <c r="E74" s="1">
        <v>85382</v>
      </c>
      <c r="F74" s="3" t="s">
        <v>2723</v>
      </c>
      <c r="G74" s="1" t="s">
        <v>2720</v>
      </c>
      <c r="H74" s="4" t="s">
        <v>2401</v>
      </c>
      <c r="V74" s="45">
        <f t="shared" si="1"/>
        <v>1</v>
      </c>
      <c r="W74" s="45" t="s">
        <v>2727</v>
      </c>
    </row>
    <row r="75" spans="1:23" hidden="1">
      <c r="A75" s="2">
        <v>45902</v>
      </c>
      <c r="B75" s="1" t="s">
        <v>2728</v>
      </c>
      <c r="C75" s="1" t="s">
        <v>2729</v>
      </c>
      <c r="D75" s="1" t="s">
        <v>2498</v>
      </c>
      <c r="E75" s="1">
        <v>85387</v>
      </c>
      <c r="F75" s="1" t="s">
        <v>2730</v>
      </c>
      <c r="G75" s="1" t="s">
        <v>2720</v>
      </c>
      <c r="H75" s="4" t="s">
        <v>2401</v>
      </c>
      <c r="V75" s="45">
        <f t="shared" si="1"/>
        <v>1</v>
      </c>
      <c r="W75" s="45" t="s">
        <v>2731</v>
      </c>
    </row>
    <row r="76" spans="1:23" hidden="1">
      <c r="A76" s="2">
        <v>45902</v>
      </c>
      <c r="B76" s="1" t="s">
        <v>2732</v>
      </c>
      <c r="C76" s="1" t="s">
        <v>2733</v>
      </c>
      <c r="D76" s="1" t="s">
        <v>2734</v>
      </c>
      <c r="E76" s="1">
        <v>85381</v>
      </c>
      <c r="F76" s="3" t="s">
        <v>2406</v>
      </c>
      <c r="G76" s="1" t="s">
        <v>2720</v>
      </c>
      <c r="H76" s="4" t="s">
        <v>761</v>
      </c>
      <c r="I76" s="5" t="s">
        <v>2597</v>
      </c>
      <c r="J76" s="5" t="s">
        <v>24</v>
      </c>
      <c r="K76" s="5" t="s">
        <v>24</v>
      </c>
      <c r="L76" s="5" t="s">
        <v>75</v>
      </c>
      <c r="M76" s="5" t="s">
        <v>24</v>
      </c>
      <c r="N76" s="5" t="s">
        <v>24</v>
      </c>
      <c r="O76" s="5" t="s">
        <v>75</v>
      </c>
      <c r="P76" s="5" t="s">
        <v>2413</v>
      </c>
      <c r="Q76" s="2">
        <v>45958</v>
      </c>
      <c r="V76" s="45">
        <f t="shared" si="1"/>
        <v>1</v>
      </c>
      <c r="W76" s="45" t="s">
        <v>2735</v>
      </c>
    </row>
    <row r="77" spans="1:23" hidden="1">
      <c r="A77" s="2">
        <v>45902</v>
      </c>
      <c r="B77" s="1" t="s">
        <v>2736</v>
      </c>
      <c r="C77" s="1" t="s">
        <v>2737</v>
      </c>
      <c r="D77" s="1" t="s">
        <v>2570</v>
      </c>
      <c r="E77" s="1">
        <v>85326</v>
      </c>
      <c r="F77" s="3" t="s">
        <v>2406</v>
      </c>
      <c r="G77" s="1" t="s">
        <v>2720</v>
      </c>
      <c r="H77" s="4" t="s">
        <v>2401</v>
      </c>
      <c r="V77" s="45">
        <f t="shared" si="1"/>
        <v>1</v>
      </c>
      <c r="W77" s="45" t="s">
        <v>2738</v>
      </c>
    </row>
    <row r="78" spans="1:23" hidden="1">
      <c r="A78" s="2">
        <v>45902</v>
      </c>
      <c r="B78" s="1" t="s">
        <v>2739</v>
      </c>
      <c r="C78" s="1" t="s">
        <v>2740</v>
      </c>
      <c r="D78" s="1" t="s">
        <v>2570</v>
      </c>
      <c r="E78" s="1">
        <v>85326</v>
      </c>
      <c r="F78" s="3" t="s">
        <v>2406</v>
      </c>
      <c r="G78" s="1" t="s">
        <v>2720</v>
      </c>
      <c r="H78" s="4" t="s">
        <v>763</v>
      </c>
      <c r="I78" s="5" t="s">
        <v>2412</v>
      </c>
      <c r="J78" s="5" t="s">
        <v>24</v>
      </c>
      <c r="K78" s="5" t="s">
        <v>24</v>
      </c>
      <c r="L78" s="5" t="s">
        <v>75</v>
      </c>
      <c r="M78" s="5" t="s">
        <v>24</v>
      </c>
      <c r="N78" s="5" t="s">
        <v>24</v>
      </c>
      <c r="O78" s="5" t="s">
        <v>75</v>
      </c>
      <c r="P78" s="5" t="s">
        <v>2413</v>
      </c>
      <c r="Q78" s="2">
        <v>45958</v>
      </c>
      <c r="V78" s="45">
        <f t="shared" si="1"/>
        <v>1</v>
      </c>
      <c r="W78" s="45" t="s">
        <v>2741</v>
      </c>
    </row>
    <row r="79" spans="1:23" hidden="1">
      <c r="A79" s="2">
        <v>45902</v>
      </c>
      <c r="B79" s="1" t="s">
        <v>2742</v>
      </c>
      <c r="C79" s="1" t="s">
        <v>2454</v>
      </c>
      <c r="D79" s="1" t="s">
        <v>2439</v>
      </c>
      <c r="E79" s="1">
        <v>85016</v>
      </c>
      <c r="F79" s="1" t="s">
        <v>2730</v>
      </c>
      <c r="G79" s="1" t="s">
        <v>2720</v>
      </c>
      <c r="H79" s="4" t="s">
        <v>2613</v>
      </c>
      <c r="V79" s="45">
        <f t="shared" si="1"/>
        <v>1</v>
      </c>
      <c r="W79" s="45" t="s">
        <v>2743</v>
      </c>
    </row>
    <row r="80" spans="1:23" hidden="1">
      <c r="A80" s="2">
        <v>45902</v>
      </c>
      <c r="B80" s="1" t="s">
        <v>2744</v>
      </c>
      <c r="C80" s="1" t="s">
        <v>2745</v>
      </c>
      <c r="D80" s="1" t="s">
        <v>2513</v>
      </c>
      <c r="E80" s="1">
        <v>85260</v>
      </c>
      <c r="F80" s="3" t="s">
        <v>2406</v>
      </c>
      <c r="G80" s="1" t="s">
        <v>2720</v>
      </c>
      <c r="H80" s="4" t="s">
        <v>2260</v>
      </c>
      <c r="I80" s="5" t="s">
        <v>2597</v>
      </c>
      <c r="J80" s="5" t="s">
        <v>24</v>
      </c>
      <c r="K80" s="5" t="s">
        <v>24</v>
      </c>
      <c r="L80" s="5" t="s">
        <v>2746</v>
      </c>
      <c r="M80" s="5" t="s">
        <v>24</v>
      </c>
      <c r="N80" s="5" t="s">
        <v>24</v>
      </c>
      <c r="O80" s="5" t="s">
        <v>75</v>
      </c>
      <c r="P80" s="5" t="s">
        <v>2413</v>
      </c>
      <c r="Q80" s="2">
        <v>45957</v>
      </c>
      <c r="V80" s="45">
        <f t="shared" si="1"/>
        <v>1</v>
      </c>
      <c r="W80" s="45" t="s">
        <v>2747</v>
      </c>
    </row>
    <row r="81" spans="1:23" hidden="1">
      <c r="A81" s="2">
        <v>45902</v>
      </c>
      <c r="B81" s="1" t="s">
        <v>2748</v>
      </c>
      <c r="C81" s="1" t="s">
        <v>2749</v>
      </c>
      <c r="D81" s="1" t="s">
        <v>2439</v>
      </c>
      <c r="E81" s="1">
        <v>85085</v>
      </c>
      <c r="F81" s="1" t="s">
        <v>2730</v>
      </c>
      <c r="G81" s="1" t="s">
        <v>2720</v>
      </c>
      <c r="H81" s="4" t="s">
        <v>765</v>
      </c>
      <c r="I81" s="5" t="s">
        <v>2412</v>
      </c>
      <c r="J81" s="5" t="s">
        <v>24</v>
      </c>
      <c r="K81" s="5" t="s">
        <v>24</v>
      </c>
      <c r="L81" s="5" t="s">
        <v>75</v>
      </c>
      <c r="M81" s="5" t="s">
        <v>24</v>
      </c>
      <c r="N81" s="5" t="s">
        <v>24</v>
      </c>
      <c r="O81" s="5" t="s">
        <v>75</v>
      </c>
      <c r="P81" s="5" t="s">
        <v>2413</v>
      </c>
      <c r="Q81" s="2">
        <v>45958</v>
      </c>
      <c r="V81" s="45">
        <f t="shared" si="1"/>
        <v>1</v>
      </c>
      <c r="W81" s="45" t="s">
        <v>2750</v>
      </c>
    </row>
    <row r="82" spans="1:23" hidden="1">
      <c r="A82" s="2">
        <v>45902</v>
      </c>
      <c r="B82" s="1" t="s">
        <v>2751</v>
      </c>
      <c r="C82" s="1" t="s">
        <v>2527</v>
      </c>
      <c r="D82" s="1" t="s">
        <v>2439</v>
      </c>
      <c r="E82" s="1">
        <v>85027</v>
      </c>
      <c r="F82" s="3" t="s">
        <v>2406</v>
      </c>
      <c r="G82" s="1" t="s">
        <v>2720</v>
      </c>
      <c r="H82" s="4" t="s">
        <v>767</v>
      </c>
      <c r="I82" s="5" t="s">
        <v>2412</v>
      </c>
      <c r="J82" s="5" t="s">
        <v>24</v>
      </c>
      <c r="K82" s="5" t="s">
        <v>24</v>
      </c>
      <c r="L82" s="5" t="s">
        <v>75</v>
      </c>
      <c r="M82" s="5" t="s">
        <v>24</v>
      </c>
      <c r="N82" s="5" t="s">
        <v>24</v>
      </c>
      <c r="O82" s="5" t="s">
        <v>75</v>
      </c>
      <c r="P82" s="5" t="s">
        <v>2413</v>
      </c>
      <c r="Q82" s="2">
        <v>45958</v>
      </c>
      <c r="V82" s="45">
        <f t="shared" si="1"/>
        <v>1</v>
      </c>
      <c r="W82" s="45" t="s">
        <v>2752</v>
      </c>
    </row>
    <row r="83" spans="1:23" hidden="1">
      <c r="A83" s="2">
        <v>45902</v>
      </c>
      <c r="B83" s="1" t="s">
        <v>2753</v>
      </c>
      <c r="C83" s="1" t="s">
        <v>2754</v>
      </c>
      <c r="D83" s="1" t="s">
        <v>2439</v>
      </c>
      <c r="E83" s="1">
        <v>85027</v>
      </c>
      <c r="F83" s="1" t="s">
        <v>2730</v>
      </c>
      <c r="G83" s="1" t="s">
        <v>2720</v>
      </c>
      <c r="H83" s="4" t="s">
        <v>769</v>
      </c>
      <c r="I83" s="5" t="s">
        <v>2514</v>
      </c>
      <c r="J83" s="5" t="s">
        <v>24</v>
      </c>
      <c r="K83" s="5" t="s">
        <v>24</v>
      </c>
      <c r="L83" s="5" t="s">
        <v>75</v>
      </c>
      <c r="M83" s="5" t="s">
        <v>24</v>
      </c>
      <c r="N83" s="5" t="s">
        <v>24</v>
      </c>
      <c r="O83" s="5" t="s">
        <v>75</v>
      </c>
      <c r="P83" s="5" t="s">
        <v>2413</v>
      </c>
      <c r="Q83" s="2">
        <v>45958</v>
      </c>
      <c r="V83" s="45">
        <f t="shared" si="1"/>
        <v>1</v>
      </c>
      <c r="W83" s="45" t="s">
        <v>2755</v>
      </c>
    </row>
    <row r="84" spans="1:23" hidden="1">
      <c r="A84" s="2">
        <v>45902</v>
      </c>
      <c r="B84" s="1" t="s">
        <v>2537</v>
      </c>
      <c r="C84" s="1" t="s">
        <v>2756</v>
      </c>
      <c r="D84" s="1" t="s">
        <v>2439</v>
      </c>
      <c r="E84" s="1">
        <v>85008</v>
      </c>
      <c r="F84" s="1" t="s">
        <v>2730</v>
      </c>
      <c r="G84" s="1" t="s">
        <v>2720</v>
      </c>
      <c r="H84" s="4" t="s">
        <v>2309</v>
      </c>
      <c r="I84" s="5" t="s">
        <v>2432</v>
      </c>
      <c r="J84" s="5" t="s">
        <v>24</v>
      </c>
      <c r="K84" s="5" t="s">
        <v>24</v>
      </c>
      <c r="L84" s="7" t="s">
        <v>2757</v>
      </c>
      <c r="M84" s="5" t="s">
        <v>24</v>
      </c>
      <c r="N84" s="5" t="s">
        <v>24</v>
      </c>
      <c r="O84" s="5" t="s">
        <v>75</v>
      </c>
      <c r="P84" s="2">
        <v>45932</v>
      </c>
      <c r="Q84" s="2">
        <v>45685</v>
      </c>
      <c r="R84" s="1" t="s">
        <v>2758</v>
      </c>
      <c r="V84" s="45">
        <f t="shared" si="1"/>
        <v>1</v>
      </c>
      <c r="W84" s="45" t="s">
        <v>2759</v>
      </c>
    </row>
    <row r="85" spans="1:23" hidden="1">
      <c r="A85" s="2">
        <v>45902</v>
      </c>
      <c r="B85" s="1" t="s">
        <v>2760</v>
      </c>
      <c r="C85" s="1" t="s">
        <v>2761</v>
      </c>
      <c r="D85" s="1" t="s">
        <v>2605</v>
      </c>
      <c r="E85" s="1">
        <v>85345</v>
      </c>
      <c r="F85" s="1" t="s">
        <v>2730</v>
      </c>
      <c r="G85" s="1" t="s">
        <v>2720</v>
      </c>
      <c r="H85" s="4" t="s">
        <v>2326</v>
      </c>
      <c r="I85" s="5" t="s">
        <v>2412</v>
      </c>
      <c r="J85" s="5" t="s">
        <v>24</v>
      </c>
      <c r="K85" s="5" t="s">
        <v>24</v>
      </c>
      <c r="L85" s="5" t="s">
        <v>75</v>
      </c>
      <c r="M85" s="5" t="s">
        <v>75</v>
      </c>
      <c r="N85" s="5">
        <v>175.19</v>
      </c>
      <c r="O85" s="5" t="s">
        <v>75</v>
      </c>
      <c r="P85" s="5" t="s">
        <v>2413</v>
      </c>
      <c r="Q85" s="2">
        <v>45958</v>
      </c>
      <c r="V85" s="45">
        <f t="shared" si="1"/>
        <v>1</v>
      </c>
      <c r="W85" s="45" t="s">
        <v>2762</v>
      </c>
    </row>
    <row r="86" spans="1:23" hidden="1">
      <c r="A86" s="2">
        <v>45902</v>
      </c>
      <c r="B86" s="1" t="s">
        <v>2763</v>
      </c>
      <c r="C86" s="1" t="s">
        <v>2764</v>
      </c>
      <c r="D86" s="1" t="s">
        <v>2439</v>
      </c>
      <c r="E86" s="1">
        <v>85004</v>
      </c>
      <c r="F86" s="1" t="s">
        <v>2730</v>
      </c>
      <c r="G86" s="1" t="s">
        <v>2720</v>
      </c>
      <c r="H86" s="4" t="s">
        <v>2312</v>
      </c>
      <c r="I86" s="5" t="s">
        <v>2514</v>
      </c>
      <c r="J86" s="5" t="s">
        <v>24</v>
      </c>
      <c r="K86" s="5" t="s">
        <v>24</v>
      </c>
      <c r="L86" s="5" t="s">
        <v>2765</v>
      </c>
      <c r="M86" s="5" t="s">
        <v>24</v>
      </c>
      <c r="N86" s="5" t="s">
        <v>24</v>
      </c>
      <c r="O86" s="5" t="s">
        <v>75</v>
      </c>
      <c r="P86" s="5" t="s">
        <v>2413</v>
      </c>
      <c r="Q86" s="2">
        <v>45958</v>
      </c>
      <c r="V86" s="45">
        <f t="shared" si="1"/>
        <v>1</v>
      </c>
      <c r="W86" s="45" t="s">
        <v>2766</v>
      </c>
    </row>
    <row r="87" spans="1:23" hidden="1">
      <c r="A87" s="2">
        <v>45902</v>
      </c>
      <c r="B87" s="1" t="s">
        <v>2767</v>
      </c>
      <c r="C87" s="1" t="s">
        <v>2768</v>
      </c>
      <c r="D87" s="1" t="s">
        <v>2439</v>
      </c>
      <c r="E87" s="1">
        <v>85027</v>
      </c>
      <c r="F87" s="3" t="s">
        <v>2406</v>
      </c>
      <c r="G87" s="1" t="s">
        <v>2720</v>
      </c>
      <c r="H87" s="4" t="s">
        <v>98</v>
      </c>
      <c r="I87" s="5" t="s">
        <v>2597</v>
      </c>
      <c r="J87" s="5" t="s">
        <v>24</v>
      </c>
      <c r="K87" s="5" t="s">
        <v>24</v>
      </c>
      <c r="L87" s="5" t="s">
        <v>2769</v>
      </c>
      <c r="M87" s="5" t="s">
        <v>24</v>
      </c>
      <c r="N87" s="5" t="s">
        <v>24</v>
      </c>
      <c r="O87" s="5" t="s">
        <v>75</v>
      </c>
      <c r="P87" s="5" t="s">
        <v>2413</v>
      </c>
      <c r="Q87" s="2">
        <v>45958</v>
      </c>
      <c r="V87" s="45">
        <f t="shared" si="1"/>
        <v>1</v>
      </c>
      <c r="W87" s="45" t="s">
        <v>2770</v>
      </c>
    </row>
    <row r="88" spans="1:23" hidden="1">
      <c r="A88" s="2">
        <v>45902</v>
      </c>
      <c r="B88" s="1" t="s">
        <v>2771</v>
      </c>
      <c r="C88" s="1" t="s">
        <v>2772</v>
      </c>
      <c r="D88" s="1" t="s">
        <v>2570</v>
      </c>
      <c r="E88" s="1">
        <v>85326</v>
      </c>
      <c r="F88" s="3" t="s">
        <v>2406</v>
      </c>
      <c r="G88" s="1" t="s">
        <v>2720</v>
      </c>
      <c r="H88" s="4" t="s">
        <v>771</v>
      </c>
      <c r="I88" s="5" t="s">
        <v>2597</v>
      </c>
      <c r="J88" s="5" t="s">
        <v>24</v>
      </c>
      <c r="K88" s="5" t="s">
        <v>24</v>
      </c>
      <c r="L88" s="5" t="s">
        <v>75</v>
      </c>
      <c r="M88" s="5" t="s">
        <v>24</v>
      </c>
      <c r="N88" s="5" t="s">
        <v>24</v>
      </c>
      <c r="O88" s="5" t="s">
        <v>75</v>
      </c>
      <c r="P88" s="5" t="s">
        <v>2413</v>
      </c>
      <c r="Q88" s="2">
        <v>45958</v>
      </c>
      <c r="V88" s="45">
        <f t="shared" si="1"/>
        <v>1</v>
      </c>
      <c r="W88" s="45" t="s">
        <v>2773</v>
      </c>
    </row>
    <row r="89" spans="1:23" hidden="1">
      <c r="A89" s="2">
        <v>45902</v>
      </c>
      <c r="B89" s="1" t="s">
        <v>2774</v>
      </c>
      <c r="C89" s="1" t="s">
        <v>2775</v>
      </c>
      <c r="D89" s="1" t="s">
        <v>2674</v>
      </c>
      <c r="E89" s="1">
        <v>86314</v>
      </c>
      <c r="F89" s="3" t="s">
        <v>2406</v>
      </c>
      <c r="G89" s="1" t="s">
        <v>2720</v>
      </c>
      <c r="H89" s="4" t="s">
        <v>2234</v>
      </c>
      <c r="I89" s="5" t="s">
        <v>2514</v>
      </c>
      <c r="J89" s="5" t="s">
        <v>24</v>
      </c>
      <c r="K89" s="5" t="s">
        <v>24</v>
      </c>
      <c r="L89" s="7" t="s">
        <v>2776</v>
      </c>
      <c r="M89" s="5" t="s">
        <v>75</v>
      </c>
      <c r="N89" s="13">
        <v>605.92999999999995</v>
      </c>
      <c r="O89" s="5" t="s">
        <v>75</v>
      </c>
      <c r="P89" s="2">
        <v>45932</v>
      </c>
      <c r="Q89" s="2"/>
      <c r="R89" s="1" t="s">
        <v>2758</v>
      </c>
      <c r="V89" s="45">
        <f t="shared" si="1"/>
        <v>1</v>
      </c>
      <c r="W89" s="45" t="s">
        <v>2777</v>
      </c>
    </row>
    <row r="90" spans="1:23" hidden="1">
      <c r="A90" s="2">
        <v>45902</v>
      </c>
      <c r="B90" s="1" t="s">
        <v>2778</v>
      </c>
      <c r="C90" s="1" t="s">
        <v>2779</v>
      </c>
      <c r="D90" s="1" t="s">
        <v>2398</v>
      </c>
      <c r="E90" s="1">
        <v>85306</v>
      </c>
      <c r="F90" s="1" t="s">
        <v>2730</v>
      </c>
      <c r="G90" s="1" t="s">
        <v>2720</v>
      </c>
      <c r="H90" s="4" t="s">
        <v>2284</v>
      </c>
      <c r="I90" s="5" t="s">
        <v>2432</v>
      </c>
      <c r="J90" s="5" t="s">
        <v>24</v>
      </c>
      <c r="K90" s="5" t="s">
        <v>24</v>
      </c>
      <c r="L90" s="7" t="s">
        <v>2780</v>
      </c>
      <c r="M90" s="5" t="s">
        <v>75</v>
      </c>
      <c r="N90" s="13">
        <v>591.48</v>
      </c>
      <c r="O90" s="5" t="s">
        <v>75</v>
      </c>
      <c r="P90" s="2">
        <v>45932</v>
      </c>
      <c r="Q90" s="2">
        <v>45968</v>
      </c>
      <c r="R90" s="1" t="s">
        <v>2781</v>
      </c>
      <c r="V90" s="45">
        <f t="shared" si="1"/>
        <v>1</v>
      </c>
      <c r="W90" s="45" t="s">
        <v>2782</v>
      </c>
    </row>
    <row r="91" spans="1:23" hidden="1">
      <c r="A91" s="2">
        <v>45902</v>
      </c>
      <c r="B91" s="1" t="s">
        <v>2783</v>
      </c>
      <c r="C91" s="1" t="s">
        <v>2784</v>
      </c>
      <c r="D91" s="1" t="s">
        <v>2498</v>
      </c>
      <c r="E91" s="1">
        <v>85387</v>
      </c>
      <c r="F91" s="1" t="s">
        <v>2730</v>
      </c>
      <c r="G91" s="1" t="s">
        <v>2720</v>
      </c>
      <c r="H91" s="4" t="s">
        <v>101</v>
      </c>
      <c r="I91" s="5" t="s">
        <v>2597</v>
      </c>
      <c r="J91" s="5" t="s">
        <v>24</v>
      </c>
      <c r="K91" s="5" t="s">
        <v>24</v>
      </c>
      <c r="L91" s="5" t="s">
        <v>2785</v>
      </c>
      <c r="M91" s="5" t="s">
        <v>24</v>
      </c>
      <c r="N91" s="5" t="s">
        <v>24</v>
      </c>
      <c r="O91" s="5" t="s">
        <v>75</v>
      </c>
      <c r="P91" s="5" t="s">
        <v>2413</v>
      </c>
      <c r="Q91" s="2">
        <v>45968</v>
      </c>
      <c r="V91" s="45">
        <f t="shared" si="1"/>
        <v>1</v>
      </c>
      <c r="W91" s="45" t="s">
        <v>2786</v>
      </c>
    </row>
    <row r="92" spans="1:23" hidden="1">
      <c r="A92" s="2">
        <v>45902</v>
      </c>
      <c r="B92" s="1" t="s">
        <v>2787</v>
      </c>
      <c r="C92" s="1" t="s">
        <v>2788</v>
      </c>
      <c r="D92" s="1" t="s">
        <v>2439</v>
      </c>
      <c r="E92" s="1">
        <v>85020</v>
      </c>
      <c r="F92" s="1" t="s">
        <v>2730</v>
      </c>
      <c r="G92" s="1" t="s">
        <v>2720</v>
      </c>
      <c r="H92" s="4" t="s">
        <v>2314</v>
      </c>
      <c r="I92" s="5" t="s">
        <v>2514</v>
      </c>
      <c r="J92" s="5" t="s">
        <v>24</v>
      </c>
      <c r="K92" s="5" t="s">
        <v>24</v>
      </c>
      <c r="L92" s="5" t="s">
        <v>2789</v>
      </c>
      <c r="M92" s="5" t="s">
        <v>24</v>
      </c>
      <c r="N92" s="5" t="s">
        <v>24</v>
      </c>
      <c r="O92" s="5" t="s">
        <v>75</v>
      </c>
      <c r="P92" s="5" t="s">
        <v>2413</v>
      </c>
      <c r="Q92" s="2">
        <v>45968</v>
      </c>
      <c r="V92" s="45">
        <f t="shared" si="1"/>
        <v>1</v>
      </c>
      <c r="W92" s="45" t="s">
        <v>2790</v>
      </c>
    </row>
    <row r="93" spans="1:23" hidden="1">
      <c r="A93" s="2">
        <v>45902</v>
      </c>
      <c r="B93" s="1" t="s">
        <v>2791</v>
      </c>
      <c r="C93" s="1" t="s">
        <v>2792</v>
      </c>
      <c r="D93" s="1" t="s">
        <v>2650</v>
      </c>
      <c r="E93" s="1">
        <v>85340</v>
      </c>
      <c r="F93" s="3" t="s">
        <v>2406</v>
      </c>
      <c r="G93" s="1" t="s">
        <v>2720</v>
      </c>
      <c r="H93" s="4" t="s">
        <v>773</v>
      </c>
      <c r="I93" s="5" t="s">
        <v>2412</v>
      </c>
      <c r="J93" s="5" t="s">
        <v>24</v>
      </c>
      <c r="K93" s="5" t="s">
        <v>24</v>
      </c>
      <c r="L93" s="5" t="s">
        <v>75</v>
      </c>
      <c r="M93" s="5" t="s">
        <v>24</v>
      </c>
      <c r="N93" s="5" t="s">
        <v>24</v>
      </c>
      <c r="O93" s="5" t="s">
        <v>75</v>
      </c>
      <c r="P93" s="5" t="s">
        <v>2413</v>
      </c>
      <c r="Q93" s="2">
        <v>45968</v>
      </c>
      <c r="V93" s="45">
        <f t="shared" si="1"/>
        <v>1</v>
      </c>
      <c r="W93" s="45" t="s">
        <v>2793</v>
      </c>
    </row>
    <row r="94" spans="1:23" hidden="1">
      <c r="A94" s="2">
        <v>45902</v>
      </c>
      <c r="B94" s="1" t="s">
        <v>2794</v>
      </c>
      <c r="C94" s="1" t="s">
        <v>2699</v>
      </c>
      <c r="D94" s="1" t="s">
        <v>2498</v>
      </c>
      <c r="E94" s="1">
        <v>85387</v>
      </c>
      <c r="F94" s="3" t="s">
        <v>2406</v>
      </c>
      <c r="G94" s="1" t="s">
        <v>2720</v>
      </c>
      <c r="H94" s="4" t="s">
        <v>775</v>
      </c>
      <c r="I94" s="5" t="s">
        <v>2702</v>
      </c>
      <c r="J94" s="5" t="s">
        <v>75</v>
      </c>
      <c r="K94" s="5" t="s">
        <v>24</v>
      </c>
      <c r="L94" s="5" t="s">
        <v>75</v>
      </c>
      <c r="M94" s="5" t="s">
        <v>24</v>
      </c>
      <c r="N94" s="5" t="s">
        <v>24</v>
      </c>
      <c r="O94" s="5" t="s">
        <v>75</v>
      </c>
      <c r="P94" s="5" t="s">
        <v>2413</v>
      </c>
      <c r="Q94" s="2">
        <v>45968</v>
      </c>
      <c r="V94" s="45">
        <f t="shared" si="1"/>
        <v>1</v>
      </c>
      <c r="W94" s="45" t="s">
        <v>2795</v>
      </c>
    </row>
    <row r="95" spans="1:23" hidden="1">
      <c r="A95" s="2">
        <v>45902</v>
      </c>
      <c r="B95" s="1" t="s">
        <v>2796</v>
      </c>
      <c r="C95" s="1" t="s">
        <v>2632</v>
      </c>
      <c r="D95" s="1" t="s">
        <v>2439</v>
      </c>
      <c r="E95" s="1">
        <v>85020</v>
      </c>
      <c r="F95" s="1" t="s">
        <v>2730</v>
      </c>
      <c r="G95" s="1" t="s">
        <v>2720</v>
      </c>
      <c r="H95" s="4" t="s">
        <v>2613</v>
      </c>
      <c r="V95" s="45">
        <f t="shared" si="1"/>
        <v>1</v>
      </c>
      <c r="W95" s="45" t="s">
        <v>2797</v>
      </c>
    </row>
    <row r="96" spans="1:23" hidden="1">
      <c r="A96" s="2">
        <v>45902</v>
      </c>
      <c r="B96" s="1" t="s">
        <v>2798</v>
      </c>
      <c r="C96" s="1" t="s">
        <v>2799</v>
      </c>
      <c r="D96" s="1" t="s">
        <v>2800</v>
      </c>
      <c r="E96" s="1">
        <v>85225</v>
      </c>
      <c r="F96" s="3" t="s">
        <v>2406</v>
      </c>
      <c r="G96" s="1" t="s">
        <v>2720</v>
      </c>
      <c r="H96" s="4" t="s">
        <v>777</v>
      </c>
      <c r="I96" s="10" t="s">
        <v>2412</v>
      </c>
      <c r="J96" s="5" t="s">
        <v>24</v>
      </c>
      <c r="K96" s="5" t="s">
        <v>24</v>
      </c>
      <c r="L96" s="5" t="s">
        <v>75</v>
      </c>
      <c r="M96" s="5" t="s">
        <v>24</v>
      </c>
      <c r="N96" s="5" t="s">
        <v>24</v>
      </c>
      <c r="O96" s="5" t="s">
        <v>75</v>
      </c>
      <c r="P96" s="5" t="s">
        <v>2413</v>
      </c>
      <c r="Q96" s="2">
        <v>45968</v>
      </c>
      <c r="V96" s="45">
        <f t="shared" si="1"/>
        <v>1</v>
      </c>
      <c r="W96" s="45" t="s">
        <v>2801</v>
      </c>
    </row>
    <row r="97" spans="1:23" hidden="1">
      <c r="A97" s="2">
        <v>45902</v>
      </c>
      <c r="B97" s="1" t="s">
        <v>2802</v>
      </c>
      <c r="C97" s="1" t="s">
        <v>2803</v>
      </c>
      <c r="D97" s="1" t="s">
        <v>2439</v>
      </c>
      <c r="E97" s="1">
        <v>85006</v>
      </c>
      <c r="F97" s="3" t="s">
        <v>2406</v>
      </c>
      <c r="G97" s="1" t="s">
        <v>2720</v>
      </c>
      <c r="H97" s="4" t="s">
        <v>779</v>
      </c>
      <c r="I97" s="5" t="s">
        <v>2597</v>
      </c>
      <c r="J97" s="5" t="s">
        <v>24</v>
      </c>
      <c r="K97" s="5" t="s">
        <v>24</v>
      </c>
      <c r="L97" s="5" t="s">
        <v>75</v>
      </c>
      <c r="M97" s="5" t="s">
        <v>24</v>
      </c>
      <c r="N97" s="5" t="s">
        <v>24</v>
      </c>
      <c r="O97" s="5" t="s">
        <v>75</v>
      </c>
      <c r="P97" s="5" t="s">
        <v>2413</v>
      </c>
      <c r="Q97" s="2">
        <v>45968</v>
      </c>
      <c r="V97" s="45">
        <f t="shared" si="1"/>
        <v>1</v>
      </c>
      <c r="W97" s="45" t="s">
        <v>2804</v>
      </c>
    </row>
    <row r="98" spans="1:23" hidden="1">
      <c r="A98" s="2">
        <v>45902</v>
      </c>
      <c r="B98" s="1" t="s">
        <v>2805</v>
      </c>
      <c r="C98" s="1" t="s">
        <v>2806</v>
      </c>
      <c r="D98" s="1" t="s">
        <v>2498</v>
      </c>
      <c r="E98" s="1">
        <v>85388</v>
      </c>
      <c r="F98" s="3" t="s">
        <v>2406</v>
      </c>
      <c r="G98" s="1" t="s">
        <v>2720</v>
      </c>
      <c r="H98" s="4" t="s">
        <v>2266</v>
      </c>
      <c r="I98" s="5" t="s">
        <v>2597</v>
      </c>
      <c r="J98" s="5" t="s">
        <v>24</v>
      </c>
      <c r="K98" s="5" t="s">
        <v>24</v>
      </c>
      <c r="L98" s="7" t="s">
        <v>2807</v>
      </c>
      <c r="M98" s="5" t="s">
        <v>24</v>
      </c>
      <c r="N98" s="5" t="s">
        <v>24</v>
      </c>
      <c r="O98" s="5" t="s">
        <v>75</v>
      </c>
      <c r="P98" s="2">
        <v>45932</v>
      </c>
      <c r="Q98" s="2">
        <v>45968</v>
      </c>
      <c r="R98" s="1" t="s">
        <v>2758</v>
      </c>
      <c r="V98" s="45">
        <f t="shared" si="1"/>
        <v>1</v>
      </c>
      <c r="W98" s="45" t="s">
        <v>2808</v>
      </c>
    </row>
    <row r="99" spans="1:23" hidden="1">
      <c r="A99" s="2">
        <v>45902</v>
      </c>
      <c r="B99" s="1" t="s">
        <v>2809</v>
      </c>
      <c r="C99" s="1" t="s">
        <v>2733</v>
      </c>
      <c r="D99" s="1" t="s">
        <v>2564</v>
      </c>
      <c r="E99" s="1">
        <v>85338</v>
      </c>
      <c r="F99" s="3" t="s">
        <v>2406</v>
      </c>
      <c r="G99" s="1" t="s">
        <v>2720</v>
      </c>
      <c r="H99" s="4" t="s">
        <v>781</v>
      </c>
      <c r="I99" s="5" t="s">
        <v>2597</v>
      </c>
      <c r="J99" s="5" t="s">
        <v>24</v>
      </c>
      <c r="K99" s="5" t="s">
        <v>24</v>
      </c>
      <c r="L99" s="5" t="s">
        <v>75</v>
      </c>
      <c r="M99" s="5" t="s">
        <v>24</v>
      </c>
      <c r="N99" s="5" t="s">
        <v>24</v>
      </c>
      <c r="O99" s="5" t="s">
        <v>75</v>
      </c>
      <c r="P99" s="5" t="s">
        <v>2413</v>
      </c>
      <c r="Q99" s="2">
        <v>45968</v>
      </c>
      <c r="V99" s="45">
        <f t="shared" si="1"/>
        <v>1</v>
      </c>
      <c r="W99" s="45" t="s">
        <v>2810</v>
      </c>
    </row>
    <row r="100" spans="1:23" hidden="1">
      <c r="A100" s="2">
        <v>45902</v>
      </c>
      <c r="B100" s="1" t="s">
        <v>2811</v>
      </c>
      <c r="C100" s="1" t="s">
        <v>2812</v>
      </c>
      <c r="D100" s="1" t="s">
        <v>2605</v>
      </c>
      <c r="E100" s="1">
        <v>85345</v>
      </c>
      <c r="F100" s="3" t="s">
        <v>2406</v>
      </c>
      <c r="G100" s="1" t="s">
        <v>2720</v>
      </c>
      <c r="H100" s="4" t="s">
        <v>2401</v>
      </c>
      <c r="V100" s="45">
        <f t="shared" si="1"/>
        <v>1</v>
      </c>
      <c r="W100" s="45" t="s">
        <v>2813</v>
      </c>
    </row>
    <row r="101" spans="1:23" hidden="1">
      <c r="A101" s="2">
        <v>45902</v>
      </c>
      <c r="B101" s="1" t="s">
        <v>2814</v>
      </c>
      <c r="C101" s="1" t="s">
        <v>2815</v>
      </c>
      <c r="D101" s="1" t="s">
        <v>2439</v>
      </c>
      <c r="E101" s="1">
        <v>85023</v>
      </c>
      <c r="F101" s="3" t="s">
        <v>2406</v>
      </c>
      <c r="G101" s="1" t="s">
        <v>2720</v>
      </c>
      <c r="H101" s="4" t="s">
        <v>2229</v>
      </c>
      <c r="I101" s="5" t="s">
        <v>2514</v>
      </c>
      <c r="J101" s="5" t="s">
        <v>24</v>
      </c>
      <c r="K101" s="5" t="s">
        <v>24</v>
      </c>
      <c r="L101" s="5" t="s">
        <v>75</v>
      </c>
      <c r="M101" s="5" t="s">
        <v>24</v>
      </c>
      <c r="N101" s="5" t="s">
        <v>24</v>
      </c>
      <c r="O101" s="5" t="s">
        <v>75</v>
      </c>
      <c r="P101" s="5" t="s">
        <v>2413</v>
      </c>
      <c r="Q101" s="2">
        <v>45968</v>
      </c>
      <c r="V101" s="45">
        <f t="shared" si="1"/>
        <v>1</v>
      </c>
      <c r="W101" s="45" t="s">
        <v>2816</v>
      </c>
    </row>
    <row r="102" spans="1:23" hidden="1">
      <c r="A102" s="2">
        <v>45902</v>
      </c>
      <c r="B102" s="1" t="s">
        <v>2817</v>
      </c>
      <c r="C102" s="1" t="s">
        <v>2818</v>
      </c>
      <c r="D102" s="1" t="s">
        <v>2564</v>
      </c>
      <c r="E102" s="1">
        <v>85338</v>
      </c>
      <c r="F102" s="3" t="s">
        <v>2406</v>
      </c>
      <c r="G102" s="1" t="s">
        <v>2720</v>
      </c>
      <c r="H102" s="4" t="s">
        <v>608</v>
      </c>
      <c r="I102" s="5" t="s">
        <v>2652</v>
      </c>
      <c r="J102" s="5" t="s">
        <v>75</v>
      </c>
      <c r="K102" s="5" t="s">
        <v>24</v>
      </c>
      <c r="L102" s="5" t="s">
        <v>2819</v>
      </c>
      <c r="M102" s="5" t="s">
        <v>75</v>
      </c>
      <c r="N102" s="13">
        <v>326.87</v>
      </c>
      <c r="O102" s="5" t="s">
        <v>75</v>
      </c>
      <c r="P102" s="5" t="s">
        <v>2413</v>
      </c>
      <c r="Q102" s="2">
        <v>45968</v>
      </c>
      <c r="R102" s="1" t="s">
        <v>2820</v>
      </c>
      <c r="V102" s="45">
        <f t="shared" si="1"/>
        <v>1</v>
      </c>
      <c r="W102" s="45" t="s">
        <v>2821</v>
      </c>
    </row>
    <row r="103" spans="1:23" hidden="1">
      <c r="A103" s="2">
        <v>45902</v>
      </c>
      <c r="B103" s="1" t="s">
        <v>2822</v>
      </c>
      <c r="C103" s="1" t="s">
        <v>2823</v>
      </c>
      <c r="D103" s="1" t="s">
        <v>2564</v>
      </c>
      <c r="E103" s="1">
        <v>85338</v>
      </c>
      <c r="F103" s="3" t="s">
        <v>2406</v>
      </c>
      <c r="G103" s="1" t="s">
        <v>2720</v>
      </c>
      <c r="H103" s="4" t="s">
        <v>783</v>
      </c>
      <c r="I103" s="5" t="s">
        <v>2412</v>
      </c>
      <c r="J103" s="5" t="s">
        <v>24</v>
      </c>
      <c r="K103" s="5" t="s">
        <v>24</v>
      </c>
      <c r="L103" s="5" t="s">
        <v>75</v>
      </c>
      <c r="M103" s="5" t="s">
        <v>24</v>
      </c>
      <c r="N103" s="5" t="s">
        <v>24</v>
      </c>
      <c r="O103" s="5" t="s">
        <v>75</v>
      </c>
      <c r="P103" s="5" t="s">
        <v>2413</v>
      </c>
      <c r="Q103" s="2">
        <v>45968</v>
      </c>
      <c r="V103" s="45">
        <f t="shared" si="1"/>
        <v>1</v>
      </c>
      <c r="W103" s="45" t="s">
        <v>2824</v>
      </c>
    </row>
    <row r="104" spans="1:23" hidden="1">
      <c r="A104" s="2">
        <v>45902</v>
      </c>
      <c r="B104" s="1" t="s">
        <v>2825</v>
      </c>
      <c r="C104" s="1" t="s">
        <v>2826</v>
      </c>
      <c r="D104" s="1" t="s">
        <v>2827</v>
      </c>
      <c r="E104" s="1">
        <v>85303</v>
      </c>
      <c r="F104" s="3" t="s">
        <v>2406</v>
      </c>
      <c r="G104" s="1" t="s">
        <v>2720</v>
      </c>
      <c r="H104" s="4" t="s">
        <v>785</v>
      </c>
      <c r="I104" s="5" t="s">
        <v>2514</v>
      </c>
      <c r="J104" s="5" t="s">
        <v>24</v>
      </c>
      <c r="K104" s="5" t="s">
        <v>24</v>
      </c>
      <c r="L104" s="5" t="s">
        <v>75</v>
      </c>
      <c r="M104" s="5" t="s">
        <v>24</v>
      </c>
      <c r="N104" s="5" t="s">
        <v>24</v>
      </c>
      <c r="O104" s="5" t="s">
        <v>75</v>
      </c>
      <c r="P104" s="5" t="s">
        <v>2413</v>
      </c>
      <c r="Q104" s="2">
        <v>45968</v>
      </c>
      <c r="V104" s="45">
        <f t="shared" si="1"/>
        <v>1</v>
      </c>
      <c r="W104" s="45" t="s">
        <v>2828</v>
      </c>
    </row>
    <row r="105" spans="1:23" hidden="1">
      <c r="A105" s="2">
        <v>45902</v>
      </c>
      <c r="B105" s="1" t="s">
        <v>2829</v>
      </c>
      <c r="C105" s="1" t="s">
        <v>2830</v>
      </c>
      <c r="D105" s="1" t="s">
        <v>2439</v>
      </c>
      <c r="E105" s="1">
        <v>85006</v>
      </c>
      <c r="F105" s="3" t="s">
        <v>2406</v>
      </c>
      <c r="G105" s="1" t="s">
        <v>2720</v>
      </c>
      <c r="H105" s="4" t="s">
        <v>103</v>
      </c>
      <c r="I105" s="5" t="s">
        <v>2412</v>
      </c>
      <c r="J105" s="5" t="s">
        <v>24</v>
      </c>
      <c r="K105" s="5" t="s">
        <v>24</v>
      </c>
      <c r="L105" s="5" t="s">
        <v>2831</v>
      </c>
      <c r="M105" s="5" t="s">
        <v>24</v>
      </c>
      <c r="N105" s="5" t="s">
        <v>24</v>
      </c>
      <c r="O105" s="5" t="s">
        <v>75</v>
      </c>
      <c r="P105" s="5" t="s">
        <v>2413</v>
      </c>
      <c r="Q105" s="2">
        <v>45968</v>
      </c>
      <c r="V105" s="45">
        <f t="shared" si="1"/>
        <v>1</v>
      </c>
      <c r="W105" s="45" t="s">
        <v>2832</v>
      </c>
    </row>
    <row r="106" spans="1:23" hidden="1">
      <c r="A106" s="2">
        <v>45902</v>
      </c>
      <c r="B106" s="1" t="s">
        <v>2833</v>
      </c>
      <c r="C106" s="1" t="s">
        <v>2834</v>
      </c>
      <c r="D106" s="1" t="s">
        <v>2398</v>
      </c>
      <c r="E106" s="1">
        <v>85307</v>
      </c>
      <c r="F106" s="1" t="s">
        <v>2730</v>
      </c>
      <c r="G106" s="1" t="s">
        <v>2720</v>
      </c>
      <c r="H106" s="4" t="s">
        <v>2249</v>
      </c>
      <c r="I106" s="5" t="s">
        <v>2514</v>
      </c>
      <c r="J106" s="5" t="s">
        <v>24</v>
      </c>
      <c r="K106" s="5" t="s">
        <v>24</v>
      </c>
      <c r="L106" s="5" t="s">
        <v>2835</v>
      </c>
      <c r="M106" s="5" t="s">
        <v>24</v>
      </c>
      <c r="N106" s="5" t="s">
        <v>24</v>
      </c>
      <c r="O106" s="5" t="s">
        <v>75</v>
      </c>
      <c r="P106" s="5" t="s">
        <v>2413</v>
      </c>
      <c r="Q106" s="2">
        <v>45968</v>
      </c>
      <c r="V106" s="45">
        <f t="shared" si="1"/>
        <v>1</v>
      </c>
      <c r="W106" s="45" t="s">
        <v>2836</v>
      </c>
    </row>
    <row r="107" spans="1:23" hidden="1">
      <c r="A107" s="2">
        <v>45902</v>
      </c>
      <c r="B107" s="1" t="s">
        <v>2837</v>
      </c>
      <c r="C107" s="1" t="s">
        <v>2838</v>
      </c>
      <c r="D107" s="1" t="s">
        <v>2439</v>
      </c>
      <c r="E107" s="1">
        <v>85006</v>
      </c>
      <c r="F107" s="3" t="s">
        <v>2406</v>
      </c>
      <c r="G107" s="1" t="s">
        <v>2720</v>
      </c>
      <c r="H107" s="4" t="s">
        <v>2239</v>
      </c>
      <c r="I107" s="5" t="s">
        <v>2432</v>
      </c>
      <c r="J107" s="5" t="s">
        <v>24</v>
      </c>
      <c r="K107" s="5" t="s">
        <v>24</v>
      </c>
      <c r="L107" s="7" t="s">
        <v>2839</v>
      </c>
      <c r="M107" s="5" t="s">
        <v>24</v>
      </c>
      <c r="N107" s="5" t="s">
        <v>24</v>
      </c>
      <c r="O107" s="5" t="s">
        <v>75</v>
      </c>
      <c r="P107" s="2">
        <v>45932</v>
      </c>
      <c r="Q107" s="2">
        <v>45968</v>
      </c>
      <c r="R107" s="1" t="s">
        <v>2758</v>
      </c>
      <c r="V107" s="45">
        <f t="shared" si="1"/>
        <v>1</v>
      </c>
      <c r="W107" s="45" t="s">
        <v>2840</v>
      </c>
    </row>
    <row r="108" spans="1:23" hidden="1">
      <c r="A108" s="2">
        <v>45902</v>
      </c>
      <c r="B108" s="1" t="s">
        <v>2841</v>
      </c>
      <c r="C108" s="1" t="s">
        <v>2842</v>
      </c>
      <c r="D108" s="1" t="s">
        <v>2843</v>
      </c>
      <c r="E108" s="1">
        <v>85123</v>
      </c>
      <c r="F108" s="1" t="s">
        <v>2730</v>
      </c>
      <c r="G108" s="1" t="s">
        <v>2720</v>
      </c>
      <c r="H108" s="4" t="s">
        <v>2316</v>
      </c>
      <c r="I108" s="5" t="s">
        <v>2597</v>
      </c>
      <c r="J108" s="5" t="s">
        <v>24</v>
      </c>
      <c r="K108" s="5" t="s">
        <v>24</v>
      </c>
      <c r="L108" s="5" t="s">
        <v>2844</v>
      </c>
      <c r="M108" s="5" t="s">
        <v>24</v>
      </c>
      <c r="N108" s="5" t="s">
        <v>24</v>
      </c>
      <c r="O108" s="5" t="s">
        <v>75</v>
      </c>
      <c r="P108" s="5" t="s">
        <v>2413</v>
      </c>
      <c r="Q108" s="2">
        <v>45968</v>
      </c>
      <c r="V108" s="45">
        <f t="shared" si="1"/>
        <v>1</v>
      </c>
      <c r="W108" s="45" t="s">
        <v>2845</v>
      </c>
    </row>
    <row r="109" spans="1:23" hidden="1">
      <c r="A109" s="2">
        <v>45902</v>
      </c>
      <c r="B109" s="1" t="s">
        <v>2846</v>
      </c>
      <c r="C109" s="1" t="s">
        <v>2847</v>
      </c>
      <c r="D109" s="1" t="s">
        <v>2498</v>
      </c>
      <c r="E109" s="1">
        <v>85379</v>
      </c>
      <c r="F109" s="3" t="s">
        <v>2406</v>
      </c>
      <c r="G109" s="1" t="s">
        <v>2720</v>
      </c>
      <c r="H109" s="4" t="s">
        <v>787</v>
      </c>
      <c r="I109" s="5" t="s">
        <v>2848</v>
      </c>
      <c r="J109" s="5" t="s">
        <v>24</v>
      </c>
      <c r="K109" s="5" t="s">
        <v>24</v>
      </c>
      <c r="L109" s="5" t="s">
        <v>2819</v>
      </c>
      <c r="M109" s="5" t="s">
        <v>24</v>
      </c>
      <c r="N109" s="5" t="s">
        <v>24</v>
      </c>
      <c r="O109" s="5" t="s">
        <v>75</v>
      </c>
      <c r="P109" s="5" t="s">
        <v>2413</v>
      </c>
      <c r="Q109" s="2">
        <v>45968</v>
      </c>
      <c r="V109" s="45">
        <f t="shared" si="1"/>
        <v>1</v>
      </c>
      <c r="W109" s="45" t="s">
        <v>2849</v>
      </c>
    </row>
    <row r="110" spans="1:23" hidden="1">
      <c r="A110" s="2">
        <v>45902</v>
      </c>
      <c r="B110" s="1" t="s">
        <v>2850</v>
      </c>
      <c r="C110" s="1" t="s">
        <v>2851</v>
      </c>
      <c r="D110" s="1" t="s">
        <v>2570</v>
      </c>
      <c r="E110" s="1">
        <v>85326</v>
      </c>
      <c r="F110" s="3" t="s">
        <v>2406</v>
      </c>
      <c r="G110" s="1" t="s">
        <v>2720</v>
      </c>
      <c r="H110" s="4" t="s">
        <v>2401</v>
      </c>
      <c r="V110" s="45">
        <f t="shared" si="1"/>
        <v>1</v>
      </c>
      <c r="W110" s="45" t="s">
        <v>2852</v>
      </c>
    </row>
    <row r="111" spans="1:23" hidden="1">
      <c r="A111" s="2">
        <v>45902</v>
      </c>
      <c r="B111" s="1" t="s">
        <v>2853</v>
      </c>
      <c r="C111" s="1" t="s">
        <v>2854</v>
      </c>
      <c r="D111" s="1" t="s">
        <v>2439</v>
      </c>
      <c r="E111" s="1">
        <v>85054</v>
      </c>
      <c r="F111" s="1" t="s">
        <v>2730</v>
      </c>
      <c r="G111" s="1" t="s">
        <v>2720</v>
      </c>
      <c r="H111" s="4" t="s">
        <v>105</v>
      </c>
      <c r="I111" s="5" t="s">
        <v>2597</v>
      </c>
      <c r="J111" s="5" t="s">
        <v>24</v>
      </c>
      <c r="K111" s="5" t="s">
        <v>24</v>
      </c>
      <c r="L111" s="7" t="s">
        <v>2855</v>
      </c>
      <c r="M111" s="5" t="s">
        <v>24</v>
      </c>
      <c r="N111" s="5" t="s">
        <v>24</v>
      </c>
      <c r="O111" s="5" t="s">
        <v>75</v>
      </c>
      <c r="P111" s="2">
        <v>45932</v>
      </c>
      <c r="Q111" s="2">
        <v>45958</v>
      </c>
      <c r="R111" s="1" t="s">
        <v>2758</v>
      </c>
      <c r="V111" s="45">
        <f t="shared" si="1"/>
        <v>1</v>
      </c>
      <c r="W111" s="45" t="s">
        <v>2856</v>
      </c>
    </row>
    <row r="112" spans="1:23" hidden="1">
      <c r="A112" s="2">
        <v>45902</v>
      </c>
      <c r="B112" s="1" t="s">
        <v>2857</v>
      </c>
      <c r="C112" s="1" t="s">
        <v>2858</v>
      </c>
      <c r="D112" s="1" t="s">
        <v>2650</v>
      </c>
      <c r="E112" s="1">
        <v>85340</v>
      </c>
      <c r="F112" s="1" t="s">
        <v>2730</v>
      </c>
      <c r="G112" s="1" t="s">
        <v>2720</v>
      </c>
      <c r="H112" s="4" t="s">
        <v>2401</v>
      </c>
      <c r="V112" s="45">
        <f t="shared" si="1"/>
        <v>1</v>
      </c>
      <c r="W112" s="45" t="s">
        <v>2859</v>
      </c>
    </row>
    <row r="113" spans="1:23" hidden="1">
      <c r="A113" s="2">
        <v>45902</v>
      </c>
      <c r="B113" s="1" t="s">
        <v>2860</v>
      </c>
      <c r="C113" s="1" t="s">
        <v>2861</v>
      </c>
      <c r="D113" s="1" t="s">
        <v>2862</v>
      </c>
      <c r="E113" s="1">
        <v>85335</v>
      </c>
      <c r="F113" s="3" t="s">
        <v>2406</v>
      </c>
      <c r="G113" s="1" t="s">
        <v>2720</v>
      </c>
      <c r="H113" s="4" t="s">
        <v>2401</v>
      </c>
      <c r="V113" s="45">
        <f t="shared" si="1"/>
        <v>1</v>
      </c>
      <c r="W113" s="45" t="s">
        <v>2863</v>
      </c>
    </row>
    <row r="114" spans="1:23" hidden="1">
      <c r="A114" s="2">
        <v>45902</v>
      </c>
      <c r="B114" s="1" t="s">
        <v>2864</v>
      </c>
      <c r="C114" s="1" t="s">
        <v>2527</v>
      </c>
      <c r="D114" s="1" t="s">
        <v>2439</v>
      </c>
      <c r="E114" s="1">
        <v>85029</v>
      </c>
      <c r="F114" s="1" t="s">
        <v>2730</v>
      </c>
      <c r="G114" s="1" t="s">
        <v>2720</v>
      </c>
      <c r="H114" s="4" t="s">
        <v>789</v>
      </c>
      <c r="I114" s="5" t="s">
        <v>2412</v>
      </c>
      <c r="J114" s="5" t="s">
        <v>75</v>
      </c>
      <c r="K114" s="5" t="s">
        <v>24</v>
      </c>
      <c r="L114" s="5" t="s">
        <v>75</v>
      </c>
      <c r="M114" s="5" t="s">
        <v>24</v>
      </c>
      <c r="N114" s="5" t="s">
        <v>24</v>
      </c>
      <c r="O114" s="5" t="s">
        <v>75</v>
      </c>
      <c r="P114" s="5" t="s">
        <v>2865</v>
      </c>
      <c r="Q114" s="2">
        <v>45958</v>
      </c>
      <c r="V114" s="45">
        <f t="shared" si="1"/>
        <v>1</v>
      </c>
      <c r="W114" s="45" t="s">
        <v>2866</v>
      </c>
    </row>
    <row r="115" spans="1:23" hidden="1">
      <c r="A115" s="2">
        <v>45902</v>
      </c>
      <c r="B115" s="1" t="s">
        <v>2867</v>
      </c>
      <c r="C115" s="1" t="s">
        <v>2823</v>
      </c>
      <c r="D115" s="1" t="s">
        <v>2439</v>
      </c>
      <c r="E115" s="1">
        <v>85006</v>
      </c>
      <c r="F115" s="3" t="s">
        <v>2406</v>
      </c>
      <c r="G115" s="1" t="s">
        <v>2720</v>
      </c>
      <c r="H115" s="4" t="s">
        <v>2613</v>
      </c>
      <c r="V115" s="45">
        <f t="shared" si="1"/>
        <v>1</v>
      </c>
      <c r="W115" s="45" t="s">
        <v>2868</v>
      </c>
    </row>
    <row r="116" spans="1:23" hidden="1">
      <c r="A116" s="2">
        <v>45902</v>
      </c>
      <c r="B116" s="1" t="s">
        <v>2869</v>
      </c>
      <c r="C116" s="1" t="s">
        <v>2870</v>
      </c>
      <c r="D116" s="1" t="s">
        <v>2465</v>
      </c>
      <c r="E116" s="1">
        <v>86323</v>
      </c>
      <c r="F116" s="1" t="s">
        <v>2406</v>
      </c>
      <c r="G116" s="1" t="s">
        <v>2720</v>
      </c>
      <c r="H116" s="4" t="s">
        <v>791</v>
      </c>
      <c r="I116" s="5" t="s">
        <v>2702</v>
      </c>
      <c r="J116" s="5" t="s">
        <v>24</v>
      </c>
      <c r="K116" s="5" t="s">
        <v>24</v>
      </c>
      <c r="L116" s="5" t="s">
        <v>75</v>
      </c>
      <c r="M116" s="5" t="s">
        <v>24</v>
      </c>
      <c r="N116" s="5" t="s">
        <v>24</v>
      </c>
      <c r="O116" s="5" t="s">
        <v>75</v>
      </c>
      <c r="P116" s="5" t="s">
        <v>2413</v>
      </c>
      <c r="Q116" s="2">
        <v>45958</v>
      </c>
      <c r="V116" s="45">
        <f t="shared" si="1"/>
        <v>1</v>
      </c>
      <c r="W116" s="45" t="s">
        <v>2871</v>
      </c>
    </row>
    <row r="117" spans="1:23" hidden="1">
      <c r="A117" s="2">
        <v>45902</v>
      </c>
      <c r="B117" s="1" t="s">
        <v>2872</v>
      </c>
      <c r="C117" s="1" t="s">
        <v>2538</v>
      </c>
      <c r="D117" s="1" t="s">
        <v>2498</v>
      </c>
      <c r="E117" s="1">
        <v>85379</v>
      </c>
      <c r="F117" s="1" t="s">
        <v>2730</v>
      </c>
      <c r="G117" s="1" t="s">
        <v>2720</v>
      </c>
      <c r="H117" s="4" t="s">
        <v>793</v>
      </c>
      <c r="I117" s="5" t="s">
        <v>2514</v>
      </c>
      <c r="J117" s="5" t="s">
        <v>24</v>
      </c>
      <c r="K117" s="5" t="s">
        <v>24</v>
      </c>
      <c r="L117" s="5" t="s">
        <v>75</v>
      </c>
      <c r="M117" s="5" t="s">
        <v>24</v>
      </c>
      <c r="N117" s="5" t="s">
        <v>24</v>
      </c>
      <c r="O117" s="5" t="s">
        <v>75</v>
      </c>
      <c r="P117" s="5" t="s">
        <v>2413</v>
      </c>
      <c r="Q117" s="2">
        <v>45958</v>
      </c>
      <c r="V117" s="45">
        <f t="shared" si="1"/>
        <v>1</v>
      </c>
      <c r="W117" s="45" t="s">
        <v>2873</v>
      </c>
    </row>
    <row r="118" spans="1:23" hidden="1">
      <c r="A118" s="2">
        <v>45902</v>
      </c>
      <c r="B118" s="1" t="s">
        <v>2874</v>
      </c>
      <c r="C118" s="1" t="s">
        <v>2875</v>
      </c>
      <c r="D118" s="1" t="s">
        <v>2564</v>
      </c>
      <c r="E118" s="1">
        <v>85338</v>
      </c>
      <c r="F118" s="1" t="s">
        <v>2406</v>
      </c>
      <c r="G118" s="1" t="s">
        <v>2720</v>
      </c>
      <c r="H118" s="4" t="s">
        <v>610</v>
      </c>
      <c r="I118" s="5" t="s">
        <v>2848</v>
      </c>
      <c r="J118" s="5" t="s">
        <v>75</v>
      </c>
      <c r="K118" s="5" t="s">
        <v>24</v>
      </c>
      <c r="L118" s="5" t="s">
        <v>2819</v>
      </c>
      <c r="M118" s="5" t="s">
        <v>75</v>
      </c>
      <c r="N118" s="13">
        <v>179.9</v>
      </c>
      <c r="O118" s="5" t="s">
        <v>75</v>
      </c>
      <c r="P118" s="5" t="s">
        <v>2413</v>
      </c>
      <c r="Q118" s="2">
        <v>45968</v>
      </c>
      <c r="V118" s="45">
        <f t="shared" si="1"/>
        <v>1</v>
      </c>
      <c r="W118" s="45" t="s">
        <v>2876</v>
      </c>
    </row>
    <row r="119" spans="1:23" hidden="1">
      <c r="A119" s="2">
        <v>45902</v>
      </c>
      <c r="B119" s="1" t="s">
        <v>2877</v>
      </c>
      <c r="C119" s="1" t="s">
        <v>2878</v>
      </c>
      <c r="D119" s="1" t="s">
        <v>2513</v>
      </c>
      <c r="E119" s="1">
        <v>85254</v>
      </c>
      <c r="F119" s="1" t="s">
        <v>2730</v>
      </c>
      <c r="G119" s="1" t="s">
        <v>2720</v>
      </c>
      <c r="H119" s="4" t="s">
        <v>795</v>
      </c>
      <c r="I119" s="5" t="s">
        <v>2412</v>
      </c>
      <c r="J119" s="5" t="s">
        <v>24</v>
      </c>
      <c r="K119" s="5" t="s">
        <v>24</v>
      </c>
      <c r="L119" s="5" t="s">
        <v>75</v>
      </c>
      <c r="M119" s="5" t="s">
        <v>24</v>
      </c>
      <c r="N119" s="5" t="s">
        <v>24</v>
      </c>
      <c r="O119" s="5" t="s">
        <v>75</v>
      </c>
      <c r="P119" s="5" t="s">
        <v>2413</v>
      </c>
      <c r="Q119" s="2">
        <v>45968</v>
      </c>
      <c r="V119" s="45">
        <f t="shared" si="1"/>
        <v>1</v>
      </c>
      <c r="W119" s="45" t="s">
        <v>2879</v>
      </c>
    </row>
    <row r="120" spans="1:23" hidden="1">
      <c r="A120" s="2">
        <v>45902</v>
      </c>
      <c r="B120" s="1" t="s">
        <v>2880</v>
      </c>
      <c r="C120" s="1" t="s">
        <v>2881</v>
      </c>
      <c r="D120" s="1" t="s">
        <v>2439</v>
      </c>
      <c r="E120" s="1">
        <v>85032</v>
      </c>
      <c r="F120" s="1" t="s">
        <v>2730</v>
      </c>
      <c r="G120" s="1" t="s">
        <v>2720</v>
      </c>
      <c r="H120" s="4" t="s">
        <v>107</v>
      </c>
      <c r="I120" s="5" t="s">
        <v>2597</v>
      </c>
      <c r="J120" s="5" t="s">
        <v>24</v>
      </c>
      <c r="K120" s="5" t="s">
        <v>24</v>
      </c>
      <c r="L120" s="7" t="s">
        <v>2882</v>
      </c>
      <c r="M120" s="5" t="s">
        <v>24</v>
      </c>
      <c r="N120" s="5" t="s">
        <v>24</v>
      </c>
      <c r="O120" s="5" t="s">
        <v>75</v>
      </c>
      <c r="P120" s="2">
        <v>45932</v>
      </c>
      <c r="Q120" s="2">
        <v>45968</v>
      </c>
      <c r="R120" s="1" t="s">
        <v>2883</v>
      </c>
      <c r="V120" s="45">
        <f t="shared" si="1"/>
        <v>1</v>
      </c>
      <c r="W120" s="45" t="s">
        <v>2884</v>
      </c>
    </row>
    <row r="121" spans="1:23" hidden="1">
      <c r="A121" s="2">
        <v>45902</v>
      </c>
      <c r="B121" s="1" t="s">
        <v>2885</v>
      </c>
      <c r="C121" s="1" t="s">
        <v>2754</v>
      </c>
      <c r="D121" s="1" t="s">
        <v>2886</v>
      </c>
      <c r="E121" s="1">
        <v>85361</v>
      </c>
      <c r="F121" s="1" t="s">
        <v>2730</v>
      </c>
      <c r="G121" s="1" t="s">
        <v>2720</v>
      </c>
      <c r="H121" s="4" t="s">
        <v>2401</v>
      </c>
      <c r="V121" s="45">
        <f t="shared" si="1"/>
        <v>1</v>
      </c>
      <c r="W121" s="45" t="s">
        <v>2887</v>
      </c>
    </row>
    <row r="122" spans="1:23" hidden="1">
      <c r="A122" s="2">
        <v>45902</v>
      </c>
      <c r="B122" s="1" t="s">
        <v>2888</v>
      </c>
      <c r="C122" s="1" t="s">
        <v>2760</v>
      </c>
      <c r="D122" s="1" t="s">
        <v>2513</v>
      </c>
      <c r="E122" s="1">
        <v>85260</v>
      </c>
      <c r="F122" s="1" t="s">
        <v>2730</v>
      </c>
      <c r="G122" s="1" t="s">
        <v>2720</v>
      </c>
      <c r="H122" s="4" t="s">
        <v>797</v>
      </c>
      <c r="I122" s="5" t="s">
        <v>2514</v>
      </c>
      <c r="J122" s="5" t="s">
        <v>24</v>
      </c>
      <c r="K122" s="5" t="s">
        <v>24</v>
      </c>
      <c r="L122" s="5" t="s">
        <v>75</v>
      </c>
      <c r="M122" s="5" t="s">
        <v>24</v>
      </c>
      <c r="N122" s="5" t="s">
        <v>24</v>
      </c>
      <c r="O122" s="5" t="s">
        <v>75</v>
      </c>
      <c r="P122" s="5" t="s">
        <v>2413</v>
      </c>
      <c r="Q122" s="2">
        <v>45968</v>
      </c>
      <c r="V122" s="45">
        <f t="shared" si="1"/>
        <v>1</v>
      </c>
      <c r="W122" s="45" t="s">
        <v>2889</v>
      </c>
    </row>
    <row r="123" spans="1:23" hidden="1">
      <c r="A123" s="2">
        <v>45902</v>
      </c>
      <c r="B123" s="1" t="s">
        <v>2890</v>
      </c>
      <c r="C123" s="1" t="s">
        <v>2891</v>
      </c>
      <c r="D123" s="1" t="s">
        <v>2605</v>
      </c>
      <c r="E123" s="1">
        <v>85345</v>
      </c>
      <c r="F123" s="1" t="s">
        <v>2730</v>
      </c>
      <c r="G123" s="1" t="s">
        <v>2720</v>
      </c>
      <c r="H123" s="4" t="s">
        <v>2401</v>
      </c>
      <c r="V123" s="45">
        <f t="shared" si="1"/>
        <v>1</v>
      </c>
      <c r="W123" s="45" t="s">
        <v>2892</v>
      </c>
    </row>
    <row r="124" spans="1:23" hidden="1">
      <c r="A124" s="2">
        <v>45902</v>
      </c>
      <c r="B124" s="1" t="s">
        <v>2893</v>
      </c>
      <c r="C124" s="1" t="s">
        <v>2894</v>
      </c>
      <c r="D124" s="1" t="s">
        <v>2513</v>
      </c>
      <c r="E124" s="1">
        <v>85255</v>
      </c>
      <c r="F124" s="1" t="s">
        <v>2730</v>
      </c>
      <c r="G124" s="1" t="s">
        <v>2720</v>
      </c>
      <c r="H124" s="4" t="s">
        <v>799</v>
      </c>
      <c r="I124" s="5" t="s">
        <v>2702</v>
      </c>
      <c r="J124" s="5" t="s">
        <v>24</v>
      </c>
      <c r="K124" s="5" t="s">
        <v>24</v>
      </c>
      <c r="L124" s="5" t="s">
        <v>75</v>
      </c>
      <c r="M124" s="5" t="s">
        <v>24</v>
      </c>
      <c r="N124" s="5" t="s">
        <v>24</v>
      </c>
      <c r="O124" s="5" t="s">
        <v>75</v>
      </c>
      <c r="P124" s="5" t="s">
        <v>2413</v>
      </c>
      <c r="Q124" s="2">
        <v>45968</v>
      </c>
      <c r="V124" s="45">
        <f t="shared" si="1"/>
        <v>1</v>
      </c>
      <c r="W124" s="45" t="s">
        <v>2895</v>
      </c>
    </row>
    <row r="125" spans="1:23" hidden="1">
      <c r="A125" s="2">
        <v>45902</v>
      </c>
      <c r="B125" s="1" t="s">
        <v>2869</v>
      </c>
      <c r="C125" s="1" t="s">
        <v>2896</v>
      </c>
      <c r="D125" s="1" t="s">
        <v>2465</v>
      </c>
      <c r="E125" s="1">
        <v>86323</v>
      </c>
      <c r="F125" s="1" t="s">
        <v>2730</v>
      </c>
      <c r="G125" s="1" t="s">
        <v>2720</v>
      </c>
      <c r="H125" s="4" t="s">
        <v>791</v>
      </c>
      <c r="I125" s="5" t="s">
        <v>2702</v>
      </c>
      <c r="J125" s="5" t="s">
        <v>24</v>
      </c>
      <c r="K125" s="5" t="s">
        <v>24</v>
      </c>
      <c r="L125" s="5" t="s">
        <v>75</v>
      </c>
      <c r="M125" s="5" t="s">
        <v>24</v>
      </c>
      <c r="N125" s="5" t="s">
        <v>24</v>
      </c>
      <c r="O125" s="5" t="s">
        <v>75</v>
      </c>
      <c r="P125" s="5" t="s">
        <v>2413</v>
      </c>
      <c r="Q125" s="2">
        <v>45968</v>
      </c>
      <c r="V125" s="45">
        <f t="shared" si="1"/>
        <v>1</v>
      </c>
      <c r="W125" s="45" t="s">
        <v>2897</v>
      </c>
    </row>
    <row r="126" spans="1:23" hidden="1">
      <c r="A126" s="2">
        <v>45902</v>
      </c>
      <c r="B126" s="1" t="s">
        <v>2898</v>
      </c>
      <c r="C126" s="1" t="s">
        <v>2899</v>
      </c>
      <c r="D126" s="1" t="s">
        <v>2513</v>
      </c>
      <c r="E126" s="1">
        <v>85255</v>
      </c>
      <c r="F126" s="1" t="s">
        <v>2730</v>
      </c>
      <c r="G126" s="1" t="s">
        <v>2720</v>
      </c>
      <c r="H126" s="4" t="s">
        <v>802</v>
      </c>
      <c r="I126" s="5" t="s">
        <v>2702</v>
      </c>
      <c r="J126" s="5" t="s">
        <v>24</v>
      </c>
      <c r="K126" s="5" t="s">
        <v>24</v>
      </c>
      <c r="L126" s="5" t="s">
        <v>75</v>
      </c>
      <c r="M126" s="5" t="s">
        <v>24</v>
      </c>
      <c r="N126" s="5" t="s">
        <v>24</v>
      </c>
      <c r="O126" s="5" t="s">
        <v>75</v>
      </c>
      <c r="P126" s="5" t="s">
        <v>2413</v>
      </c>
      <c r="Q126" s="2">
        <v>45968</v>
      </c>
      <c r="V126" s="45">
        <f t="shared" si="1"/>
        <v>1</v>
      </c>
      <c r="W126" s="45" t="s">
        <v>2900</v>
      </c>
    </row>
    <row r="127" spans="1:23" hidden="1">
      <c r="A127" s="2">
        <v>45902</v>
      </c>
      <c r="B127" s="1" t="s">
        <v>2901</v>
      </c>
      <c r="C127" s="1" t="s">
        <v>2881</v>
      </c>
      <c r="D127" s="1" t="s">
        <v>2513</v>
      </c>
      <c r="E127" s="1">
        <v>85254</v>
      </c>
      <c r="F127" s="1" t="s">
        <v>2730</v>
      </c>
      <c r="G127" s="1" t="s">
        <v>2720</v>
      </c>
      <c r="H127" s="4" t="s">
        <v>804</v>
      </c>
      <c r="I127" s="5" t="s">
        <v>2412</v>
      </c>
      <c r="J127" s="5" t="s">
        <v>24</v>
      </c>
      <c r="K127" s="5" t="s">
        <v>24</v>
      </c>
      <c r="L127" s="5" t="s">
        <v>75</v>
      </c>
      <c r="M127" s="5" t="s">
        <v>24</v>
      </c>
      <c r="N127" s="5" t="s">
        <v>24</v>
      </c>
      <c r="O127" s="5" t="s">
        <v>75</v>
      </c>
      <c r="P127" s="5" t="s">
        <v>2413</v>
      </c>
      <c r="Q127" s="2">
        <v>45968</v>
      </c>
      <c r="V127" s="45">
        <f t="shared" si="1"/>
        <v>1</v>
      </c>
      <c r="W127" s="45" t="s">
        <v>2902</v>
      </c>
    </row>
    <row r="128" spans="1:23" hidden="1">
      <c r="A128" s="2">
        <v>45902</v>
      </c>
      <c r="B128" s="1" t="s">
        <v>2903</v>
      </c>
      <c r="C128" s="1" t="s">
        <v>2904</v>
      </c>
      <c r="D128" s="1" t="s">
        <v>2439</v>
      </c>
      <c r="E128" s="1">
        <v>85024</v>
      </c>
      <c r="F128" s="1" t="s">
        <v>2730</v>
      </c>
      <c r="G128" s="1" t="s">
        <v>2720</v>
      </c>
      <c r="H128" s="4" t="s">
        <v>806</v>
      </c>
      <c r="I128" s="5" t="s">
        <v>2848</v>
      </c>
      <c r="J128" s="5" t="s">
        <v>24</v>
      </c>
      <c r="K128" s="5" t="s">
        <v>24</v>
      </c>
      <c r="L128" s="5" t="s">
        <v>2819</v>
      </c>
      <c r="M128" s="5" t="s">
        <v>24</v>
      </c>
      <c r="N128" s="5" t="s">
        <v>24</v>
      </c>
      <c r="O128" s="5" t="s">
        <v>75</v>
      </c>
      <c r="P128" s="5" t="s">
        <v>2413</v>
      </c>
      <c r="Q128" s="2">
        <v>45968</v>
      </c>
      <c r="V128" s="45">
        <f t="shared" si="1"/>
        <v>1</v>
      </c>
      <c r="W128" s="45" t="s">
        <v>2905</v>
      </c>
    </row>
    <row r="129" spans="1:23" hidden="1">
      <c r="A129" s="2">
        <v>45902</v>
      </c>
      <c r="B129" s="1" t="s">
        <v>2860</v>
      </c>
      <c r="C129" s="1" t="s">
        <v>2906</v>
      </c>
      <c r="D129" s="1" t="s">
        <v>2862</v>
      </c>
      <c r="E129" s="1">
        <v>85335</v>
      </c>
      <c r="F129" s="1" t="s">
        <v>2730</v>
      </c>
      <c r="G129" s="1" t="s">
        <v>2720</v>
      </c>
      <c r="H129" s="4" t="s">
        <v>2401</v>
      </c>
      <c r="V129" s="45">
        <f t="shared" si="1"/>
        <v>1</v>
      </c>
      <c r="W129" s="45" t="s">
        <v>2907</v>
      </c>
    </row>
    <row r="130" spans="1:23" hidden="1">
      <c r="A130" s="2">
        <v>45902</v>
      </c>
      <c r="B130" s="1" t="s">
        <v>2908</v>
      </c>
      <c r="C130" s="1" t="s">
        <v>2909</v>
      </c>
      <c r="D130" s="1" t="s">
        <v>2439</v>
      </c>
      <c r="E130" s="1">
        <v>85008</v>
      </c>
      <c r="F130" s="1" t="s">
        <v>2730</v>
      </c>
      <c r="G130" s="1" t="s">
        <v>2720</v>
      </c>
      <c r="H130" s="4" t="s">
        <v>808</v>
      </c>
      <c r="I130" s="5" t="s">
        <v>2412</v>
      </c>
      <c r="J130" s="5" t="s">
        <v>24</v>
      </c>
      <c r="K130" s="5" t="s">
        <v>24</v>
      </c>
      <c r="L130" s="5" t="s">
        <v>75</v>
      </c>
      <c r="M130" s="5" t="s">
        <v>24</v>
      </c>
      <c r="N130" s="5" t="s">
        <v>24</v>
      </c>
      <c r="O130" s="5" t="s">
        <v>75</v>
      </c>
      <c r="P130" s="5" t="s">
        <v>2413</v>
      </c>
      <c r="Q130" s="2">
        <v>45968</v>
      </c>
      <c r="V130" s="45">
        <f t="shared" ref="V130:V193" si="2">IF(OR(ISNUMBER(SEARCH("unable to locate acct",G130)),ISNUMBER(SEARCH("unknown",G130)),ISNUMBER(SEARCH("inactive",G130)),H130=""),0,1)</f>
        <v>1</v>
      </c>
      <c r="W130" s="45" t="s">
        <v>2910</v>
      </c>
    </row>
    <row r="131" spans="1:23" hidden="1">
      <c r="A131" s="2">
        <v>45902</v>
      </c>
      <c r="B131" s="1" t="s">
        <v>2911</v>
      </c>
      <c r="C131" s="1" t="s">
        <v>2912</v>
      </c>
      <c r="D131" s="1" t="s">
        <v>2439</v>
      </c>
      <c r="E131" s="1">
        <v>85004</v>
      </c>
      <c r="F131" s="1" t="s">
        <v>2730</v>
      </c>
      <c r="G131" s="1" t="s">
        <v>2720</v>
      </c>
      <c r="H131" s="4" t="s">
        <v>810</v>
      </c>
      <c r="I131" s="5" t="s">
        <v>2702</v>
      </c>
      <c r="J131" s="5" t="s">
        <v>24</v>
      </c>
      <c r="K131" s="5" t="s">
        <v>24</v>
      </c>
      <c r="L131" s="5" t="s">
        <v>75</v>
      </c>
      <c r="M131" s="5" t="s">
        <v>24</v>
      </c>
      <c r="N131" s="5" t="s">
        <v>24</v>
      </c>
      <c r="O131" s="5" t="s">
        <v>75</v>
      </c>
      <c r="P131" s="5" t="s">
        <v>2413</v>
      </c>
      <c r="Q131" s="2">
        <v>45968</v>
      </c>
      <c r="V131" s="45">
        <f t="shared" si="2"/>
        <v>1</v>
      </c>
      <c r="W131" s="45" t="s">
        <v>2913</v>
      </c>
    </row>
    <row r="132" spans="1:23" hidden="1">
      <c r="A132" s="2">
        <v>45902</v>
      </c>
      <c r="B132" s="1" t="s">
        <v>2914</v>
      </c>
      <c r="C132" s="1" t="s">
        <v>2915</v>
      </c>
      <c r="D132" s="1" t="s">
        <v>2564</v>
      </c>
      <c r="E132" s="1">
        <v>85395</v>
      </c>
      <c r="F132" s="1" t="s">
        <v>2730</v>
      </c>
      <c r="G132" s="1" t="s">
        <v>2720</v>
      </c>
      <c r="H132" s="4" t="s">
        <v>2401</v>
      </c>
      <c r="V132" s="45">
        <f t="shared" si="2"/>
        <v>1</v>
      </c>
      <c r="W132" s="45" t="s">
        <v>2916</v>
      </c>
    </row>
    <row r="133" spans="1:23" hidden="1">
      <c r="A133" s="2">
        <v>45902</v>
      </c>
      <c r="B133" s="1" t="s">
        <v>2917</v>
      </c>
      <c r="C133" s="1" t="s">
        <v>2918</v>
      </c>
      <c r="D133" s="1" t="s">
        <v>2439</v>
      </c>
      <c r="E133" s="1">
        <v>85050</v>
      </c>
      <c r="F133" s="1" t="s">
        <v>2406</v>
      </c>
      <c r="G133" s="1" t="s">
        <v>2720</v>
      </c>
      <c r="H133" s="4" t="s">
        <v>812</v>
      </c>
      <c r="I133" s="5" t="s">
        <v>2412</v>
      </c>
      <c r="J133" s="5" t="s">
        <v>24</v>
      </c>
      <c r="K133" s="5" t="s">
        <v>24</v>
      </c>
      <c r="L133" s="5" t="s">
        <v>75</v>
      </c>
      <c r="M133" s="5" t="s">
        <v>24</v>
      </c>
      <c r="N133" s="5" t="s">
        <v>24</v>
      </c>
      <c r="O133" s="5" t="s">
        <v>75</v>
      </c>
      <c r="P133" s="5" t="s">
        <v>2413</v>
      </c>
      <c r="Q133" s="2">
        <v>45968</v>
      </c>
      <c r="V133" s="45">
        <f t="shared" si="2"/>
        <v>1</v>
      </c>
      <c r="W133" s="45" t="s">
        <v>2919</v>
      </c>
    </row>
    <row r="134" spans="1:23" hidden="1">
      <c r="A134" s="2">
        <v>45902</v>
      </c>
      <c r="B134" s="1" t="s">
        <v>2920</v>
      </c>
      <c r="C134" s="1" t="s">
        <v>2921</v>
      </c>
      <c r="D134" s="1" t="s">
        <v>2439</v>
      </c>
      <c r="E134" s="1">
        <v>85028</v>
      </c>
      <c r="F134" s="1" t="s">
        <v>2730</v>
      </c>
      <c r="G134" s="1" t="s">
        <v>2720</v>
      </c>
      <c r="H134" s="4" t="s">
        <v>2401</v>
      </c>
      <c r="V134" s="45">
        <f t="shared" si="2"/>
        <v>1</v>
      </c>
      <c r="W134" s="45" t="s">
        <v>2922</v>
      </c>
    </row>
    <row r="135" spans="1:23" hidden="1">
      <c r="A135" s="2">
        <v>45902</v>
      </c>
      <c r="B135" s="1" t="s">
        <v>2923</v>
      </c>
      <c r="C135" s="1" t="s">
        <v>2924</v>
      </c>
      <c r="D135" s="1" t="s">
        <v>2439</v>
      </c>
      <c r="E135" s="1">
        <v>85083</v>
      </c>
      <c r="F135" s="1" t="s">
        <v>2730</v>
      </c>
      <c r="G135" s="1" t="s">
        <v>2720</v>
      </c>
      <c r="H135" s="4" t="s">
        <v>2269</v>
      </c>
      <c r="I135" s="5" t="s">
        <v>2420</v>
      </c>
      <c r="J135" s="5" t="s">
        <v>24</v>
      </c>
      <c r="K135" s="5" t="s">
        <v>24</v>
      </c>
      <c r="L135" s="7" t="s">
        <v>2925</v>
      </c>
      <c r="M135" s="5" t="s">
        <v>24</v>
      </c>
      <c r="N135" s="5" t="s">
        <v>24</v>
      </c>
      <c r="O135" s="5" t="s">
        <v>75</v>
      </c>
      <c r="P135" s="2">
        <v>45939</v>
      </c>
      <c r="Q135" s="2">
        <v>45968</v>
      </c>
      <c r="R135" s="1" t="s">
        <v>2926</v>
      </c>
      <c r="V135" s="45">
        <f t="shared" si="2"/>
        <v>1</v>
      </c>
      <c r="W135" s="45" t="s">
        <v>2927</v>
      </c>
    </row>
    <row r="136" spans="1:23" hidden="1">
      <c r="A136" s="2">
        <v>45902</v>
      </c>
      <c r="B136" s="1" t="s">
        <v>2928</v>
      </c>
      <c r="C136" s="1" t="s">
        <v>2929</v>
      </c>
      <c r="D136" s="1" t="s">
        <v>2439</v>
      </c>
      <c r="E136" s="1">
        <v>85013</v>
      </c>
      <c r="F136" s="1" t="s">
        <v>2730</v>
      </c>
      <c r="G136" s="1" t="s">
        <v>2720</v>
      </c>
      <c r="H136" s="4" t="s">
        <v>2401</v>
      </c>
      <c r="V136" s="45">
        <f t="shared" si="2"/>
        <v>1</v>
      </c>
      <c r="W136" s="45" t="s">
        <v>2930</v>
      </c>
    </row>
    <row r="137" spans="1:23" hidden="1">
      <c r="A137" s="2">
        <v>45902</v>
      </c>
      <c r="B137" s="1" t="s">
        <v>2931</v>
      </c>
      <c r="C137" s="1" t="s">
        <v>2932</v>
      </c>
      <c r="D137" s="1" t="s">
        <v>2439</v>
      </c>
      <c r="E137" s="1">
        <v>85013</v>
      </c>
      <c r="F137" s="1" t="s">
        <v>2730</v>
      </c>
      <c r="G137" s="1" t="s">
        <v>2720</v>
      </c>
      <c r="H137" s="4" t="s">
        <v>814</v>
      </c>
      <c r="I137" s="5" t="s">
        <v>2514</v>
      </c>
      <c r="J137" s="5" t="s">
        <v>24</v>
      </c>
      <c r="K137" s="5" t="s">
        <v>24</v>
      </c>
      <c r="L137" s="5" t="s">
        <v>75</v>
      </c>
      <c r="M137" s="5" t="s">
        <v>24</v>
      </c>
      <c r="N137" s="5" t="s">
        <v>24</v>
      </c>
      <c r="O137" s="5" t="s">
        <v>75</v>
      </c>
      <c r="P137" s="5" t="s">
        <v>2413</v>
      </c>
      <c r="Q137" s="2">
        <v>45968</v>
      </c>
      <c r="V137" s="45">
        <f t="shared" si="2"/>
        <v>1</v>
      </c>
      <c r="W137" s="45" t="s">
        <v>2933</v>
      </c>
    </row>
    <row r="138" spans="1:23" hidden="1">
      <c r="A138" s="14">
        <v>45902</v>
      </c>
      <c r="B138" s="1" t="s">
        <v>2934</v>
      </c>
      <c r="C138" s="1" t="s">
        <v>2935</v>
      </c>
      <c r="D138" s="1" t="s">
        <v>2405</v>
      </c>
      <c r="E138" s="1" t="s">
        <v>2405</v>
      </c>
      <c r="F138" s="1" t="s">
        <v>2406</v>
      </c>
      <c r="G138" s="1" t="s">
        <v>2720</v>
      </c>
      <c r="H138" s="4" t="s">
        <v>816</v>
      </c>
      <c r="I138" s="5" t="s">
        <v>2514</v>
      </c>
      <c r="J138" s="5" t="s">
        <v>75</v>
      </c>
      <c r="K138" s="5" t="s">
        <v>24</v>
      </c>
      <c r="L138" s="5" t="s">
        <v>75</v>
      </c>
      <c r="M138" s="5" t="s">
        <v>24</v>
      </c>
      <c r="N138" s="5" t="s">
        <v>24</v>
      </c>
      <c r="O138" s="5" t="s">
        <v>75</v>
      </c>
      <c r="P138" s="5" t="s">
        <v>2413</v>
      </c>
      <c r="Q138" s="2">
        <v>45968</v>
      </c>
      <c r="V138" s="45">
        <f t="shared" si="2"/>
        <v>1</v>
      </c>
      <c r="W138" s="45" t="s">
        <v>2936</v>
      </c>
    </row>
    <row r="139" spans="1:23" hidden="1">
      <c r="A139" s="2">
        <v>45902</v>
      </c>
      <c r="B139" s="1" t="s">
        <v>2937</v>
      </c>
      <c r="C139" s="1" t="s">
        <v>2760</v>
      </c>
      <c r="D139" s="1" t="s">
        <v>2439</v>
      </c>
      <c r="E139" s="1">
        <v>85009</v>
      </c>
      <c r="F139" s="1" t="s">
        <v>2406</v>
      </c>
      <c r="G139" s="1" t="s">
        <v>2720</v>
      </c>
      <c r="H139" s="4" t="s">
        <v>2328</v>
      </c>
      <c r="I139" s="5" t="s">
        <v>2412</v>
      </c>
      <c r="J139" s="5" t="s">
        <v>24</v>
      </c>
      <c r="K139" s="5" t="s">
        <v>24</v>
      </c>
      <c r="L139" s="5" t="s">
        <v>75</v>
      </c>
      <c r="M139" s="5" t="s">
        <v>75</v>
      </c>
      <c r="N139" s="15">
        <v>942.59</v>
      </c>
      <c r="O139" s="5" t="s">
        <v>75</v>
      </c>
      <c r="P139" s="7"/>
      <c r="Q139" s="2">
        <v>45968</v>
      </c>
      <c r="R139" s="1" t="s">
        <v>2938</v>
      </c>
      <c r="V139" s="45">
        <f t="shared" si="2"/>
        <v>1</v>
      </c>
      <c r="W139" s="45" t="s">
        <v>2939</v>
      </c>
    </row>
    <row r="140" spans="1:23" ht="11.25" hidden="1" customHeight="1">
      <c r="A140" s="2">
        <v>45902</v>
      </c>
      <c r="B140" s="1" t="s">
        <v>2940</v>
      </c>
      <c r="C140" s="1" t="s">
        <v>2941</v>
      </c>
      <c r="D140" s="1" t="s">
        <v>2439</v>
      </c>
      <c r="E140" s="1">
        <v>85028</v>
      </c>
      <c r="F140" s="1" t="s">
        <v>2730</v>
      </c>
      <c r="G140" s="1" t="s">
        <v>2720</v>
      </c>
      <c r="H140" s="4" t="s">
        <v>2401</v>
      </c>
      <c r="V140" s="45">
        <f t="shared" si="2"/>
        <v>1</v>
      </c>
      <c r="W140" s="45" t="s">
        <v>2942</v>
      </c>
    </row>
    <row r="141" spans="1:23" hidden="1">
      <c r="A141" s="2">
        <v>45902</v>
      </c>
      <c r="B141" s="1" t="s">
        <v>2943</v>
      </c>
      <c r="C141" s="1" t="s">
        <v>2881</v>
      </c>
      <c r="D141" s="1" t="s">
        <v>2439</v>
      </c>
      <c r="E141" s="1">
        <v>85023</v>
      </c>
      <c r="F141" s="1" t="s">
        <v>2730</v>
      </c>
      <c r="G141" s="1" t="s">
        <v>2720</v>
      </c>
      <c r="H141" s="4" t="s">
        <v>2401</v>
      </c>
      <c r="V141" s="45">
        <f t="shared" si="2"/>
        <v>1</v>
      </c>
      <c r="W141" s="45" t="s">
        <v>2944</v>
      </c>
    </row>
    <row r="142" spans="1:23" hidden="1">
      <c r="A142" s="2">
        <v>45903</v>
      </c>
      <c r="B142" s="1" t="s">
        <v>2945</v>
      </c>
      <c r="C142" s="1" t="s">
        <v>2761</v>
      </c>
      <c r="D142" s="1" t="s">
        <v>2405</v>
      </c>
      <c r="E142" s="1" t="s">
        <v>2405</v>
      </c>
      <c r="F142" s="1" t="s">
        <v>2406</v>
      </c>
      <c r="G142" s="1" t="s">
        <v>2946</v>
      </c>
      <c r="H142" s="4" t="s">
        <v>818</v>
      </c>
      <c r="I142" s="5" t="s">
        <v>2412</v>
      </c>
      <c r="J142" s="5" t="s">
        <v>24</v>
      </c>
      <c r="K142" s="5" t="s">
        <v>24</v>
      </c>
      <c r="L142" s="5" t="s">
        <v>75</v>
      </c>
      <c r="M142" s="5" t="s">
        <v>24</v>
      </c>
      <c r="N142" s="5" t="s">
        <v>24</v>
      </c>
      <c r="O142" s="5" t="s">
        <v>75</v>
      </c>
      <c r="P142" s="5" t="s">
        <v>2413</v>
      </c>
      <c r="Q142" s="2">
        <v>45968</v>
      </c>
      <c r="V142" s="45">
        <f t="shared" si="2"/>
        <v>1</v>
      </c>
      <c r="W142" s="45" t="s">
        <v>2947</v>
      </c>
    </row>
    <row r="143" spans="1:23" hidden="1">
      <c r="A143" s="2">
        <v>45903</v>
      </c>
      <c r="B143" s="1" t="s">
        <v>2948</v>
      </c>
      <c r="C143" s="1" t="s">
        <v>2949</v>
      </c>
      <c r="D143" s="1" t="s">
        <v>2950</v>
      </c>
      <c r="E143" s="1">
        <v>86001</v>
      </c>
      <c r="F143" s="1" t="s">
        <v>2951</v>
      </c>
      <c r="G143" s="1" t="s">
        <v>2952</v>
      </c>
      <c r="H143" s="4" t="s">
        <v>820</v>
      </c>
      <c r="I143" s="5" t="s">
        <v>2451</v>
      </c>
      <c r="J143" s="5" t="s">
        <v>24</v>
      </c>
      <c r="K143" s="5" t="s">
        <v>24</v>
      </c>
      <c r="L143" s="5" t="s">
        <v>75</v>
      </c>
      <c r="M143" s="5" t="s">
        <v>24</v>
      </c>
      <c r="N143" s="5" t="s">
        <v>24</v>
      </c>
      <c r="O143" s="5" t="s">
        <v>75</v>
      </c>
      <c r="P143" s="5" t="s">
        <v>2413</v>
      </c>
      <c r="Q143" s="2">
        <v>45968</v>
      </c>
      <c r="V143" s="45">
        <f t="shared" si="2"/>
        <v>1</v>
      </c>
      <c r="W143" s="45" t="s">
        <v>2953</v>
      </c>
    </row>
    <row r="144" spans="1:23" hidden="1">
      <c r="A144" s="2">
        <v>45903</v>
      </c>
      <c r="B144" s="1" t="s">
        <v>2954</v>
      </c>
      <c r="C144" s="1" t="s">
        <v>2955</v>
      </c>
      <c r="D144" s="1" t="s">
        <v>2398</v>
      </c>
      <c r="E144" s="1">
        <v>85308</v>
      </c>
      <c r="F144" s="1" t="s">
        <v>2406</v>
      </c>
      <c r="G144" s="1" t="s">
        <v>2952</v>
      </c>
      <c r="H144" s="4" t="s">
        <v>2318</v>
      </c>
      <c r="I144" s="5" t="s">
        <v>2597</v>
      </c>
      <c r="J144" s="5" t="s">
        <v>24</v>
      </c>
      <c r="K144" s="5" t="s">
        <v>24</v>
      </c>
      <c r="L144" s="7" t="s">
        <v>2956</v>
      </c>
      <c r="M144" s="5" t="s">
        <v>24</v>
      </c>
      <c r="N144" s="5" t="s">
        <v>24</v>
      </c>
      <c r="O144" s="5" t="s">
        <v>75</v>
      </c>
      <c r="P144" s="2">
        <v>45932</v>
      </c>
      <c r="Q144" s="2">
        <v>45968</v>
      </c>
      <c r="R144" s="1" t="s">
        <v>2957</v>
      </c>
      <c r="V144" s="45">
        <f t="shared" si="2"/>
        <v>1</v>
      </c>
      <c r="W144" s="45" t="s">
        <v>2958</v>
      </c>
    </row>
    <row r="145" spans="1:23" hidden="1">
      <c r="A145" s="2">
        <v>45903</v>
      </c>
      <c r="B145" s="1" t="s">
        <v>2959</v>
      </c>
      <c r="C145" s="1" t="s">
        <v>2799</v>
      </c>
      <c r="D145" s="1" t="s">
        <v>2439</v>
      </c>
      <c r="E145" s="1">
        <v>85024</v>
      </c>
      <c r="F145" s="1" t="s">
        <v>2730</v>
      </c>
      <c r="G145" s="1" t="s">
        <v>2952</v>
      </c>
      <c r="H145" s="4" t="s">
        <v>822</v>
      </c>
      <c r="I145" s="5" t="s">
        <v>2514</v>
      </c>
      <c r="J145" s="5" t="s">
        <v>24</v>
      </c>
      <c r="K145" s="5" t="s">
        <v>24</v>
      </c>
      <c r="L145" s="5" t="s">
        <v>75</v>
      </c>
      <c r="M145" s="5" t="s">
        <v>24</v>
      </c>
      <c r="N145" s="5" t="s">
        <v>24</v>
      </c>
      <c r="O145" s="5" t="s">
        <v>75</v>
      </c>
      <c r="P145" s="5" t="s">
        <v>2413</v>
      </c>
      <c r="Q145" s="2">
        <v>45968</v>
      </c>
      <c r="V145" s="45">
        <f t="shared" si="2"/>
        <v>1</v>
      </c>
      <c r="W145" s="45" t="s">
        <v>2960</v>
      </c>
    </row>
    <row r="146" spans="1:23" hidden="1">
      <c r="A146" s="2">
        <v>45903</v>
      </c>
      <c r="B146" s="1" t="s">
        <v>2961</v>
      </c>
      <c r="C146" s="1" t="s">
        <v>2962</v>
      </c>
      <c r="D146" s="1" t="s">
        <v>2605</v>
      </c>
      <c r="E146" s="1">
        <v>85383</v>
      </c>
      <c r="F146" s="1" t="s">
        <v>2963</v>
      </c>
      <c r="G146" s="1" t="s">
        <v>2952</v>
      </c>
      <c r="H146" s="4" t="s">
        <v>2272</v>
      </c>
      <c r="I146" s="5" t="s">
        <v>2597</v>
      </c>
      <c r="J146" s="5" t="s">
        <v>24</v>
      </c>
      <c r="K146" s="5" t="s">
        <v>24</v>
      </c>
      <c r="L146" s="7" t="s">
        <v>2964</v>
      </c>
      <c r="M146" s="5" t="s">
        <v>24</v>
      </c>
      <c r="N146" s="5" t="s">
        <v>24</v>
      </c>
      <c r="O146" s="5" t="s">
        <v>75</v>
      </c>
      <c r="P146" s="2">
        <v>45932</v>
      </c>
      <c r="Q146" s="2">
        <v>45968</v>
      </c>
      <c r="R146" s="1" t="s">
        <v>2965</v>
      </c>
      <c r="V146" s="45">
        <f t="shared" si="2"/>
        <v>1</v>
      </c>
      <c r="W146" s="45" t="s">
        <v>2966</v>
      </c>
    </row>
    <row r="147" spans="1:23" hidden="1">
      <c r="A147" s="2">
        <v>45903</v>
      </c>
      <c r="B147" s="1" t="s">
        <v>2967</v>
      </c>
      <c r="C147" s="1" t="s">
        <v>2968</v>
      </c>
      <c r="D147" s="1" t="s">
        <v>2969</v>
      </c>
      <c r="E147" s="1">
        <v>85392</v>
      </c>
      <c r="F147" s="1" t="s">
        <v>2406</v>
      </c>
      <c r="G147" s="1" t="s">
        <v>2952</v>
      </c>
      <c r="H147" s="4" t="s">
        <v>824</v>
      </c>
      <c r="I147" s="5" t="s">
        <v>2412</v>
      </c>
      <c r="J147" s="5" t="s">
        <v>24</v>
      </c>
      <c r="K147" s="5" t="s">
        <v>24</v>
      </c>
      <c r="L147" s="5" t="s">
        <v>75</v>
      </c>
      <c r="M147" s="5" t="s">
        <v>24</v>
      </c>
      <c r="N147" s="5" t="s">
        <v>24</v>
      </c>
      <c r="O147" s="5" t="s">
        <v>75</v>
      </c>
      <c r="P147" s="5" t="s">
        <v>2413</v>
      </c>
      <c r="Q147" s="2">
        <v>45968</v>
      </c>
      <c r="R147" s="1" t="s">
        <v>2970</v>
      </c>
      <c r="V147" s="45">
        <f t="shared" si="2"/>
        <v>1</v>
      </c>
      <c r="W147" s="45" t="s">
        <v>2971</v>
      </c>
    </row>
    <row r="148" spans="1:23" hidden="1">
      <c r="A148" s="2">
        <v>45903</v>
      </c>
      <c r="B148" s="1" t="s">
        <v>2972</v>
      </c>
      <c r="C148" s="1" t="s">
        <v>2524</v>
      </c>
      <c r="D148" s="1" t="s">
        <v>2439</v>
      </c>
      <c r="E148" s="1">
        <v>85014</v>
      </c>
      <c r="F148" s="1" t="s">
        <v>2730</v>
      </c>
      <c r="G148" s="1" t="s">
        <v>2952</v>
      </c>
      <c r="H148" s="4" t="s">
        <v>2613</v>
      </c>
      <c r="V148" s="45">
        <f t="shared" si="2"/>
        <v>1</v>
      </c>
      <c r="W148" s="45" t="s">
        <v>2973</v>
      </c>
    </row>
    <row r="149" spans="1:23" hidden="1">
      <c r="A149" s="2">
        <v>45903</v>
      </c>
      <c r="B149" s="1" t="s">
        <v>2974</v>
      </c>
      <c r="C149" s="1" t="s">
        <v>2912</v>
      </c>
      <c r="D149" s="1" t="s">
        <v>2564</v>
      </c>
      <c r="E149" s="1">
        <v>85338</v>
      </c>
      <c r="F149" s="1" t="s">
        <v>2406</v>
      </c>
      <c r="G149" s="1" t="s">
        <v>2952</v>
      </c>
      <c r="H149" s="4" t="s">
        <v>2401</v>
      </c>
      <c r="V149" s="45">
        <f t="shared" si="2"/>
        <v>1</v>
      </c>
      <c r="W149" s="45" t="s">
        <v>2975</v>
      </c>
    </row>
    <row r="150" spans="1:23" hidden="1">
      <c r="A150" s="2">
        <v>45903</v>
      </c>
      <c r="B150" s="1" t="s">
        <v>2976</v>
      </c>
      <c r="C150" s="1" t="s">
        <v>2977</v>
      </c>
      <c r="D150" s="1" t="s">
        <v>2398</v>
      </c>
      <c r="E150" s="1">
        <v>85310</v>
      </c>
      <c r="F150" s="1" t="s">
        <v>2730</v>
      </c>
      <c r="G150" s="1" t="s">
        <v>2952</v>
      </c>
      <c r="H150" s="4" t="s">
        <v>826</v>
      </c>
      <c r="I150" s="5" t="s">
        <v>2597</v>
      </c>
      <c r="J150" s="5" t="s">
        <v>24</v>
      </c>
      <c r="K150" s="5" t="s">
        <v>24</v>
      </c>
      <c r="L150" s="5" t="s">
        <v>75</v>
      </c>
      <c r="M150" s="5" t="s">
        <v>24</v>
      </c>
      <c r="N150" s="5" t="s">
        <v>24</v>
      </c>
      <c r="O150" s="5" t="s">
        <v>75</v>
      </c>
      <c r="P150" s="5" t="s">
        <v>2413</v>
      </c>
      <c r="Q150" s="2">
        <v>45968</v>
      </c>
      <c r="V150" s="45">
        <f t="shared" si="2"/>
        <v>1</v>
      </c>
      <c r="W150" s="45" t="s">
        <v>2978</v>
      </c>
    </row>
    <row r="151" spans="1:23" hidden="1">
      <c r="A151" s="2">
        <v>45903</v>
      </c>
      <c r="B151" s="1" t="s">
        <v>2979</v>
      </c>
      <c r="C151" s="1" t="s">
        <v>2980</v>
      </c>
      <c r="D151" s="1" t="s">
        <v>2564</v>
      </c>
      <c r="E151" s="1">
        <v>85395</v>
      </c>
      <c r="F151" s="1" t="s">
        <v>2406</v>
      </c>
      <c r="G151" s="1" t="s">
        <v>2952</v>
      </c>
      <c r="H151" s="4" t="s">
        <v>828</v>
      </c>
      <c r="I151" s="5" t="s">
        <v>2412</v>
      </c>
      <c r="J151" s="5" t="s">
        <v>24</v>
      </c>
      <c r="K151" s="5" t="s">
        <v>24</v>
      </c>
      <c r="L151" s="5" t="s">
        <v>75</v>
      </c>
      <c r="M151" s="5" t="s">
        <v>24</v>
      </c>
      <c r="N151" s="5" t="s">
        <v>24</v>
      </c>
      <c r="O151" s="5" t="s">
        <v>75</v>
      </c>
      <c r="P151" s="5" t="s">
        <v>2413</v>
      </c>
      <c r="Q151" s="2">
        <v>45968</v>
      </c>
      <c r="V151" s="45">
        <f t="shared" si="2"/>
        <v>1</v>
      </c>
      <c r="W151" s="45" t="s">
        <v>2981</v>
      </c>
    </row>
    <row r="152" spans="1:23" hidden="1">
      <c r="A152" s="2">
        <v>45903</v>
      </c>
      <c r="B152" s="1" t="s">
        <v>2982</v>
      </c>
      <c r="C152" s="1" t="s">
        <v>2983</v>
      </c>
      <c r="D152" s="1" t="s">
        <v>2969</v>
      </c>
      <c r="E152" s="1">
        <v>85392</v>
      </c>
      <c r="F152" s="1" t="s">
        <v>2406</v>
      </c>
      <c r="G152" s="1" t="s">
        <v>2952</v>
      </c>
      <c r="H152" s="4" t="s">
        <v>830</v>
      </c>
      <c r="I152" s="5" t="s">
        <v>2848</v>
      </c>
      <c r="J152" s="5" t="s">
        <v>24</v>
      </c>
      <c r="K152" s="5" t="s">
        <v>24</v>
      </c>
      <c r="L152" s="5" t="s">
        <v>2819</v>
      </c>
      <c r="M152" s="5" t="s">
        <v>24</v>
      </c>
      <c r="N152" s="5" t="s">
        <v>24</v>
      </c>
      <c r="O152" s="5" t="s">
        <v>75</v>
      </c>
      <c r="P152" s="5" t="s">
        <v>2413</v>
      </c>
      <c r="Q152" s="2">
        <v>45968</v>
      </c>
      <c r="V152" s="45">
        <f t="shared" si="2"/>
        <v>1</v>
      </c>
      <c r="W152" s="45" t="s">
        <v>2984</v>
      </c>
    </row>
    <row r="153" spans="1:23" hidden="1">
      <c r="A153" s="2">
        <v>45903</v>
      </c>
      <c r="B153" s="1" t="s">
        <v>2985</v>
      </c>
      <c r="C153" s="1" t="s">
        <v>2986</v>
      </c>
      <c r="D153" s="1" t="s">
        <v>2987</v>
      </c>
      <c r="E153" s="1">
        <v>85194</v>
      </c>
      <c r="F153" s="1" t="s">
        <v>2730</v>
      </c>
      <c r="G153" s="1" t="s">
        <v>2952</v>
      </c>
      <c r="H153" s="4" t="s">
        <v>832</v>
      </c>
      <c r="I153" s="5" t="s">
        <v>2988</v>
      </c>
      <c r="J153" s="5" t="s">
        <v>24</v>
      </c>
      <c r="K153" s="5" t="s">
        <v>24</v>
      </c>
      <c r="L153" s="5" t="s">
        <v>2819</v>
      </c>
      <c r="M153" s="5" t="s">
        <v>24</v>
      </c>
      <c r="N153" s="5" t="s">
        <v>24</v>
      </c>
      <c r="O153" s="5" t="s">
        <v>75</v>
      </c>
      <c r="P153" s="5" t="s">
        <v>2413</v>
      </c>
      <c r="Q153" s="2">
        <v>45968</v>
      </c>
      <c r="V153" s="45">
        <f t="shared" si="2"/>
        <v>1</v>
      </c>
      <c r="W153" s="45" t="s">
        <v>2989</v>
      </c>
    </row>
    <row r="154" spans="1:23" hidden="1">
      <c r="A154" s="2">
        <v>45903</v>
      </c>
      <c r="B154" s="1" t="s">
        <v>2990</v>
      </c>
      <c r="C154" s="1" t="s">
        <v>2991</v>
      </c>
      <c r="D154" s="1" t="s">
        <v>2439</v>
      </c>
      <c r="E154" s="1">
        <v>85050</v>
      </c>
      <c r="F154" s="1" t="s">
        <v>2730</v>
      </c>
      <c r="G154" s="1" t="s">
        <v>2952</v>
      </c>
      <c r="H154" s="4" t="s">
        <v>834</v>
      </c>
      <c r="I154" s="5" t="s">
        <v>2412</v>
      </c>
      <c r="J154" s="5" t="s">
        <v>24</v>
      </c>
      <c r="K154" s="5" t="s">
        <v>24</v>
      </c>
      <c r="L154" s="5" t="s">
        <v>75</v>
      </c>
      <c r="M154" s="5" t="s">
        <v>24</v>
      </c>
      <c r="N154" s="5" t="s">
        <v>24</v>
      </c>
      <c r="O154" s="5" t="s">
        <v>75</v>
      </c>
      <c r="P154" s="5" t="s">
        <v>2413</v>
      </c>
      <c r="Q154" s="2">
        <v>45968</v>
      </c>
      <c r="V154" s="45">
        <f t="shared" si="2"/>
        <v>1</v>
      </c>
      <c r="W154" s="45" t="s">
        <v>2992</v>
      </c>
    </row>
    <row r="155" spans="1:23" hidden="1">
      <c r="A155" s="2">
        <v>45903</v>
      </c>
      <c r="B155" s="1" t="s">
        <v>2993</v>
      </c>
      <c r="C155" s="1" t="s">
        <v>2994</v>
      </c>
      <c r="D155" s="1" t="s">
        <v>2439</v>
      </c>
      <c r="E155" s="1">
        <v>85022</v>
      </c>
      <c r="F155" s="1" t="s">
        <v>2406</v>
      </c>
      <c r="G155" s="1" t="s">
        <v>2952</v>
      </c>
      <c r="H155" s="4" t="s">
        <v>2613</v>
      </c>
      <c r="O155" s="16"/>
      <c r="V155" s="45">
        <f t="shared" si="2"/>
        <v>1</v>
      </c>
      <c r="W155" s="45" t="s">
        <v>2995</v>
      </c>
    </row>
    <row r="156" spans="1:23" hidden="1">
      <c r="A156" s="2">
        <v>45903</v>
      </c>
      <c r="B156" s="1" t="s">
        <v>2996</v>
      </c>
      <c r="C156" s="1" t="s">
        <v>2997</v>
      </c>
      <c r="D156" s="1" t="s">
        <v>2439</v>
      </c>
      <c r="E156" s="1">
        <v>85085</v>
      </c>
      <c r="F156" s="1" t="s">
        <v>2406</v>
      </c>
      <c r="G156" s="1" t="s">
        <v>2952</v>
      </c>
      <c r="H156" s="4" t="s">
        <v>2401</v>
      </c>
      <c r="V156" s="45">
        <f t="shared" si="2"/>
        <v>1</v>
      </c>
      <c r="W156" s="45" t="s">
        <v>2998</v>
      </c>
    </row>
    <row r="157" spans="1:23" hidden="1">
      <c r="A157" s="2">
        <v>45903</v>
      </c>
      <c r="B157" s="1" t="s">
        <v>2999</v>
      </c>
      <c r="C157" s="1" t="s">
        <v>3000</v>
      </c>
      <c r="D157" s="1" t="s">
        <v>2564</v>
      </c>
      <c r="E157" s="1">
        <v>85338</v>
      </c>
      <c r="F157" s="1" t="s">
        <v>2406</v>
      </c>
      <c r="G157" s="1" t="s">
        <v>2952</v>
      </c>
      <c r="H157" s="4" t="s">
        <v>836</v>
      </c>
      <c r="I157" s="5" t="s">
        <v>2412</v>
      </c>
      <c r="J157" s="5" t="s">
        <v>24</v>
      </c>
      <c r="K157" s="5" t="s">
        <v>24</v>
      </c>
      <c r="L157" s="5" t="s">
        <v>75</v>
      </c>
      <c r="M157" s="5" t="s">
        <v>24</v>
      </c>
      <c r="N157" s="5" t="s">
        <v>24</v>
      </c>
      <c r="O157" s="5" t="s">
        <v>75</v>
      </c>
      <c r="P157" s="5" t="s">
        <v>2413</v>
      </c>
      <c r="Q157" s="2">
        <v>45968</v>
      </c>
      <c r="V157" s="45">
        <f t="shared" si="2"/>
        <v>1</v>
      </c>
      <c r="W157" s="45" t="s">
        <v>3001</v>
      </c>
    </row>
    <row r="158" spans="1:23" hidden="1">
      <c r="A158" s="2">
        <v>45903</v>
      </c>
      <c r="B158" s="1" t="s">
        <v>3002</v>
      </c>
      <c r="C158" s="1" t="s">
        <v>3003</v>
      </c>
      <c r="D158" s="1" t="s">
        <v>2439</v>
      </c>
      <c r="E158" s="1">
        <v>85012</v>
      </c>
      <c r="F158" s="1" t="s">
        <v>2730</v>
      </c>
      <c r="G158" s="1" t="s">
        <v>2952</v>
      </c>
      <c r="H158" s="4" t="s">
        <v>838</v>
      </c>
      <c r="I158" s="5" t="s">
        <v>2412</v>
      </c>
      <c r="J158" s="5" t="s">
        <v>24</v>
      </c>
      <c r="K158" s="5" t="s">
        <v>24</v>
      </c>
      <c r="L158" s="5" t="s">
        <v>75</v>
      </c>
      <c r="M158" s="5" t="s">
        <v>24</v>
      </c>
      <c r="N158" s="5" t="s">
        <v>24</v>
      </c>
      <c r="O158" s="5" t="s">
        <v>75</v>
      </c>
      <c r="P158" s="5" t="s">
        <v>2413</v>
      </c>
      <c r="Q158" s="2">
        <v>45968</v>
      </c>
      <c r="V158" s="45">
        <f t="shared" si="2"/>
        <v>1</v>
      </c>
      <c r="W158" s="45" t="s">
        <v>3004</v>
      </c>
    </row>
    <row r="159" spans="1:23" hidden="1">
      <c r="A159" s="2">
        <v>45903</v>
      </c>
      <c r="B159" s="1" t="s">
        <v>3005</v>
      </c>
      <c r="C159" s="1" t="s">
        <v>3006</v>
      </c>
      <c r="D159" s="1" t="s">
        <v>2513</v>
      </c>
      <c r="E159" s="1">
        <v>85255</v>
      </c>
      <c r="F159" s="1" t="s">
        <v>2406</v>
      </c>
      <c r="G159" s="1" t="s">
        <v>2952</v>
      </c>
      <c r="H159" s="4" t="s">
        <v>2401</v>
      </c>
      <c r="V159" s="45">
        <f t="shared" si="2"/>
        <v>1</v>
      </c>
      <c r="W159" s="45" t="s">
        <v>3007</v>
      </c>
    </row>
    <row r="160" spans="1:23" hidden="1">
      <c r="A160" s="2">
        <v>45903</v>
      </c>
      <c r="B160" s="1" t="s">
        <v>3008</v>
      </c>
      <c r="C160" s="1" t="s">
        <v>3009</v>
      </c>
      <c r="D160" s="1" t="s">
        <v>2439</v>
      </c>
      <c r="E160" s="1">
        <v>85020</v>
      </c>
      <c r="F160" s="1" t="s">
        <v>2730</v>
      </c>
      <c r="G160" s="1" t="s">
        <v>2952</v>
      </c>
      <c r="H160" s="4" t="s">
        <v>2320</v>
      </c>
      <c r="I160" s="5" t="s">
        <v>2514</v>
      </c>
      <c r="J160" s="5" t="s">
        <v>24</v>
      </c>
      <c r="K160" s="5" t="s">
        <v>24</v>
      </c>
      <c r="L160" s="7" t="s">
        <v>3010</v>
      </c>
      <c r="M160" s="5" t="s">
        <v>24</v>
      </c>
      <c r="N160" s="5" t="s">
        <v>24</v>
      </c>
      <c r="O160" s="5" t="s">
        <v>75</v>
      </c>
      <c r="P160" s="2">
        <v>45933</v>
      </c>
      <c r="Q160" s="2">
        <v>45968</v>
      </c>
      <c r="R160" s="1" t="s">
        <v>3011</v>
      </c>
      <c r="V160" s="45">
        <f t="shared" si="2"/>
        <v>1</v>
      </c>
      <c r="W160" s="45" t="s">
        <v>3012</v>
      </c>
    </row>
    <row r="161" spans="1:23" hidden="1">
      <c r="A161" s="2">
        <v>45903</v>
      </c>
      <c r="B161" s="1" t="s">
        <v>3013</v>
      </c>
      <c r="C161" s="1" t="s">
        <v>2792</v>
      </c>
      <c r="D161" s="1" t="s">
        <v>2439</v>
      </c>
      <c r="E161" s="1">
        <v>85023</v>
      </c>
      <c r="F161" s="1" t="s">
        <v>3014</v>
      </c>
      <c r="G161" s="1" t="s">
        <v>2952</v>
      </c>
      <c r="H161" s="4" t="s">
        <v>840</v>
      </c>
      <c r="I161" s="5" t="s">
        <v>2412</v>
      </c>
      <c r="J161" s="5" t="s">
        <v>24</v>
      </c>
      <c r="K161" s="5" t="s">
        <v>24</v>
      </c>
      <c r="L161" s="5" t="s">
        <v>75</v>
      </c>
      <c r="M161" s="5" t="s">
        <v>24</v>
      </c>
      <c r="N161" s="5" t="s">
        <v>24</v>
      </c>
      <c r="O161" s="5" t="s">
        <v>75</v>
      </c>
      <c r="P161" s="5" t="s">
        <v>2413</v>
      </c>
      <c r="Q161" s="2">
        <v>45968</v>
      </c>
      <c r="V161" s="45">
        <f t="shared" si="2"/>
        <v>1</v>
      </c>
      <c r="W161" s="45" t="s">
        <v>3015</v>
      </c>
    </row>
    <row r="162" spans="1:23" hidden="1">
      <c r="A162" s="2">
        <v>45903</v>
      </c>
      <c r="B162" s="1" t="s">
        <v>3016</v>
      </c>
      <c r="C162" s="1" t="s">
        <v>2667</v>
      </c>
      <c r="D162" s="1" t="s">
        <v>2439</v>
      </c>
      <c r="E162" s="1">
        <v>85020</v>
      </c>
      <c r="F162" s="1" t="s">
        <v>2730</v>
      </c>
      <c r="G162" s="1" t="s">
        <v>2952</v>
      </c>
      <c r="H162" s="4" t="s">
        <v>843</v>
      </c>
      <c r="I162" s="5" t="s">
        <v>2597</v>
      </c>
      <c r="J162" s="5" t="s">
        <v>24</v>
      </c>
      <c r="K162" s="5" t="s">
        <v>24</v>
      </c>
      <c r="L162" s="5" t="s">
        <v>75</v>
      </c>
      <c r="M162" s="5" t="s">
        <v>24</v>
      </c>
      <c r="N162" s="5" t="s">
        <v>24</v>
      </c>
      <c r="O162" s="5" t="s">
        <v>75</v>
      </c>
      <c r="P162" s="5" t="s">
        <v>2413</v>
      </c>
      <c r="Q162" s="2">
        <v>45968</v>
      </c>
      <c r="V162" s="45">
        <f t="shared" si="2"/>
        <v>1</v>
      </c>
      <c r="W162" s="45" t="s">
        <v>3017</v>
      </c>
    </row>
    <row r="163" spans="1:23" hidden="1">
      <c r="A163" s="2">
        <v>45903</v>
      </c>
      <c r="B163" s="1" t="s">
        <v>3018</v>
      </c>
      <c r="C163" s="1" t="s">
        <v>3019</v>
      </c>
      <c r="D163" s="1" t="s">
        <v>2439</v>
      </c>
      <c r="E163" s="1">
        <v>85004</v>
      </c>
      <c r="F163" s="1" t="s">
        <v>2730</v>
      </c>
      <c r="G163" s="1" t="s">
        <v>2952</v>
      </c>
      <c r="H163" s="4" t="s">
        <v>2401</v>
      </c>
      <c r="V163" s="45">
        <f t="shared" si="2"/>
        <v>1</v>
      </c>
      <c r="W163" s="45" t="s">
        <v>3020</v>
      </c>
    </row>
    <row r="164" spans="1:23" hidden="1">
      <c r="A164" s="2">
        <v>45903</v>
      </c>
      <c r="B164" s="1" t="s">
        <v>3021</v>
      </c>
      <c r="C164" s="1" t="s">
        <v>3022</v>
      </c>
      <c r="D164" s="1" t="s">
        <v>2605</v>
      </c>
      <c r="E164" s="1">
        <v>85383</v>
      </c>
      <c r="F164" s="1" t="s">
        <v>2730</v>
      </c>
      <c r="G164" s="1" t="s">
        <v>2952</v>
      </c>
      <c r="H164" s="4" t="s">
        <v>845</v>
      </c>
      <c r="I164" s="5" t="s">
        <v>2412</v>
      </c>
      <c r="J164" s="5" t="s">
        <v>24</v>
      </c>
      <c r="K164" s="5" t="s">
        <v>24</v>
      </c>
      <c r="L164" s="5" t="s">
        <v>75</v>
      </c>
      <c r="M164" s="5" t="s">
        <v>24</v>
      </c>
      <c r="N164" s="5" t="s">
        <v>24</v>
      </c>
      <c r="O164" s="5" t="s">
        <v>75</v>
      </c>
      <c r="P164" s="5" t="s">
        <v>2413</v>
      </c>
      <c r="Q164" s="2">
        <v>45968</v>
      </c>
      <c r="V164" s="45">
        <f t="shared" si="2"/>
        <v>1</v>
      </c>
      <c r="W164" s="45" t="s">
        <v>3023</v>
      </c>
    </row>
    <row r="165" spans="1:23" hidden="1">
      <c r="A165" s="2">
        <v>45903</v>
      </c>
      <c r="B165" s="1" t="s">
        <v>3024</v>
      </c>
      <c r="C165" s="1" t="s">
        <v>3025</v>
      </c>
      <c r="D165" s="1" t="s">
        <v>2439</v>
      </c>
      <c r="E165" s="1">
        <v>85024</v>
      </c>
      <c r="F165" s="1" t="s">
        <v>2730</v>
      </c>
      <c r="G165" s="1" t="s">
        <v>2952</v>
      </c>
      <c r="H165" s="4" t="s">
        <v>2251</v>
      </c>
      <c r="I165" s="5" t="s">
        <v>2597</v>
      </c>
      <c r="J165" s="5" t="s">
        <v>24</v>
      </c>
      <c r="K165" s="5" t="s">
        <v>24</v>
      </c>
      <c r="L165" s="5" t="s">
        <v>75</v>
      </c>
      <c r="M165" s="5" t="s">
        <v>24</v>
      </c>
      <c r="N165" s="5" t="s">
        <v>24</v>
      </c>
      <c r="O165" s="5" t="s">
        <v>75</v>
      </c>
      <c r="P165" s="5" t="s">
        <v>2413</v>
      </c>
      <c r="Q165" s="2">
        <v>45968</v>
      </c>
      <c r="V165" s="45">
        <f t="shared" si="2"/>
        <v>1</v>
      </c>
      <c r="W165" s="45" t="s">
        <v>3026</v>
      </c>
    </row>
    <row r="166" spans="1:23" hidden="1">
      <c r="A166" s="2">
        <v>45903</v>
      </c>
      <c r="B166" s="1" t="s">
        <v>3027</v>
      </c>
      <c r="C166" s="1" t="s">
        <v>2526</v>
      </c>
      <c r="D166" s="1" t="s">
        <v>2439</v>
      </c>
      <c r="E166" s="1">
        <v>85004</v>
      </c>
      <c r="F166" s="1" t="s">
        <v>2730</v>
      </c>
      <c r="G166" s="1" t="s">
        <v>2952</v>
      </c>
      <c r="H166" s="4" t="s">
        <v>848</v>
      </c>
      <c r="I166" s="5" t="s">
        <v>2451</v>
      </c>
      <c r="J166" s="5" t="s">
        <v>24</v>
      </c>
      <c r="K166" s="5" t="s">
        <v>24</v>
      </c>
      <c r="L166" s="5" t="s">
        <v>75</v>
      </c>
      <c r="M166" s="5" t="s">
        <v>24</v>
      </c>
      <c r="N166" s="5" t="s">
        <v>24</v>
      </c>
      <c r="O166" s="5" t="s">
        <v>75</v>
      </c>
      <c r="P166" s="5" t="s">
        <v>2413</v>
      </c>
      <c r="Q166" s="2">
        <v>45968</v>
      </c>
      <c r="V166" s="45">
        <f t="shared" si="2"/>
        <v>1</v>
      </c>
      <c r="W166" s="45" t="s">
        <v>3028</v>
      </c>
    </row>
    <row r="167" spans="1:23" hidden="1">
      <c r="A167" s="2">
        <v>45903</v>
      </c>
      <c r="B167" s="1" t="s">
        <v>3029</v>
      </c>
      <c r="C167" s="1" t="s">
        <v>3030</v>
      </c>
      <c r="D167" s="1" t="s">
        <v>2513</v>
      </c>
      <c r="E167" s="1">
        <v>85260</v>
      </c>
      <c r="F167" s="1" t="s">
        <v>3031</v>
      </c>
      <c r="G167" s="1" t="s">
        <v>2952</v>
      </c>
      <c r="H167" s="4" t="s">
        <v>850</v>
      </c>
      <c r="I167" s="5" t="s">
        <v>2597</v>
      </c>
      <c r="J167" s="5" t="s">
        <v>24</v>
      </c>
      <c r="K167" s="5" t="s">
        <v>24</v>
      </c>
      <c r="L167" s="5" t="s">
        <v>75</v>
      </c>
      <c r="M167" s="5" t="s">
        <v>24</v>
      </c>
      <c r="N167" s="5" t="s">
        <v>24</v>
      </c>
      <c r="O167" s="5" t="s">
        <v>75</v>
      </c>
      <c r="P167" s="5" t="s">
        <v>2413</v>
      </c>
      <c r="Q167" s="2">
        <v>45968</v>
      </c>
      <c r="V167" s="45">
        <f t="shared" si="2"/>
        <v>1</v>
      </c>
      <c r="W167" s="45" t="s">
        <v>3032</v>
      </c>
    </row>
    <row r="168" spans="1:23" hidden="1">
      <c r="A168" s="2">
        <v>45903</v>
      </c>
      <c r="B168" s="1" t="s">
        <v>3033</v>
      </c>
      <c r="C168" s="1" t="s">
        <v>3000</v>
      </c>
      <c r="D168" s="1" t="s">
        <v>2439</v>
      </c>
      <c r="E168" s="1">
        <v>85015</v>
      </c>
      <c r="F168" s="1" t="s">
        <v>2730</v>
      </c>
      <c r="G168" s="1" t="s">
        <v>2952</v>
      </c>
      <c r="H168" s="4" t="s">
        <v>2247</v>
      </c>
      <c r="I168" s="5" t="s">
        <v>2432</v>
      </c>
      <c r="J168" s="5" t="s">
        <v>24</v>
      </c>
      <c r="K168" s="5" t="s">
        <v>24</v>
      </c>
      <c r="L168" s="5" t="s">
        <v>3034</v>
      </c>
      <c r="M168" s="5" t="s">
        <v>24</v>
      </c>
      <c r="N168" s="5" t="s">
        <v>24</v>
      </c>
      <c r="O168" s="5" t="s">
        <v>75</v>
      </c>
      <c r="P168" s="5" t="s">
        <v>2413</v>
      </c>
      <c r="Q168" s="2">
        <v>45968</v>
      </c>
      <c r="V168" s="45">
        <f t="shared" si="2"/>
        <v>1</v>
      </c>
      <c r="W168" s="45" t="s">
        <v>3035</v>
      </c>
    </row>
    <row r="169" spans="1:23" hidden="1">
      <c r="A169" s="2">
        <v>45903</v>
      </c>
      <c r="B169" s="1" t="s">
        <v>3036</v>
      </c>
      <c r="C169" s="1" t="s">
        <v>3037</v>
      </c>
      <c r="D169" s="1" t="s">
        <v>2439</v>
      </c>
      <c r="E169" s="1">
        <v>85016</v>
      </c>
      <c r="F169" s="1" t="s">
        <v>2730</v>
      </c>
      <c r="G169" s="1" t="s">
        <v>2952</v>
      </c>
      <c r="H169" s="4" t="s">
        <v>2401</v>
      </c>
      <c r="V169" s="45">
        <f t="shared" si="2"/>
        <v>1</v>
      </c>
      <c r="W169" s="45" t="s">
        <v>3038</v>
      </c>
    </row>
    <row r="170" spans="1:23" hidden="1">
      <c r="A170" s="2">
        <v>45903</v>
      </c>
      <c r="B170" s="1" t="s">
        <v>3039</v>
      </c>
      <c r="C170" s="1" t="s">
        <v>3040</v>
      </c>
      <c r="D170" s="1" t="s">
        <v>2439</v>
      </c>
      <c r="E170" s="1">
        <v>85028</v>
      </c>
      <c r="F170" s="1" t="s">
        <v>3041</v>
      </c>
      <c r="G170" s="1" t="s">
        <v>2952</v>
      </c>
      <c r="H170" s="4" t="s">
        <v>852</v>
      </c>
      <c r="I170" s="5" t="s">
        <v>2412</v>
      </c>
      <c r="J170" s="5" t="s">
        <v>24</v>
      </c>
      <c r="K170" s="5" t="s">
        <v>24</v>
      </c>
      <c r="L170" s="5" t="s">
        <v>75</v>
      </c>
      <c r="M170" s="5" t="s">
        <v>24</v>
      </c>
      <c r="N170" s="5" t="s">
        <v>24</v>
      </c>
      <c r="O170" s="5" t="s">
        <v>75</v>
      </c>
      <c r="P170" s="5" t="s">
        <v>2413</v>
      </c>
      <c r="Q170" s="2">
        <v>45968</v>
      </c>
      <c r="V170" s="45">
        <f t="shared" si="2"/>
        <v>1</v>
      </c>
      <c r="W170" s="45" t="s">
        <v>3042</v>
      </c>
    </row>
    <row r="171" spans="1:23" hidden="1">
      <c r="A171" s="2">
        <v>45903</v>
      </c>
      <c r="B171" s="1" t="s">
        <v>3043</v>
      </c>
      <c r="C171" s="1" t="s">
        <v>3044</v>
      </c>
      <c r="D171" s="1" t="s">
        <v>2650</v>
      </c>
      <c r="E171" s="1">
        <v>85340</v>
      </c>
      <c r="F171" s="1" t="s">
        <v>2406</v>
      </c>
      <c r="G171" s="1" t="s">
        <v>2952</v>
      </c>
      <c r="H171" s="4" t="s">
        <v>854</v>
      </c>
      <c r="I171" s="5" t="s">
        <v>2412</v>
      </c>
      <c r="J171" s="5" t="s">
        <v>24</v>
      </c>
      <c r="K171" s="5" t="s">
        <v>24</v>
      </c>
      <c r="L171" s="5" t="s">
        <v>75</v>
      </c>
      <c r="M171" s="5" t="s">
        <v>24</v>
      </c>
      <c r="N171" s="5" t="s">
        <v>24</v>
      </c>
      <c r="O171" s="5" t="s">
        <v>75</v>
      </c>
      <c r="P171" s="5" t="s">
        <v>2413</v>
      </c>
      <c r="Q171" s="2">
        <v>45968</v>
      </c>
      <c r="V171" s="45">
        <f t="shared" si="2"/>
        <v>1</v>
      </c>
      <c r="W171" s="45" t="s">
        <v>3045</v>
      </c>
    </row>
    <row r="172" spans="1:23" hidden="1">
      <c r="A172" s="2">
        <v>45903</v>
      </c>
      <c r="B172" s="1" t="s">
        <v>3046</v>
      </c>
      <c r="C172" s="1" t="s">
        <v>3047</v>
      </c>
      <c r="D172" s="1" t="s">
        <v>2439</v>
      </c>
      <c r="E172" s="1">
        <v>85024</v>
      </c>
      <c r="F172" s="1" t="s">
        <v>2730</v>
      </c>
      <c r="G172" s="1" t="s">
        <v>2952</v>
      </c>
      <c r="H172" s="4" t="s">
        <v>856</v>
      </c>
      <c r="I172" s="5" t="s">
        <v>2412</v>
      </c>
      <c r="J172" s="5" t="s">
        <v>24</v>
      </c>
      <c r="K172" s="5" t="s">
        <v>24</v>
      </c>
      <c r="L172" s="5" t="s">
        <v>75</v>
      </c>
      <c r="M172" s="5" t="s">
        <v>24</v>
      </c>
      <c r="N172" s="5" t="s">
        <v>24</v>
      </c>
      <c r="O172" s="5" t="s">
        <v>75</v>
      </c>
      <c r="P172" s="5" t="s">
        <v>2413</v>
      </c>
      <c r="Q172" s="2">
        <v>45968</v>
      </c>
      <c r="V172" s="45">
        <f t="shared" si="2"/>
        <v>1</v>
      </c>
      <c r="W172" s="45" t="s">
        <v>3048</v>
      </c>
    </row>
    <row r="173" spans="1:23" hidden="1">
      <c r="A173" s="2">
        <v>45903</v>
      </c>
      <c r="B173" s="1" t="s">
        <v>3049</v>
      </c>
      <c r="C173" s="1" t="s">
        <v>3050</v>
      </c>
      <c r="D173" s="1" t="s">
        <v>2650</v>
      </c>
      <c r="E173" s="1">
        <v>85340</v>
      </c>
      <c r="F173" s="1" t="s">
        <v>3051</v>
      </c>
      <c r="G173" s="1" t="s">
        <v>2952</v>
      </c>
      <c r="H173" s="4" t="s">
        <v>858</v>
      </c>
      <c r="I173" s="5" t="s">
        <v>2514</v>
      </c>
      <c r="J173" s="5" t="s">
        <v>24</v>
      </c>
      <c r="K173" s="5" t="s">
        <v>24</v>
      </c>
      <c r="L173" s="5" t="s">
        <v>75</v>
      </c>
      <c r="M173" s="5" t="s">
        <v>24</v>
      </c>
      <c r="N173" s="5" t="s">
        <v>24</v>
      </c>
      <c r="O173" s="5" t="s">
        <v>75</v>
      </c>
      <c r="P173" s="5" t="s">
        <v>2413</v>
      </c>
      <c r="Q173" s="2">
        <v>45968</v>
      </c>
      <c r="V173" s="45">
        <f t="shared" si="2"/>
        <v>1</v>
      </c>
      <c r="W173" s="45" t="s">
        <v>3052</v>
      </c>
    </row>
    <row r="174" spans="1:23" hidden="1">
      <c r="A174" s="2">
        <v>45903</v>
      </c>
      <c r="B174" s="1" t="s">
        <v>3053</v>
      </c>
      <c r="C174" s="1" t="s">
        <v>3054</v>
      </c>
      <c r="D174" s="1" t="s">
        <v>2439</v>
      </c>
      <c r="E174" s="1">
        <v>85022</v>
      </c>
      <c r="F174" s="1" t="s">
        <v>2730</v>
      </c>
      <c r="G174" s="1" t="s">
        <v>2952</v>
      </c>
      <c r="H174" s="4" t="s">
        <v>2262</v>
      </c>
      <c r="I174" s="5" t="s">
        <v>2597</v>
      </c>
      <c r="J174" s="5" t="s">
        <v>24</v>
      </c>
      <c r="K174" s="5" t="s">
        <v>24</v>
      </c>
      <c r="L174" s="5" t="s">
        <v>3055</v>
      </c>
      <c r="M174" s="5" t="s">
        <v>24</v>
      </c>
      <c r="N174" s="5" t="s">
        <v>24</v>
      </c>
      <c r="O174" s="5" t="s">
        <v>75</v>
      </c>
      <c r="P174" s="2">
        <v>45933</v>
      </c>
      <c r="Q174" s="2">
        <v>45968</v>
      </c>
      <c r="R174" s="1" t="s">
        <v>3011</v>
      </c>
      <c r="V174" s="45">
        <f t="shared" si="2"/>
        <v>1</v>
      </c>
      <c r="W174" s="45" t="s">
        <v>3056</v>
      </c>
    </row>
    <row r="175" spans="1:23" hidden="1">
      <c r="A175" s="2">
        <v>45903</v>
      </c>
      <c r="B175" s="1" t="s">
        <v>3057</v>
      </c>
      <c r="C175" s="1" t="s">
        <v>2851</v>
      </c>
      <c r="D175" s="1" t="s">
        <v>2398</v>
      </c>
      <c r="E175" s="1">
        <v>85308</v>
      </c>
      <c r="F175" s="1" t="s">
        <v>2730</v>
      </c>
      <c r="G175" s="1" t="s">
        <v>2952</v>
      </c>
      <c r="H175" s="4" t="s">
        <v>612</v>
      </c>
      <c r="I175" s="5" t="s">
        <v>2451</v>
      </c>
      <c r="J175" s="5" t="s">
        <v>24</v>
      </c>
      <c r="L175" s="5" t="s">
        <v>75</v>
      </c>
      <c r="O175" s="5" t="s">
        <v>75</v>
      </c>
      <c r="P175" s="5" t="s">
        <v>2413</v>
      </c>
      <c r="V175" s="45">
        <f t="shared" si="2"/>
        <v>1</v>
      </c>
      <c r="W175" s="45" t="s">
        <v>3058</v>
      </c>
    </row>
    <row r="176" spans="1:23" hidden="1">
      <c r="A176" s="2">
        <v>45903</v>
      </c>
      <c r="B176" s="1" t="s">
        <v>3059</v>
      </c>
      <c r="C176" s="1" t="s">
        <v>3060</v>
      </c>
      <c r="D176" s="1" t="s">
        <v>2439</v>
      </c>
      <c r="E176" s="1">
        <v>85022</v>
      </c>
      <c r="F176" s="1" t="s">
        <v>3061</v>
      </c>
      <c r="G176" s="1" t="s">
        <v>2952</v>
      </c>
      <c r="H176" s="4" t="s">
        <v>109</v>
      </c>
      <c r="I176" s="5" t="s">
        <v>2432</v>
      </c>
      <c r="J176" s="5" t="s">
        <v>24</v>
      </c>
      <c r="K176" s="5" t="s">
        <v>24</v>
      </c>
      <c r="L176" s="7" t="s">
        <v>3062</v>
      </c>
      <c r="M176" s="5" t="s">
        <v>24</v>
      </c>
      <c r="N176" s="5" t="s">
        <v>24</v>
      </c>
      <c r="O176" s="5" t="s">
        <v>75</v>
      </c>
      <c r="P176" s="2">
        <v>45933</v>
      </c>
      <c r="Q176" s="2">
        <v>45968</v>
      </c>
      <c r="R176" s="1" t="s">
        <v>3063</v>
      </c>
      <c r="V176" s="45">
        <f t="shared" si="2"/>
        <v>1</v>
      </c>
      <c r="W176" s="45" t="s">
        <v>3064</v>
      </c>
    </row>
    <row r="177" spans="1:23" hidden="1">
      <c r="A177" s="2">
        <v>45903</v>
      </c>
      <c r="B177" s="1" t="s">
        <v>2885</v>
      </c>
      <c r="C177" s="1" t="s">
        <v>3065</v>
      </c>
      <c r="D177" s="1" t="s">
        <v>2950</v>
      </c>
      <c r="E177" s="1">
        <v>86001</v>
      </c>
      <c r="F177" s="1" t="s">
        <v>2406</v>
      </c>
      <c r="G177" s="1" t="s">
        <v>2952</v>
      </c>
      <c r="H177" s="4" t="s">
        <v>111</v>
      </c>
      <c r="I177" s="5" t="s">
        <v>2514</v>
      </c>
      <c r="J177" s="5" t="s">
        <v>24</v>
      </c>
      <c r="K177" s="5" t="s">
        <v>24</v>
      </c>
      <c r="L177" s="7" t="s">
        <v>3066</v>
      </c>
      <c r="M177" s="5" t="s">
        <v>24</v>
      </c>
      <c r="N177" s="5" t="s">
        <v>24</v>
      </c>
      <c r="O177" s="5" t="s">
        <v>75</v>
      </c>
      <c r="P177" s="2">
        <v>45933</v>
      </c>
      <c r="Q177" s="2">
        <v>45968</v>
      </c>
      <c r="R177" s="1" t="s">
        <v>3011</v>
      </c>
      <c r="V177" s="45">
        <f t="shared" si="2"/>
        <v>1</v>
      </c>
      <c r="W177" s="45" t="s">
        <v>3067</v>
      </c>
    </row>
    <row r="178" spans="1:23" hidden="1">
      <c r="A178" s="2">
        <v>45903</v>
      </c>
      <c r="B178" s="1" t="s">
        <v>3068</v>
      </c>
      <c r="C178" s="1" t="s">
        <v>3003</v>
      </c>
      <c r="D178" s="1" t="s">
        <v>2439</v>
      </c>
      <c r="E178" s="1">
        <v>85014</v>
      </c>
      <c r="F178" s="1" t="s">
        <v>3069</v>
      </c>
      <c r="G178" s="1" t="s">
        <v>2952</v>
      </c>
      <c r="H178" s="4" t="s">
        <v>860</v>
      </c>
      <c r="I178" s="5" t="s">
        <v>2451</v>
      </c>
      <c r="J178" s="5" t="s">
        <v>24</v>
      </c>
      <c r="K178" s="5" t="s">
        <v>24</v>
      </c>
      <c r="L178" s="5" t="s">
        <v>75</v>
      </c>
      <c r="M178" s="5" t="s">
        <v>24</v>
      </c>
      <c r="N178" s="5" t="s">
        <v>24</v>
      </c>
      <c r="O178" s="5" t="s">
        <v>75</v>
      </c>
      <c r="P178" s="5" t="s">
        <v>2413</v>
      </c>
      <c r="Q178" s="2">
        <v>45968</v>
      </c>
      <c r="V178" s="45">
        <f t="shared" si="2"/>
        <v>1</v>
      </c>
      <c r="W178" s="45" t="s">
        <v>3070</v>
      </c>
    </row>
    <row r="179" spans="1:23" hidden="1">
      <c r="A179" s="2">
        <v>45903</v>
      </c>
      <c r="B179" s="1" t="s">
        <v>3071</v>
      </c>
      <c r="C179" s="1" t="s">
        <v>3072</v>
      </c>
      <c r="D179" s="1" t="s">
        <v>3073</v>
      </c>
      <c r="E179" s="1">
        <v>85365</v>
      </c>
      <c r="F179" s="1" t="s">
        <v>2730</v>
      </c>
      <c r="G179" s="1" t="s">
        <v>2952</v>
      </c>
      <c r="H179" s="4" t="s">
        <v>114</v>
      </c>
      <c r="I179" s="5" t="s">
        <v>2597</v>
      </c>
      <c r="J179" s="5" t="s">
        <v>24</v>
      </c>
      <c r="K179" s="5" t="s">
        <v>24</v>
      </c>
      <c r="L179" s="5" t="s">
        <v>3074</v>
      </c>
      <c r="M179" s="5" t="s">
        <v>24</v>
      </c>
      <c r="N179" s="5" t="s">
        <v>24</v>
      </c>
      <c r="O179" s="5" t="s">
        <v>75</v>
      </c>
      <c r="P179" s="5" t="s">
        <v>2413</v>
      </c>
      <c r="Q179" s="2">
        <v>45968</v>
      </c>
      <c r="R179" s="1" t="s">
        <v>3075</v>
      </c>
      <c r="V179" s="45">
        <f t="shared" si="2"/>
        <v>1</v>
      </c>
      <c r="W179" s="45" t="s">
        <v>3076</v>
      </c>
    </row>
    <row r="180" spans="1:23" hidden="1">
      <c r="A180" s="2">
        <v>45903</v>
      </c>
      <c r="B180" s="1" t="s">
        <v>3077</v>
      </c>
      <c r="C180" s="1" t="s">
        <v>3078</v>
      </c>
      <c r="D180" s="1" t="s">
        <v>2439</v>
      </c>
      <c r="E180" s="1">
        <v>85013</v>
      </c>
      <c r="F180" s="1" t="s">
        <v>2730</v>
      </c>
      <c r="G180" s="1" t="s">
        <v>2952</v>
      </c>
      <c r="H180" s="4" t="s">
        <v>2401</v>
      </c>
      <c r="V180" s="45">
        <f t="shared" si="2"/>
        <v>1</v>
      </c>
      <c r="W180" s="45" t="s">
        <v>3079</v>
      </c>
    </row>
    <row r="181" spans="1:23" hidden="1">
      <c r="A181" s="2">
        <v>45903</v>
      </c>
      <c r="B181" s="1" t="s">
        <v>3080</v>
      </c>
      <c r="C181" s="1" t="s">
        <v>3081</v>
      </c>
      <c r="D181" s="1" t="s">
        <v>2439</v>
      </c>
      <c r="E181" s="1">
        <v>85085</v>
      </c>
      <c r="F181" s="1" t="s">
        <v>3082</v>
      </c>
      <c r="G181" s="1" t="s">
        <v>2952</v>
      </c>
      <c r="H181" s="4" t="s">
        <v>862</v>
      </c>
      <c r="I181" s="5" t="s">
        <v>2412</v>
      </c>
      <c r="J181" s="5" t="s">
        <v>24</v>
      </c>
      <c r="K181" s="5" t="s">
        <v>24</v>
      </c>
      <c r="L181" s="5" t="s">
        <v>75</v>
      </c>
      <c r="M181" s="5" t="s">
        <v>24</v>
      </c>
      <c r="N181" s="5" t="s">
        <v>24</v>
      </c>
      <c r="O181" s="5" t="s">
        <v>75</v>
      </c>
      <c r="P181" s="5" t="s">
        <v>2413</v>
      </c>
      <c r="Q181" s="2">
        <v>45968</v>
      </c>
      <c r="V181" s="45">
        <f t="shared" si="2"/>
        <v>1</v>
      </c>
      <c r="W181" s="45" t="s">
        <v>3083</v>
      </c>
    </row>
    <row r="182" spans="1:23" hidden="1">
      <c r="A182" s="2">
        <v>45903</v>
      </c>
      <c r="B182" s="1" t="s">
        <v>3084</v>
      </c>
      <c r="C182" s="1" t="s">
        <v>3085</v>
      </c>
      <c r="D182" s="1" t="s">
        <v>2969</v>
      </c>
      <c r="E182" s="1">
        <v>85392</v>
      </c>
      <c r="F182" s="1" t="s">
        <v>3086</v>
      </c>
      <c r="G182" s="1" t="s">
        <v>2952</v>
      </c>
      <c r="H182" s="4" t="s">
        <v>864</v>
      </c>
      <c r="I182" s="5" t="s">
        <v>2514</v>
      </c>
      <c r="J182" s="5" t="s">
        <v>24</v>
      </c>
      <c r="K182" s="5" t="s">
        <v>24</v>
      </c>
      <c r="L182" s="5" t="s">
        <v>75</v>
      </c>
      <c r="M182" s="5" t="s">
        <v>24</v>
      </c>
      <c r="N182" s="5" t="s">
        <v>24</v>
      </c>
      <c r="O182" s="5" t="s">
        <v>75</v>
      </c>
      <c r="P182" s="5" t="s">
        <v>2413</v>
      </c>
      <c r="Q182" s="2">
        <v>45968</v>
      </c>
      <c r="V182" s="45">
        <f t="shared" si="2"/>
        <v>1</v>
      </c>
      <c r="W182" s="45" t="s">
        <v>3087</v>
      </c>
    </row>
    <row r="183" spans="1:23" hidden="1">
      <c r="A183" s="2">
        <v>45903</v>
      </c>
      <c r="B183" s="1" t="s">
        <v>3088</v>
      </c>
      <c r="C183" s="1" t="s">
        <v>3089</v>
      </c>
      <c r="D183" s="1" t="s">
        <v>3090</v>
      </c>
      <c r="E183" s="1">
        <v>85281</v>
      </c>
      <c r="F183" s="1" t="s">
        <v>2730</v>
      </c>
      <c r="G183" s="1" t="s">
        <v>2952</v>
      </c>
      <c r="H183" s="4" t="s">
        <v>2401</v>
      </c>
      <c r="V183" s="45">
        <f t="shared" si="2"/>
        <v>1</v>
      </c>
      <c r="W183" s="45" t="s">
        <v>3091</v>
      </c>
    </row>
    <row r="184" spans="1:23" hidden="1">
      <c r="A184" s="2">
        <v>45903</v>
      </c>
      <c r="B184" s="1" t="s">
        <v>3092</v>
      </c>
      <c r="C184" s="1" t="s">
        <v>2977</v>
      </c>
      <c r="D184" s="1" t="s">
        <v>2950</v>
      </c>
      <c r="E184" s="1">
        <v>86001</v>
      </c>
      <c r="F184" s="1" t="s">
        <v>2730</v>
      </c>
      <c r="G184" s="1" t="s">
        <v>2952</v>
      </c>
      <c r="H184" s="4" t="s">
        <v>866</v>
      </c>
      <c r="I184" s="5" t="s">
        <v>2451</v>
      </c>
      <c r="J184" s="5" t="s">
        <v>24</v>
      </c>
      <c r="K184" s="5" t="s">
        <v>24</v>
      </c>
      <c r="L184" s="5" t="s">
        <v>75</v>
      </c>
      <c r="M184" s="5" t="s">
        <v>24</v>
      </c>
      <c r="N184" s="5" t="s">
        <v>24</v>
      </c>
      <c r="O184" s="5" t="s">
        <v>75</v>
      </c>
      <c r="P184" s="5" t="s">
        <v>2413</v>
      </c>
      <c r="Q184" s="2">
        <v>45968</v>
      </c>
      <c r="V184" s="45">
        <f t="shared" si="2"/>
        <v>1</v>
      </c>
      <c r="W184" s="45" t="s">
        <v>3093</v>
      </c>
    </row>
    <row r="185" spans="1:23" hidden="1">
      <c r="A185" s="2">
        <v>45903</v>
      </c>
      <c r="B185" s="1" t="s">
        <v>3094</v>
      </c>
      <c r="C185" s="1" t="s">
        <v>3095</v>
      </c>
      <c r="D185" s="1" t="s">
        <v>2605</v>
      </c>
      <c r="E185" s="1">
        <v>85383</v>
      </c>
      <c r="F185" s="1" t="s">
        <v>2730</v>
      </c>
      <c r="G185" s="1" t="s">
        <v>2952</v>
      </c>
      <c r="H185" s="4" t="s">
        <v>116</v>
      </c>
      <c r="I185" s="5" t="s">
        <v>2597</v>
      </c>
      <c r="J185" s="5" t="s">
        <v>24</v>
      </c>
      <c r="K185" s="5" t="s">
        <v>24</v>
      </c>
      <c r="L185" s="7" t="s">
        <v>3096</v>
      </c>
      <c r="M185" s="5" t="s">
        <v>24</v>
      </c>
      <c r="N185" s="5" t="s">
        <v>24</v>
      </c>
      <c r="O185" s="5" t="s">
        <v>75</v>
      </c>
      <c r="P185" s="2">
        <v>45933</v>
      </c>
      <c r="Q185" s="2">
        <v>45968</v>
      </c>
      <c r="R185" s="1" t="s">
        <v>3011</v>
      </c>
      <c r="V185" s="45">
        <f t="shared" si="2"/>
        <v>1</v>
      </c>
      <c r="W185" s="45" t="s">
        <v>3097</v>
      </c>
    </row>
    <row r="186" spans="1:23" hidden="1">
      <c r="A186" s="2">
        <v>45903</v>
      </c>
      <c r="B186" s="1" t="s">
        <v>3098</v>
      </c>
      <c r="C186" s="1" t="s">
        <v>3099</v>
      </c>
      <c r="D186" s="1" t="s">
        <v>2513</v>
      </c>
      <c r="E186" s="1">
        <v>85255</v>
      </c>
      <c r="F186" s="1" t="s">
        <v>2730</v>
      </c>
      <c r="G186" s="1" t="s">
        <v>2952</v>
      </c>
      <c r="H186" s="4" t="s">
        <v>868</v>
      </c>
      <c r="I186" s="5" t="s">
        <v>2412</v>
      </c>
      <c r="J186" s="5" t="s">
        <v>24</v>
      </c>
      <c r="K186" s="5" t="s">
        <v>24</v>
      </c>
      <c r="L186" s="5" t="s">
        <v>75</v>
      </c>
      <c r="M186" s="5" t="s">
        <v>24</v>
      </c>
      <c r="N186" s="5" t="s">
        <v>24</v>
      </c>
      <c r="O186" s="5" t="s">
        <v>75</v>
      </c>
      <c r="P186" s="5" t="s">
        <v>2413</v>
      </c>
      <c r="Q186" s="2">
        <v>45968</v>
      </c>
      <c r="V186" s="45">
        <f t="shared" si="2"/>
        <v>1</v>
      </c>
      <c r="W186" s="45" t="s">
        <v>3100</v>
      </c>
    </row>
    <row r="187" spans="1:23" hidden="1">
      <c r="A187" s="2">
        <v>45903</v>
      </c>
      <c r="B187" s="1" t="s">
        <v>3101</v>
      </c>
      <c r="C187" s="1" t="s">
        <v>3102</v>
      </c>
      <c r="D187" s="1" t="s">
        <v>2800</v>
      </c>
      <c r="E187" s="1">
        <v>85225</v>
      </c>
      <c r="F187" s="1" t="s">
        <v>2730</v>
      </c>
      <c r="G187" s="1" t="s">
        <v>2952</v>
      </c>
      <c r="H187" s="4" t="s">
        <v>2613</v>
      </c>
      <c r="V187" s="45">
        <f t="shared" si="2"/>
        <v>1</v>
      </c>
      <c r="W187" s="45" t="s">
        <v>3103</v>
      </c>
    </row>
    <row r="188" spans="1:23" hidden="1">
      <c r="A188" s="2">
        <v>45903</v>
      </c>
      <c r="B188" s="1" t="s">
        <v>3104</v>
      </c>
      <c r="C188" s="1" t="s">
        <v>3105</v>
      </c>
      <c r="D188" s="1" t="s">
        <v>2439</v>
      </c>
      <c r="E188" s="1">
        <v>85022</v>
      </c>
      <c r="F188" s="1" t="s">
        <v>2730</v>
      </c>
      <c r="G188" s="1" t="s">
        <v>2952</v>
      </c>
      <c r="H188" s="4" t="s">
        <v>870</v>
      </c>
      <c r="I188" s="5" t="s">
        <v>2451</v>
      </c>
      <c r="J188" s="5" t="s">
        <v>24</v>
      </c>
      <c r="K188" s="5" t="s">
        <v>24</v>
      </c>
      <c r="L188" s="5" t="s">
        <v>75</v>
      </c>
      <c r="M188" s="5" t="s">
        <v>24</v>
      </c>
      <c r="N188" s="5" t="s">
        <v>24</v>
      </c>
      <c r="O188" s="5" t="s">
        <v>75</v>
      </c>
      <c r="P188" s="5" t="s">
        <v>2413</v>
      </c>
      <c r="Q188" s="2">
        <v>45968</v>
      </c>
      <c r="V188" s="45">
        <f t="shared" si="2"/>
        <v>1</v>
      </c>
      <c r="W188" s="45" t="s">
        <v>3106</v>
      </c>
    </row>
    <row r="189" spans="1:23" hidden="1">
      <c r="A189" s="2">
        <v>45903</v>
      </c>
      <c r="B189" s="1" t="s">
        <v>3107</v>
      </c>
      <c r="C189" s="1" t="s">
        <v>20</v>
      </c>
      <c r="D189" s="1" t="s">
        <v>2564</v>
      </c>
      <c r="E189" s="1">
        <v>85338</v>
      </c>
      <c r="F189" s="1" t="s">
        <v>3108</v>
      </c>
      <c r="G189" s="1" t="s">
        <v>2952</v>
      </c>
      <c r="H189" s="4" t="s">
        <v>2613</v>
      </c>
      <c r="V189" s="45">
        <f t="shared" si="2"/>
        <v>1</v>
      </c>
      <c r="W189" s="45" t="s">
        <v>3109</v>
      </c>
    </row>
    <row r="190" spans="1:23" hidden="1">
      <c r="A190" s="2">
        <v>45903</v>
      </c>
      <c r="B190" s="1" t="s">
        <v>3110</v>
      </c>
      <c r="C190" s="1" t="s">
        <v>3111</v>
      </c>
      <c r="D190" s="1" t="s">
        <v>2498</v>
      </c>
      <c r="E190" s="1">
        <v>85388</v>
      </c>
      <c r="F190" s="1" t="s">
        <v>2399</v>
      </c>
      <c r="G190" s="1" t="s">
        <v>2952</v>
      </c>
      <c r="H190" s="4" t="s">
        <v>2613</v>
      </c>
      <c r="V190" s="45">
        <f t="shared" si="2"/>
        <v>1</v>
      </c>
      <c r="W190" s="45" t="s">
        <v>3112</v>
      </c>
    </row>
    <row r="191" spans="1:23" hidden="1">
      <c r="A191" s="2">
        <v>45903</v>
      </c>
      <c r="B191" s="1" t="s">
        <v>3113</v>
      </c>
      <c r="C191" s="1" t="s">
        <v>3114</v>
      </c>
      <c r="D191" s="1" t="s">
        <v>2405</v>
      </c>
      <c r="E191" s="1">
        <v>85254</v>
      </c>
      <c r="F191" s="1" t="s">
        <v>2730</v>
      </c>
      <c r="G191" s="1" t="s">
        <v>2952</v>
      </c>
      <c r="H191" s="4" t="s">
        <v>615</v>
      </c>
      <c r="I191" s="5" t="s">
        <v>2514</v>
      </c>
      <c r="J191" s="5" t="s">
        <v>24</v>
      </c>
      <c r="K191" s="5" t="s">
        <v>24</v>
      </c>
      <c r="L191" s="5" t="s">
        <v>75</v>
      </c>
      <c r="M191" s="5" t="s">
        <v>75</v>
      </c>
      <c r="N191" s="15">
        <v>664.06</v>
      </c>
      <c r="O191" s="5" t="s">
        <v>75</v>
      </c>
      <c r="P191" s="7"/>
      <c r="Q191" s="2">
        <v>45968</v>
      </c>
      <c r="V191" s="45">
        <f t="shared" si="2"/>
        <v>1</v>
      </c>
      <c r="W191" s="45" t="s">
        <v>3115</v>
      </c>
    </row>
    <row r="192" spans="1:23" hidden="1">
      <c r="A192" s="2">
        <v>45903</v>
      </c>
      <c r="B192" s="1" t="s">
        <v>3116</v>
      </c>
      <c r="C192" s="1" t="s">
        <v>3117</v>
      </c>
      <c r="D192" s="1" t="s">
        <v>3118</v>
      </c>
      <c r="E192" s="1">
        <v>85350</v>
      </c>
      <c r="F192" s="1" t="s">
        <v>3119</v>
      </c>
      <c r="G192" s="1" t="s">
        <v>2952</v>
      </c>
      <c r="H192" s="4" t="s">
        <v>2401</v>
      </c>
      <c r="V192" s="45">
        <f t="shared" si="2"/>
        <v>1</v>
      </c>
      <c r="W192" s="45" t="s">
        <v>3120</v>
      </c>
    </row>
    <row r="193" spans="1:23" hidden="1">
      <c r="A193" s="2">
        <v>45903</v>
      </c>
      <c r="B193" s="1" t="s">
        <v>3121</v>
      </c>
      <c r="C193" s="1" t="s">
        <v>3122</v>
      </c>
      <c r="D193" s="1" t="s">
        <v>2398</v>
      </c>
      <c r="E193" s="1">
        <v>85308</v>
      </c>
      <c r="F193" s="1" t="s">
        <v>2730</v>
      </c>
      <c r="G193" s="1" t="s">
        <v>2952</v>
      </c>
      <c r="H193" s="4" t="s">
        <v>2401</v>
      </c>
      <c r="V193" s="45">
        <f t="shared" si="2"/>
        <v>1</v>
      </c>
      <c r="W193" s="45" t="s">
        <v>3123</v>
      </c>
    </row>
    <row r="194" spans="1:23" hidden="1">
      <c r="A194" s="2">
        <v>45903</v>
      </c>
      <c r="B194" s="1" t="s">
        <v>3124</v>
      </c>
      <c r="C194" s="1" t="s">
        <v>2733</v>
      </c>
      <c r="D194" s="1" t="s">
        <v>2564</v>
      </c>
      <c r="E194" s="1">
        <v>85338</v>
      </c>
      <c r="F194" s="1" t="s">
        <v>3125</v>
      </c>
      <c r="G194" s="1" t="s">
        <v>2952</v>
      </c>
      <c r="H194" s="4" t="s">
        <v>2401</v>
      </c>
      <c r="V194" s="45">
        <f t="shared" ref="V194:V257" si="3">IF(OR(ISNUMBER(SEARCH("unable to locate acct",G194)),ISNUMBER(SEARCH("unknown",G194)),ISNUMBER(SEARCH("inactive",G194)),H194=""),0,1)</f>
        <v>1</v>
      </c>
      <c r="W194" s="45" t="s">
        <v>3126</v>
      </c>
    </row>
    <row r="195" spans="1:23" hidden="1">
      <c r="A195" s="2">
        <v>45903</v>
      </c>
      <c r="B195" s="1" t="s">
        <v>3127</v>
      </c>
      <c r="C195" s="1" t="s">
        <v>3128</v>
      </c>
      <c r="D195" s="1" t="s">
        <v>2564</v>
      </c>
      <c r="E195" s="1">
        <v>85338</v>
      </c>
      <c r="F195" s="1" t="s">
        <v>3129</v>
      </c>
      <c r="G195" s="1" t="s">
        <v>2952</v>
      </c>
      <c r="H195" s="4" t="s">
        <v>19</v>
      </c>
      <c r="I195" s="5" t="s">
        <v>2432</v>
      </c>
      <c r="J195" s="5" t="s">
        <v>75</v>
      </c>
      <c r="K195" s="5" t="s">
        <v>24</v>
      </c>
      <c r="L195" s="7" t="s">
        <v>3130</v>
      </c>
      <c r="M195" s="5" t="s">
        <v>75</v>
      </c>
      <c r="N195" s="15">
        <v>3681.83</v>
      </c>
      <c r="O195" s="5" t="s">
        <v>75</v>
      </c>
      <c r="P195" s="2">
        <v>45933</v>
      </c>
      <c r="Q195" s="2">
        <v>45968</v>
      </c>
      <c r="R195" s="1" t="s">
        <v>3131</v>
      </c>
      <c r="V195" s="45">
        <f t="shared" si="3"/>
        <v>1</v>
      </c>
      <c r="W195" s="45" t="s">
        <v>3132</v>
      </c>
    </row>
    <row r="196" spans="1:23" hidden="1">
      <c r="A196" s="2">
        <v>45903</v>
      </c>
      <c r="B196" s="1" t="s">
        <v>3133</v>
      </c>
      <c r="C196" s="1" t="s">
        <v>2806</v>
      </c>
      <c r="D196" s="1" t="s">
        <v>2439</v>
      </c>
      <c r="E196" s="1">
        <v>85083</v>
      </c>
      <c r="F196" s="1" t="s">
        <v>2730</v>
      </c>
      <c r="G196" s="1" t="s">
        <v>2952</v>
      </c>
      <c r="H196" s="4" t="s">
        <v>2613</v>
      </c>
      <c r="V196" s="45">
        <f t="shared" si="3"/>
        <v>1</v>
      </c>
      <c r="W196" s="45" t="s">
        <v>3134</v>
      </c>
    </row>
    <row r="197" spans="1:23" hidden="1">
      <c r="A197" s="2">
        <v>45903</v>
      </c>
      <c r="B197" s="1" t="s">
        <v>3135</v>
      </c>
      <c r="C197" s="1" t="s">
        <v>3136</v>
      </c>
      <c r="D197" s="1" t="s">
        <v>2605</v>
      </c>
      <c r="E197" s="1">
        <v>85382</v>
      </c>
      <c r="F197" s="1" t="s">
        <v>2406</v>
      </c>
      <c r="G197" s="1" t="s">
        <v>2952</v>
      </c>
      <c r="H197" s="4" t="s">
        <v>872</v>
      </c>
      <c r="I197" s="5" t="s">
        <v>2451</v>
      </c>
      <c r="J197" s="5" t="s">
        <v>24</v>
      </c>
      <c r="K197" s="5" t="s">
        <v>24</v>
      </c>
      <c r="L197" s="5" t="s">
        <v>75</v>
      </c>
      <c r="M197" s="5" t="s">
        <v>24</v>
      </c>
      <c r="N197" s="5" t="s">
        <v>24</v>
      </c>
      <c r="O197" s="5" t="s">
        <v>75</v>
      </c>
      <c r="P197" s="5" t="s">
        <v>2413</v>
      </c>
      <c r="Q197" s="2">
        <v>45968</v>
      </c>
      <c r="V197" s="45">
        <f t="shared" si="3"/>
        <v>1</v>
      </c>
      <c r="W197" s="45" t="s">
        <v>3137</v>
      </c>
    </row>
    <row r="198" spans="1:23" hidden="1">
      <c r="A198" s="2">
        <v>45903</v>
      </c>
      <c r="B198" s="1" t="s">
        <v>3138</v>
      </c>
      <c r="C198" s="1" t="s">
        <v>3139</v>
      </c>
      <c r="D198" s="1" t="s">
        <v>2969</v>
      </c>
      <c r="E198" s="1">
        <v>85392</v>
      </c>
      <c r="F198" s="1" t="s">
        <v>3140</v>
      </c>
      <c r="G198" s="1" t="s">
        <v>2952</v>
      </c>
      <c r="H198" s="4" t="s">
        <v>874</v>
      </c>
      <c r="I198" s="5" t="s">
        <v>2412</v>
      </c>
      <c r="J198" s="5" t="s">
        <v>24</v>
      </c>
      <c r="K198" s="5" t="s">
        <v>24</v>
      </c>
      <c r="L198" s="5" t="s">
        <v>75</v>
      </c>
      <c r="M198" s="5" t="s">
        <v>24</v>
      </c>
      <c r="N198" s="5" t="s">
        <v>24</v>
      </c>
      <c r="O198" s="5" t="s">
        <v>75</v>
      </c>
      <c r="P198" s="5" t="s">
        <v>2413</v>
      </c>
      <c r="Q198" s="2">
        <v>45968</v>
      </c>
      <c r="V198" s="45">
        <f t="shared" si="3"/>
        <v>1</v>
      </c>
      <c r="W198" s="45" t="s">
        <v>3141</v>
      </c>
    </row>
    <row r="199" spans="1:23" hidden="1">
      <c r="A199" s="2">
        <v>45903</v>
      </c>
      <c r="B199" s="1" t="s">
        <v>3142</v>
      </c>
      <c r="C199" s="1" t="s">
        <v>3143</v>
      </c>
      <c r="D199" s="1" t="s">
        <v>2605</v>
      </c>
      <c r="E199" s="1">
        <v>85383</v>
      </c>
      <c r="F199" s="1" t="s">
        <v>2730</v>
      </c>
      <c r="G199" s="1" t="s">
        <v>2952</v>
      </c>
      <c r="H199" s="4" t="s">
        <v>876</v>
      </c>
      <c r="I199" s="5" t="s">
        <v>2412</v>
      </c>
      <c r="J199" s="5" t="s">
        <v>24</v>
      </c>
      <c r="K199" s="5" t="s">
        <v>24</v>
      </c>
      <c r="L199" s="5" t="s">
        <v>75</v>
      </c>
      <c r="M199" s="5" t="s">
        <v>24</v>
      </c>
      <c r="N199" s="5" t="s">
        <v>24</v>
      </c>
      <c r="O199" s="5" t="s">
        <v>75</v>
      </c>
      <c r="P199" s="5" t="s">
        <v>2413</v>
      </c>
      <c r="Q199" s="2">
        <v>45968</v>
      </c>
      <c r="V199" s="45">
        <f t="shared" si="3"/>
        <v>1</v>
      </c>
      <c r="W199" s="45" t="s">
        <v>3144</v>
      </c>
    </row>
    <row r="200" spans="1:23" hidden="1">
      <c r="A200" s="2">
        <v>45903</v>
      </c>
      <c r="B200" s="1" t="s">
        <v>3145</v>
      </c>
      <c r="C200" s="1" t="s">
        <v>3146</v>
      </c>
      <c r="D200" s="1" t="s">
        <v>2439</v>
      </c>
      <c r="E200" s="1">
        <v>85085</v>
      </c>
      <c r="F200" s="1" t="s">
        <v>3147</v>
      </c>
      <c r="G200" s="1" t="s">
        <v>2952</v>
      </c>
      <c r="H200" s="4" t="s">
        <v>2401</v>
      </c>
      <c r="V200" s="45">
        <f t="shared" si="3"/>
        <v>1</v>
      </c>
      <c r="W200" s="45" t="s">
        <v>3148</v>
      </c>
    </row>
    <row r="201" spans="1:23" hidden="1">
      <c r="A201" s="2">
        <v>45903</v>
      </c>
      <c r="B201" s="1" t="s">
        <v>3149</v>
      </c>
      <c r="C201" s="1" t="s">
        <v>2851</v>
      </c>
      <c r="D201" s="1" t="s">
        <v>2439</v>
      </c>
      <c r="E201" s="1">
        <v>85326</v>
      </c>
      <c r="F201" s="1" t="s">
        <v>2730</v>
      </c>
      <c r="G201" s="1" t="s">
        <v>2952</v>
      </c>
      <c r="H201" s="4" t="s">
        <v>2401</v>
      </c>
      <c r="V201" s="45">
        <f t="shared" si="3"/>
        <v>1</v>
      </c>
      <c r="W201" s="45" t="s">
        <v>3150</v>
      </c>
    </row>
    <row r="202" spans="1:23" hidden="1">
      <c r="A202" s="2">
        <v>45903</v>
      </c>
      <c r="B202" s="1" t="s">
        <v>3151</v>
      </c>
      <c r="C202" s="1" t="s">
        <v>3152</v>
      </c>
      <c r="D202" s="1" t="s">
        <v>2445</v>
      </c>
      <c r="E202" s="1">
        <v>85331</v>
      </c>
      <c r="F202" s="1" t="s">
        <v>2730</v>
      </c>
      <c r="G202" s="1" t="s">
        <v>2952</v>
      </c>
      <c r="H202" s="4" t="s">
        <v>2401</v>
      </c>
      <c r="V202" s="45">
        <f t="shared" si="3"/>
        <v>1</v>
      </c>
      <c r="W202" s="125" t="s">
        <v>3153</v>
      </c>
    </row>
    <row r="203" spans="1:23" hidden="1">
      <c r="A203" s="2">
        <v>45903</v>
      </c>
      <c r="B203" s="1" t="s">
        <v>3154</v>
      </c>
      <c r="C203" s="1" t="s">
        <v>2733</v>
      </c>
      <c r="D203" s="1" t="s">
        <v>2439</v>
      </c>
      <c r="E203" s="1">
        <v>85053</v>
      </c>
      <c r="F203" s="1" t="s">
        <v>2730</v>
      </c>
      <c r="G203" s="1" t="s">
        <v>2952</v>
      </c>
      <c r="H203" s="4" t="s">
        <v>2613</v>
      </c>
      <c r="V203" s="45">
        <f t="shared" si="3"/>
        <v>1</v>
      </c>
      <c r="W203" s="45" t="s">
        <v>3155</v>
      </c>
    </row>
    <row r="204" spans="1:23" hidden="1">
      <c r="A204" s="2">
        <v>45903</v>
      </c>
      <c r="B204" s="1" t="s">
        <v>3156</v>
      </c>
      <c r="C204" s="1" t="s">
        <v>3157</v>
      </c>
      <c r="D204" s="1" t="s">
        <v>2439</v>
      </c>
      <c r="E204" s="1">
        <v>85040</v>
      </c>
      <c r="F204" s="1" t="s">
        <v>3158</v>
      </c>
      <c r="G204" s="1" t="s">
        <v>2952</v>
      </c>
      <c r="H204" s="4" t="s">
        <v>2401</v>
      </c>
      <c r="V204" s="45">
        <f t="shared" si="3"/>
        <v>1</v>
      </c>
      <c r="W204" s="45" t="s">
        <v>3159</v>
      </c>
    </row>
    <row r="205" spans="1:23" hidden="1">
      <c r="A205" s="2">
        <v>45903</v>
      </c>
      <c r="B205" s="1" t="s">
        <v>3160</v>
      </c>
      <c r="C205" s="1" t="s">
        <v>3161</v>
      </c>
      <c r="D205" s="1" t="s">
        <v>2605</v>
      </c>
      <c r="E205" s="1">
        <v>85383</v>
      </c>
      <c r="F205" s="1" t="s">
        <v>2730</v>
      </c>
      <c r="G205" s="1" t="s">
        <v>2952</v>
      </c>
      <c r="H205" s="4" t="s">
        <v>118</v>
      </c>
      <c r="I205" s="5" t="s">
        <v>2597</v>
      </c>
      <c r="J205" s="5" t="s">
        <v>24</v>
      </c>
      <c r="K205" s="5" t="s">
        <v>24</v>
      </c>
      <c r="L205" s="7" t="s">
        <v>3162</v>
      </c>
      <c r="M205" s="5" t="s">
        <v>24</v>
      </c>
      <c r="N205" s="5" t="s">
        <v>24</v>
      </c>
      <c r="O205" s="5" t="s">
        <v>75</v>
      </c>
      <c r="P205" s="2">
        <v>45933</v>
      </c>
      <c r="Q205" s="2">
        <v>45968</v>
      </c>
      <c r="R205" s="1" t="s">
        <v>3011</v>
      </c>
      <c r="V205" s="45">
        <f t="shared" si="3"/>
        <v>1</v>
      </c>
      <c r="W205" s="45" t="s">
        <v>3163</v>
      </c>
    </row>
    <row r="206" spans="1:23" hidden="1">
      <c r="A206" s="2">
        <v>45903</v>
      </c>
      <c r="B206" s="1" t="s">
        <v>3164</v>
      </c>
      <c r="C206" s="1" t="s">
        <v>3165</v>
      </c>
      <c r="D206" s="1" t="s">
        <v>3166</v>
      </c>
      <c r="E206" s="1">
        <v>85375</v>
      </c>
      <c r="F206" s="1" t="s">
        <v>3167</v>
      </c>
      <c r="G206" s="1" t="s">
        <v>2952</v>
      </c>
      <c r="H206" s="4" t="s">
        <v>878</v>
      </c>
      <c r="I206" s="5" t="s">
        <v>2451</v>
      </c>
      <c r="J206" s="5" t="s">
        <v>24</v>
      </c>
      <c r="K206" s="5" t="s">
        <v>24</v>
      </c>
      <c r="L206" s="5" t="s">
        <v>75</v>
      </c>
      <c r="M206" s="5" t="s">
        <v>24</v>
      </c>
      <c r="N206" s="5" t="s">
        <v>24</v>
      </c>
      <c r="O206" s="5" t="s">
        <v>75</v>
      </c>
      <c r="P206" s="5" t="s">
        <v>2413</v>
      </c>
      <c r="Q206" s="2">
        <v>45968</v>
      </c>
      <c r="V206" s="45">
        <f t="shared" si="3"/>
        <v>1</v>
      </c>
      <c r="W206" s="45" t="s">
        <v>3168</v>
      </c>
    </row>
    <row r="207" spans="1:23" hidden="1">
      <c r="A207" s="2">
        <v>45903</v>
      </c>
      <c r="B207" s="1" t="s">
        <v>3169</v>
      </c>
      <c r="C207" s="1" t="s">
        <v>3170</v>
      </c>
      <c r="D207" s="1" t="s">
        <v>2564</v>
      </c>
      <c r="E207" s="1">
        <v>85395</v>
      </c>
      <c r="F207" s="1" t="s">
        <v>3171</v>
      </c>
      <c r="G207" s="1" t="s">
        <v>2952</v>
      </c>
      <c r="H207" s="4" t="s">
        <v>2471</v>
      </c>
      <c r="V207" s="45">
        <f t="shared" si="3"/>
        <v>1</v>
      </c>
      <c r="W207" s="45" t="s">
        <v>3172</v>
      </c>
    </row>
    <row r="208" spans="1:23" hidden="1">
      <c r="A208" s="2">
        <v>45903</v>
      </c>
      <c r="B208" s="1" t="s">
        <v>3173</v>
      </c>
      <c r="C208" s="1" t="s">
        <v>2826</v>
      </c>
      <c r="D208" s="1" t="s">
        <v>2439</v>
      </c>
      <c r="E208" s="1">
        <v>85003</v>
      </c>
      <c r="F208" s="1" t="s">
        <v>2730</v>
      </c>
      <c r="G208" s="1" t="s">
        <v>2952</v>
      </c>
      <c r="H208" s="4" t="s">
        <v>2401</v>
      </c>
      <c r="V208" s="45">
        <f t="shared" si="3"/>
        <v>1</v>
      </c>
      <c r="W208" s="45" t="s">
        <v>3174</v>
      </c>
    </row>
    <row r="209" spans="1:23" hidden="1">
      <c r="A209" s="2">
        <v>45903</v>
      </c>
      <c r="B209" s="1" t="s">
        <v>2796</v>
      </c>
      <c r="C209" s="1" t="s">
        <v>3175</v>
      </c>
      <c r="D209" s="1" t="s">
        <v>2650</v>
      </c>
      <c r="E209" s="1">
        <v>85340</v>
      </c>
      <c r="F209" s="1" t="s">
        <v>2730</v>
      </c>
      <c r="G209" s="1" t="s">
        <v>2952</v>
      </c>
      <c r="H209" s="4" t="s">
        <v>2401</v>
      </c>
      <c r="V209" s="45">
        <f t="shared" si="3"/>
        <v>1</v>
      </c>
      <c r="W209" s="45" t="s">
        <v>3176</v>
      </c>
    </row>
    <row r="210" spans="1:23" hidden="1">
      <c r="A210" s="2">
        <v>45903</v>
      </c>
      <c r="B210" s="1" t="s">
        <v>3177</v>
      </c>
      <c r="C210" s="1" t="s">
        <v>3178</v>
      </c>
      <c r="D210" s="1" t="s">
        <v>2498</v>
      </c>
      <c r="E210" s="1">
        <v>85388</v>
      </c>
      <c r="F210" s="1" t="s">
        <v>3179</v>
      </c>
      <c r="G210" s="1" t="s">
        <v>2952</v>
      </c>
      <c r="H210" s="4" t="s">
        <v>880</v>
      </c>
      <c r="I210" s="5" t="s">
        <v>2412</v>
      </c>
      <c r="J210" s="5" t="s">
        <v>24</v>
      </c>
      <c r="K210" s="5" t="s">
        <v>24</v>
      </c>
      <c r="L210" s="5" t="s">
        <v>75</v>
      </c>
      <c r="M210" s="5" t="s">
        <v>24</v>
      </c>
      <c r="N210" s="5" t="s">
        <v>24</v>
      </c>
      <c r="O210" s="5" t="s">
        <v>75</v>
      </c>
      <c r="P210" s="5" t="s">
        <v>2413</v>
      </c>
      <c r="Q210" s="2">
        <v>45968</v>
      </c>
      <c r="V210" s="45">
        <f t="shared" si="3"/>
        <v>1</v>
      </c>
      <c r="W210" s="45" t="s">
        <v>3180</v>
      </c>
    </row>
    <row r="211" spans="1:23" hidden="1">
      <c r="A211" s="2">
        <v>45903</v>
      </c>
      <c r="B211" s="1" t="s">
        <v>3181</v>
      </c>
      <c r="C211" s="1" t="s">
        <v>3182</v>
      </c>
      <c r="D211" s="1" t="s">
        <v>2570</v>
      </c>
      <c r="E211" s="1">
        <v>85326</v>
      </c>
      <c r="F211" s="1" t="s">
        <v>3183</v>
      </c>
      <c r="G211" s="1" t="s">
        <v>2952</v>
      </c>
      <c r="H211" s="4" t="s">
        <v>2471</v>
      </c>
      <c r="V211" s="45">
        <f t="shared" si="3"/>
        <v>1</v>
      </c>
      <c r="W211" s="45" t="s">
        <v>3184</v>
      </c>
    </row>
    <row r="212" spans="1:23" hidden="1">
      <c r="A212" s="2">
        <v>45903</v>
      </c>
      <c r="B212" s="1" t="s">
        <v>3185</v>
      </c>
      <c r="C212" s="1" t="s">
        <v>3186</v>
      </c>
      <c r="D212" s="1" t="s">
        <v>2439</v>
      </c>
      <c r="E212" s="1">
        <v>85085</v>
      </c>
      <c r="F212" s="1" t="s">
        <v>2730</v>
      </c>
      <c r="G212" s="1" t="s">
        <v>2952</v>
      </c>
      <c r="H212" s="4" t="s">
        <v>882</v>
      </c>
      <c r="I212" s="5" t="s">
        <v>2412</v>
      </c>
      <c r="J212" s="5" t="s">
        <v>24</v>
      </c>
      <c r="K212" s="5" t="s">
        <v>24</v>
      </c>
      <c r="L212" s="5" t="s">
        <v>75</v>
      </c>
      <c r="M212" s="5" t="s">
        <v>24</v>
      </c>
      <c r="N212" s="5" t="s">
        <v>24</v>
      </c>
      <c r="O212" s="5" t="s">
        <v>75</v>
      </c>
      <c r="P212" s="5" t="s">
        <v>2413</v>
      </c>
      <c r="Q212" s="2">
        <v>45968</v>
      </c>
      <c r="V212" s="45">
        <f t="shared" si="3"/>
        <v>1</v>
      </c>
      <c r="W212" s="45" t="s">
        <v>3187</v>
      </c>
    </row>
    <row r="213" spans="1:23" ht="12.75" hidden="1" customHeight="1">
      <c r="A213" s="2">
        <v>45903</v>
      </c>
      <c r="B213" s="1" t="s">
        <v>3188</v>
      </c>
      <c r="C213" s="1" t="s">
        <v>3189</v>
      </c>
      <c r="D213" s="1" t="s">
        <v>2650</v>
      </c>
      <c r="E213" s="1">
        <v>85340</v>
      </c>
      <c r="F213" s="1" t="s">
        <v>3190</v>
      </c>
      <c r="G213" s="1" t="s">
        <v>2952</v>
      </c>
      <c r="H213" s="4" t="s">
        <v>3191</v>
      </c>
      <c r="I213" s="17" t="s">
        <v>3192</v>
      </c>
      <c r="J213" s="5" t="s">
        <v>24</v>
      </c>
      <c r="K213" s="5" t="s">
        <v>24</v>
      </c>
      <c r="L213" s="5" t="s">
        <v>3193</v>
      </c>
      <c r="M213" s="5" t="s">
        <v>24</v>
      </c>
      <c r="N213" s="5" t="s">
        <v>24</v>
      </c>
      <c r="O213" s="5" t="s">
        <v>75</v>
      </c>
      <c r="P213" s="5" t="s">
        <v>2413</v>
      </c>
      <c r="Q213" s="2">
        <v>45968</v>
      </c>
      <c r="V213" s="45">
        <f t="shared" si="3"/>
        <v>1</v>
      </c>
      <c r="W213" s="45" t="s">
        <v>3194</v>
      </c>
    </row>
    <row r="214" spans="1:23" hidden="1">
      <c r="A214" s="2">
        <v>45903</v>
      </c>
      <c r="B214" s="1" t="s">
        <v>3151</v>
      </c>
      <c r="C214" s="1" t="s">
        <v>3195</v>
      </c>
      <c r="D214" s="1" t="s">
        <v>2800</v>
      </c>
      <c r="E214" s="1">
        <v>85225</v>
      </c>
      <c r="F214" s="1" t="s">
        <v>2730</v>
      </c>
      <c r="G214" s="1" t="s">
        <v>2952</v>
      </c>
      <c r="H214" s="4" t="s">
        <v>884</v>
      </c>
      <c r="I214" s="5" t="s">
        <v>2412</v>
      </c>
      <c r="J214" s="5" t="s">
        <v>24</v>
      </c>
      <c r="K214" s="5" t="s">
        <v>24</v>
      </c>
      <c r="L214" s="5" t="s">
        <v>75</v>
      </c>
      <c r="M214" s="5" t="s">
        <v>24</v>
      </c>
      <c r="N214" s="5" t="s">
        <v>24</v>
      </c>
      <c r="O214" s="5" t="s">
        <v>75</v>
      </c>
      <c r="P214" s="5" t="s">
        <v>2413</v>
      </c>
      <c r="Q214" s="2">
        <v>45968</v>
      </c>
      <c r="U214" s="1" t="s">
        <v>3196</v>
      </c>
      <c r="V214" s="45">
        <f t="shared" si="3"/>
        <v>1</v>
      </c>
      <c r="W214" s="45" t="s">
        <v>3197</v>
      </c>
    </row>
    <row r="215" spans="1:23" hidden="1">
      <c r="A215" s="2">
        <v>45903</v>
      </c>
      <c r="B215" s="1" t="s">
        <v>3198</v>
      </c>
      <c r="C215" s="1" t="s">
        <v>2547</v>
      </c>
      <c r="D215" s="1" t="s">
        <v>2439</v>
      </c>
      <c r="E215" s="1">
        <v>85051</v>
      </c>
      <c r="F215" s="1" t="s">
        <v>2730</v>
      </c>
      <c r="G215" s="1" t="s">
        <v>2952</v>
      </c>
      <c r="H215" s="4" t="s">
        <v>887</v>
      </c>
      <c r="I215" s="5" t="s">
        <v>2451</v>
      </c>
      <c r="J215" s="5" t="s">
        <v>24</v>
      </c>
      <c r="K215" s="5" t="s">
        <v>24</v>
      </c>
      <c r="L215" s="5" t="s">
        <v>75</v>
      </c>
      <c r="M215" s="5" t="s">
        <v>24</v>
      </c>
      <c r="N215" s="5" t="s">
        <v>24</v>
      </c>
      <c r="O215" s="5" t="s">
        <v>75</v>
      </c>
      <c r="P215" s="5" t="s">
        <v>2413</v>
      </c>
      <c r="Q215" s="2">
        <v>45968</v>
      </c>
      <c r="V215" s="45">
        <f t="shared" si="3"/>
        <v>1</v>
      </c>
      <c r="W215" s="45" t="s">
        <v>3199</v>
      </c>
    </row>
    <row r="216" spans="1:23" hidden="1">
      <c r="A216" s="2">
        <v>45903</v>
      </c>
      <c r="B216" s="1" t="s">
        <v>3200</v>
      </c>
      <c r="C216" s="1" t="s">
        <v>3201</v>
      </c>
      <c r="D216" s="1" t="s">
        <v>2439</v>
      </c>
      <c r="E216" s="1">
        <v>85393</v>
      </c>
      <c r="F216" s="1" t="s">
        <v>2730</v>
      </c>
      <c r="G216" s="1" t="s">
        <v>2952</v>
      </c>
      <c r="H216" s="4" t="s">
        <v>2401</v>
      </c>
      <c r="V216" s="45">
        <f t="shared" si="3"/>
        <v>1</v>
      </c>
      <c r="W216" s="45" t="s">
        <v>3202</v>
      </c>
    </row>
    <row r="217" spans="1:23" hidden="1">
      <c r="A217" s="2">
        <v>45903</v>
      </c>
      <c r="B217" s="1" t="s">
        <v>3203</v>
      </c>
      <c r="C217" s="1" t="s">
        <v>3157</v>
      </c>
      <c r="D217" s="1" t="s">
        <v>2498</v>
      </c>
      <c r="E217" s="1">
        <v>85388</v>
      </c>
      <c r="F217" s="1" t="s">
        <v>3204</v>
      </c>
      <c r="G217" s="1" t="s">
        <v>2952</v>
      </c>
      <c r="H217" s="4" t="s">
        <v>889</v>
      </c>
      <c r="I217" s="5" t="s">
        <v>2420</v>
      </c>
      <c r="J217" s="5" t="s">
        <v>24</v>
      </c>
      <c r="K217" s="5" t="s">
        <v>24</v>
      </c>
      <c r="L217" s="5" t="s">
        <v>75</v>
      </c>
      <c r="M217" s="5" t="s">
        <v>24</v>
      </c>
      <c r="N217" s="5" t="s">
        <v>24</v>
      </c>
      <c r="O217" s="5" t="s">
        <v>75</v>
      </c>
      <c r="P217" s="5" t="s">
        <v>2413</v>
      </c>
      <c r="Q217" s="2">
        <v>45968</v>
      </c>
      <c r="V217" s="45">
        <f t="shared" si="3"/>
        <v>1</v>
      </c>
      <c r="W217" s="45" t="s">
        <v>3205</v>
      </c>
    </row>
    <row r="218" spans="1:23" hidden="1">
      <c r="A218" s="2">
        <v>45903</v>
      </c>
      <c r="B218" s="1" t="s">
        <v>3206</v>
      </c>
      <c r="C218" s="1" t="s">
        <v>3207</v>
      </c>
      <c r="D218" s="1" t="s">
        <v>2564</v>
      </c>
      <c r="E218" s="1">
        <v>85338</v>
      </c>
      <c r="F218" s="1" t="s">
        <v>3208</v>
      </c>
      <c r="G218" s="1" t="s">
        <v>2952</v>
      </c>
      <c r="H218" s="4" t="s">
        <v>891</v>
      </c>
      <c r="I218" s="5" t="s">
        <v>2451</v>
      </c>
      <c r="J218" s="5" t="s">
        <v>24</v>
      </c>
      <c r="K218" s="5" t="s">
        <v>24</v>
      </c>
      <c r="L218" s="5" t="s">
        <v>75</v>
      </c>
      <c r="M218" s="5" t="s">
        <v>24</v>
      </c>
      <c r="N218" s="5" t="s">
        <v>24</v>
      </c>
      <c r="O218" s="5" t="s">
        <v>75</v>
      </c>
      <c r="P218" s="5" t="s">
        <v>2413</v>
      </c>
      <c r="Q218" s="2">
        <v>45968</v>
      </c>
      <c r="V218" s="45">
        <f t="shared" si="3"/>
        <v>1</v>
      </c>
      <c r="W218" s="45" t="s">
        <v>3209</v>
      </c>
    </row>
    <row r="219" spans="1:23" hidden="1">
      <c r="A219" s="2">
        <v>45903</v>
      </c>
      <c r="B219" s="1" t="s">
        <v>3210</v>
      </c>
      <c r="C219" s="1" t="s">
        <v>2842</v>
      </c>
      <c r="D219" s="1" t="s">
        <v>3211</v>
      </c>
      <c r="E219" s="1">
        <v>86326</v>
      </c>
      <c r="F219" s="1" t="s">
        <v>3212</v>
      </c>
      <c r="G219" s="1" t="s">
        <v>2952</v>
      </c>
      <c r="H219" s="4" t="s">
        <v>893</v>
      </c>
      <c r="I219" s="5" t="s">
        <v>2988</v>
      </c>
      <c r="J219" s="5" t="s">
        <v>24</v>
      </c>
      <c r="K219" s="5" t="s">
        <v>24</v>
      </c>
      <c r="L219" s="5" t="s">
        <v>2819</v>
      </c>
      <c r="M219" s="5" t="s">
        <v>24</v>
      </c>
      <c r="N219" s="5" t="s">
        <v>24</v>
      </c>
      <c r="O219" s="5" t="s">
        <v>75</v>
      </c>
      <c r="P219" s="5" t="s">
        <v>2413</v>
      </c>
      <c r="Q219" s="2">
        <v>45968</v>
      </c>
      <c r="V219" s="45">
        <f t="shared" si="3"/>
        <v>1</v>
      </c>
      <c r="W219" s="45" t="s">
        <v>3213</v>
      </c>
    </row>
    <row r="220" spans="1:23" hidden="1">
      <c r="A220" s="2">
        <v>45903</v>
      </c>
      <c r="B220" s="1" t="s">
        <v>3214</v>
      </c>
      <c r="C220" s="1" t="s">
        <v>3050</v>
      </c>
      <c r="D220" s="1" t="s">
        <v>2564</v>
      </c>
      <c r="E220" s="1">
        <v>85338</v>
      </c>
      <c r="F220" s="1" t="s">
        <v>3215</v>
      </c>
      <c r="G220" s="1" t="s">
        <v>2952</v>
      </c>
      <c r="H220" s="4" t="s">
        <v>895</v>
      </c>
      <c r="I220" s="5" t="s">
        <v>2988</v>
      </c>
      <c r="J220" s="5" t="s">
        <v>24</v>
      </c>
      <c r="K220" s="5" t="s">
        <v>24</v>
      </c>
      <c r="L220" s="5" t="s">
        <v>2819</v>
      </c>
      <c r="M220" s="5" t="s">
        <v>24</v>
      </c>
      <c r="N220" s="5" t="s">
        <v>24</v>
      </c>
      <c r="O220" s="5" t="s">
        <v>75</v>
      </c>
      <c r="P220" s="5" t="s">
        <v>2413</v>
      </c>
      <c r="Q220" s="2">
        <v>45968</v>
      </c>
      <c r="V220" s="45">
        <f t="shared" si="3"/>
        <v>1</v>
      </c>
      <c r="W220" s="45" t="s">
        <v>3216</v>
      </c>
    </row>
    <row r="221" spans="1:23" hidden="1">
      <c r="A221" s="2">
        <v>45903</v>
      </c>
      <c r="B221" s="1" t="s">
        <v>3217</v>
      </c>
      <c r="C221" s="1" t="s">
        <v>3218</v>
      </c>
      <c r="D221" s="1" t="s">
        <v>2439</v>
      </c>
      <c r="E221" s="1">
        <v>85023</v>
      </c>
      <c r="F221" s="1" t="s">
        <v>2730</v>
      </c>
      <c r="G221" s="1" t="s">
        <v>2952</v>
      </c>
      <c r="H221" s="4" t="s">
        <v>897</v>
      </c>
      <c r="I221" s="5" t="s">
        <v>2412</v>
      </c>
      <c r="J221" s="5" t="s">
        <v>24</v>
      </c>
      <c r="K221" s="5" t="s">
        <v>24</v>
      </c>
      <c r="L221" s="5" t="s">
        <v>75</v>
      </c>
      <c r="M221" s="5" t="s">
        <v>24</v>
      </c>
      <c r="N221" s="5" t="s">
        <v>24</v>
      </c>
      <c r="O221" s="5" t="s">
        <v>75</v>
      </c>
      <c r="P221" s="5" t="s">
        <v>2413</v>
      </c>
      <c r="Q221" s="2">
        <v>45968</v>
      </c>
      <c r="V221" s="45">
        <f t="shared" si="3"/>
        <v>1</v>
      </c>
      <c r="W221" s="45" t="s">
        <v>3219</v>
      </c>
    </row>
    <row r="222" spans="1:23" hidden="1">
      <c r="A222" s="2">
        <v>45903</v>
      </c>
      <c r="B222" s="1" t="s">
        <v>3220</v>
      </c>
      <c r="C222" s="1" t="s">
        <v>3221</v>
      </c>
      <c r="D222" s="1" t="s">
        <v>2605</v>
      </c>
      <c r="E222" s="1">
        <v>85383</v>
      </c>
      <c r="F222" s="1" t="s">
        <v>3222</v>
      </c>
      <c r="G222" s="1" t="s">
        <v>2952</v>
      </c>
      <c r="H222" s="4" t="s">
        <v>899</v>
      </c>
      <c r="I222" s="5" t="s">
        <v>2514</v>
      </c>
      <c r="J222" s="5" t="s">
        <v>24</v>
      </c>
      <c r="K222" s="5" t="s">
        <v>24</v>
      </c>
      <c r="L222" s="5" t="s">
        <v>75</v>
      </c>
      <c r="M222" s="5" t="s">
        <v>24</v>
      </c>
      <c r="N222" s="5" t="s">
        <v>24</v>
      </c>
      <c r="O222" s="5" t="s">
        <v>75</v>
      </c>
      <c r="P222" s="5" t="s">
        <v>2413</v>
      </c>
      <c r="Q222" s="2">
        <v>45968</v>
      </c>
      <c r="V222" s="45">
        <f t="shared" si="3"/>
        <v>1</v>
      </c>
      <c r="W222" s="45" t="s">
        <v>3223</v>
      </c>
    </row>
    <row r="223" spans="1:23" hidden="1">
      <c r="A223" s="2">
        <v>45903</v>
      </c>
      <c r="B223" s="1" t="s">
        <v>3224</v>
      </c>
      <c r="C223" s="1" t="s">
        <v>2639</v>
      </c>
      <c r="D223" s="1" t="s">
        <v>2564</v>
      </c>
      <c r="E223" s="1">
        <v>85395</v>
      </c>
      <c r="F223" s="1" t="s">
        <v>3225</v>
      </c>
      <c r="G223" s="1" t="s">
        <v>2952</v>
      </c>
      <c r="H223" s="4" t="s">
        <v>2401</v>
      </c>
      <c r="U223" s="1" t="s">
        <v>3196</v>
      </c>
      <c r="V223" s="45">
        <f t="shared" si="3"/>
        <v>1</v>
      </c>
      <c r="W223" s="45" t="s">
        <v>3226</v>
      </c>
    </row>
    <row r="224" spans="1:23" hidden="1">
      <c r="A224" s="2">
        <v>45903</v>
      </c>
      <c r="B224" s="1" t="s">
        <v>3227</v>
      </c>
      <c r="C224" s="1" t="s">
        <v>2842</v>
      </c>
      <c r="D224" s="1" t="s">
        <v>2439</v>
      </c>
      <c r="E224" s="1">
        <v>85085</v>
      </c>
      <c r="F224" s="1" t="s">
        <v>2730</v>
      </c>
      <c r="G224" s="1" t="s">
        <v>2952</v>
      </c>
      <c r="H224" s="4" t="s">
        <v>901</v>
      </c>
      <c r="I224" s="5" t="s">
        <v>2451</v>
      </c>
      <c r="J224" s="5" t="s">
        <v>24</v>
      </c>
      <c r="K224" s="5" t="s">
        <v>24</v>
      </c>
      <c r="L224" s="5" t="s">
        <v>75</v>
      </c>
      <c r="M224" s="5" t="s">
        <v>24</v>
      </c>
      <c r="N224" s="5" t="s">
        <v>24</v>
      </c>
      <c r="O224" s="5" t="s">
        <v>75</v>
      </c>
      <c r="P224" s="5" t="s">
        <v>2413</v>
      </c>
      <c r="Q224" s="2">
        <v>45968</v>
      </c>
      <c r="V224" s="45">
        <f t="shared" si="3"/>
        <v>1</v>
      </c>
      <c r="W224" s="45" t="s">
        <v>3228</v>
      </c>
    </row>
    <row r="225" spans="1:23" hidden="1">
      <c r="A225" s="2">
        <v>45903</v>
      </c>
      <c r="B225" s="1" t="s">
        <v>3229</v>
      </c>
      <c r="C225" s="1" t="s">
        <v>3230</v>
      </c>
      <c r="D225" s="1" t="s">
        <v>2439</v>
      </c>
      <c r="E225" s="1">
        <v>85034</v>
      </c>
      <c r="F225" s="1" t="s">
        <v>2406</v>
      </c>
      <c r="G225" s="1" t="s">
        <v>2952</v>
      </c>
      <c r="H225" s="4" t="s">
        <v>2471</v>
      </c>
      <c r="V225" s="45">
        <f t="shared" si="3"/>
        <v>1</v>
      </c>
      <c r="W225" s="45" t="s">
        <v>3231</v>
      </c>
    </row>
    <row r="226" spans="1:23" hidden="1">
      <c r="A226" s="2">
        <v>45903</v>
      </c>
      <c r="B226" s="1" t="s">
        <v>3232</v>
      </c>
      <c r="C226" s="1" t="s">
        <v>3233</v>
      </c>
      <c r="D226" s="1" t="s">
        <v>2398</v>
      </c>
      <c r="E226" s="1">
        <v>85310</v>
      </c>
      <c r="F226" s="1" t="s">
        <v>3234</v>
      </c>
      <c r="G226" s="1" t="s">
        <v>2952</v>
      </c>
      <c r="H226" s="4" t="s">
        <v>903</v>
      </c>
      <c r="I226" s="5" t="s">
        <v>2412</v>
      </c>
      <c r="J226" s="5" t="s">
        <v>24</v>
      </c>
      <c r="K226" s="5" t="s">
        <v>24</v>
      </c>
      <c r="L226" s="5" t="s">
        <v>75</v>
      </c>
      <c r="M226" s="5" t="s">
        <v>24</v>
      </c>
      <c r="N226" s="5" t="s">
        <v>24</v>
      </c>
      <c r="O226" s="5" t="s">
        <v>75</v>
      </c>
      <c r="P226" s="5" t="s">
        <v>2413</v>
      </c>
      <c r="Q226" s="2">
        <v>45968</v>
      </c>
      <c r="V226" s="45">
        <f t="shared" si="3"/>
        <v>1</v>
      </c>
      <c r="W226" s="45" t="s">
        <v>3235</v>
      </c>
    </row>
    <row r="227" spans="1:23" hidden="1">
      <c r="A227" s="2">
        <v>45903</v>
      </c>
      <c r="B227" s="1" t="s">
        <v>2635</v>
      </c>
      <c r="C227" s="1" t="s">
        <v>3236</v>
      </c>
      <c r="D227" s="1" t="s">
        <v>2498</v>
      </c>
      <c r="E227" s="1">
        <v>85388</v>
      </c>
      <c r="F227" s="1" t="s">
        <v>3237</v>
      </c>
      <c r="G227" s="1" t="s">
        <v>2952</v>
      </c>
      <c r="H227" s="4" t="s">
        <v>2613</v>
      </c>
      <c r="V227" s="45">
        <f t="shared" si="3"/>
        <v>1</v>
      </c>
      <c r="W227" s="45" t="s">
        <v>3238</v>
      </c>
    </row>
    <row r="228" spans="1:23" hidden="1">
      <c r="A228" s="2">
        <v>45903</v>
      </c>
      <c r="B228" s="1" t="s">
        <v>3239</v>
      </c>
      <c r="C228" s="1" t="s">
        <v>3240</v>
      </c>
      <c r="D228" s="1" t="s">
        <v>2439</v>
      </c>
      <c r="E228" s="1">
        <v>85006</v>
      </c>
      <c r="F228" s="1" t="s">
        <v>2730</v>
      </c>
      <c r="G228" s="1" t="s">
        <v>2952</v>
      </c>
      <c r="H228" s="4" t="s">
        <v>120</v>
      </c>
      <c r="I228" s="5" t="s">
        <v>2597</v>
      </c>
      <c r="J228" s="5" t="s">
        <v>24</v>
      </c>
      <c r="K228" s="5" t="s">
        <v>24</v>
      </c>
      <c r="L228" s="7" t="s">
        <v>3241</v>
      </c>
      <c r="M228" s="5" t="s">
        <v>24</v>
      </c>
      <c r="N228" s="5" t="s">
        <v>24</v>
      </c>
      <c r="O228" s="5" t="s">
        <v>75</v>
      </c>
      <c r="P228" s="2">
        <v>45933</v>
      </c>
      <c r="Q228" s="2">
        <v>45968</v>
      </c>
      <c r="R228" s="1" t="s">
        <v>3242</v>
      </c>
      <c r="V228" s="45">
        <f t="shared" si="3"/>
        <v>1</v>
      </c>
      <c r="W228" s="45" t="s">
        <v>3243</v>
      </c>
    </row>
    <row r="229" spans="1:23" hidden="1">
      <c r="A229" s="2">
        <v>45903</v>
      </c>
      <c r="B229" s="1" t="s">
        <v>3244</v>
      </c>
      <c r="C229" s="1" t="s">
        <v>3245</v>
      </c>
      <c r="D229" s="1" t="s">
        <v>2513</v>
      </c>
      <c r="E229" s="1">
        <v>85254</v>
      </c>
      <c r="F229" s="1" t="s">
        <v>2730</v>
      </c>
      <c r="G229" s="1" t="s">
        <v>2952</v>
      </c>
      <c r="H229" s="4" t="s">
        <v>905</v>
      </c>
      <c r="I229" s="5" t="s">
        <v>2597</v>
      </c>
      <c r="J229" s="5" t="s">
        <v>24</v>
      </c>
      <c r="K229" s="5" t="s">
        <v>24</v>
      </c>
      <c r="L229" s="5" t="s">
        <v>75</v>
      </c>
      <c r="M229" s="5" t="s">
        <v>24</v>
      </c>
      <c r="N229" s="5" t="s">
        <v>24</v>
      </c>
      <c r="O229" s="5" t="s">
        <v>75</v>
      </c>
      <c r="P229" s="5" t="s">
        <v>2413</v>
      </c>
      <c r="Q229" s="2">
        <v>45968</v>
      </c>
      <c r="V229" s="45">
        <f t="shared" si="3"/>
        <v>1</v>
      </c>
      <c r="W229" s="45" t="s">
        <v>3246</v>
      </c>
    </row>
    <row r="230" spans="1:23" hidden="1">
      <c r="A230" s="2">
        <v>45903</v>
      </c>
      <c r="B230" s="1" t="s">
        <v>3247</v>
      </c>
      <c r="C230" s="1" t="s">
        <v>3248</v>
      </c>
      <c r="D230" s="1" t="s">
        <v>2605</v>
      </c>
      <c r="E230" s="1">
        <v>85383</v>
      </c>
      <c r="F230" s="1" t="s">
        <v>3249</v>
      </c>
      <c r="G230" s="1" t="s">
        <v>2952</v>
      </c>
      <c r="H230" s="4" t="s">
        <v>907</v>
      </c>
      <c r="I230" s="5" t="s">
        <v>2597</v>
      </c>
      <c r="J230" s="5" t="s">
        <v>75</v>
      </c>
      <c r="K230" s="5" t="s">
        <v>24</v>
      </c>
      <c r="L230" s="5" t="s">
        <v>75</v>
      </c>
      <c r="M230" s="5" t="s">
        <v>24</v>
      </c>
      <c r="N230" s="5" t="s">
        <v>24</v>
      </c>
      <c r="O230" s="5" t="s">
        <v>75</v>
      </c>
      <c r="P230" s="5" t="s">
        <v>2413</v>
      </c>
      <c r="Q230" s="2">
        <v>45968</v>
      </c>
      <c r="V230" s="45">
        <f t="shared" si="3"/>
        <v>1</v>
      </c>
      <c r="W230" s="45" t="s">
        <v>3250</v>
      </c>
    </row>
    <row r="231" spans="1:23" hidden="1">
      <c r="A231" s="2">
        <v>45903</v>
      </c>
      <c r="B231" s="1" t="s">
        <v>3251</v>
      </c>
      <c r="C231" s="1" t="s">
        <v>2745</v>
      </c>
      <c r="D231" s="1" t="s">
        <v>2862</v>
      </c>
      <c r="E231" s="1">
        <v>85335</v>
      </c>
      <c r="F231" s="1" t="s">
        <v>2730</v>
      </c>
      <c r="G231" s="1" t="s">
        <v>2952</v>
      </c>
      <c r="H231" s="4" t="s">
        <v>909</v>
      </c>
      <c r="I231" s="5" t="s">
        <v>2412</v>
      </c>
      <c r="J231" s="5" t="s">
        <v>24</v>
      </c>
      <c r="K231" s="5" t="s">
        <v>24</v>
      </c>
      <c r="L231" s="5" t="s">
        <v>75</v>
      </c>
      <c r="M231" s="5" t="s">
        <v>24</v>
      </c>
      <c r="N231" s="5" t="s">
        <v>24</v>
      </c>
      <c r="O231" s="5" t="s">
        <v>75</v>
      </c>
      <c r="P231" s="5" t="s">
        <v>2413</v>
      </c>
      <c r="Q231" s="2">
        <v>45968</v>
      </c>
      <c r="V231" s="45">
        <f t="shared" si="3"/>
        <v>1</v>
      </c>
      <c r="W231" s="125" t="s">
        <v>3252</v>
      </c>
    </row>
    <row r="232" spans="1:23" hidden="1">
      <c r="A232" s="2">
        <v>45903</v>
      </c>
      <c r="B232" s="1" t="s">
        <v>3253</v>
      </c>
      <c r="C232" s="1" t="s">
        <v>3254</v>
      </c>
      <c r="D232" s="1" t="s">
        <v>2570</v>
      </c>
      <c r="E232" s="1">
        <v>85326</v>
      </c>
      <c r="F232" s="1" t="s">
        <v>2730</v>
      </c>
      <c r="G232" s="1" t="s">
        <v>2952</v>
      </c>
      <c r="H232" s="67" t="s">
        <v>3255</v>
      </c>
      <c r="I232" s="5" t="s">
        <v>2412</v>
      </c>
      <c r="J232" s="5" t="s">
        <v>24</v>
      </c>
      <c r="K232" s="5" t="s">
        <v>24</v>
      </c>
      <c r="L232" s="5" t="s">
        <v>75</v>
      </c>
      <c r="M232" s="5" t="s">
        <v>24</v>
      </c>
      <c r="N232" s="5" t="s">
        <v>24</v>
      </c>
      <c r="O232" s="5" t="s">
        <v>75</v>
      </c>
      <c r="P232" s="5" t="s">
        <v>2413</v>
      </c>
      <c r="Q232" s="2">
        <v>45968</v>
      </c>
      <c r="V232" s="45">
        <f t="shared" si="3"/>
        <v>1</v>
      </c>
      <c r="W232" s="45" t="s">
        <v>3256</v>
      </c>
    </row>
    <row r="233" spans="1:23" hidden="1">
      <c r="A233" s="2">
        <v>45903</v>
      </c>
      <c r="B233" s="1" t="s">
        <v>3257</v>
      </c>
      <c r="C233" s="1" t="s">
        <v>3258</v>
      </c>
      <c r="D233" s="1" t="s">
        <v>2439</v>
      </c>
      <c r="E233" s="1">
        <v>85023</v>
      </c>
      <c r="F233" s="1" t="s">
        <v>2406</v>
      </c>
      <c r="G233" s="1" t="s">
        <v>2952</v>
      </c>
      <c r="H233" s="4" t="s">
        <v>2471</v>
      </c>
      <c r="V233" s="45">
        <f t="shared" si="3"/>
        <v>1</v>
      </c>
      <c r="W233" s="45" t="s">
        <v>3259</v>
      </c>
    </row>
    <row r="234" spans="1:23" hidden="1">
      <c r="A234" s="2">
        <v>45903</v>
      </c>
      <c r="B234" s="1" t="s">
        <v>3260</v>
      </c>
      <c r="C234" s="1" t="s">
        <v>3261</v>
      </c>
      <c r="D234" s="1" t="s">
        <v>2605</v>
      </c>
      <c r="E234" s="1">
        <v>85383</v>
      </c>
      <c r="F234" s="1" t="s">
        <v>2406</v>
      </c>
      <c r="G234" s="1" t="s">
        <v>2952</v>
      </c>
      <c r="H234" s="4" t="s">
        <v>2401</v>
      </c>
      <c r="V234" s="45">
        <f t="shared" si="3"/>
        <v>1</v>
      </c>
      <c r="W234" s="45" t="s">
        <v>3262</v>
      </c>
    </row>
    <row r="235" spans="1:23" hidden="1">
      <c r="A235" s="2">
        <v>45903</v>
      </c>
      <c r="B235" s="1" t="s">
        <v>3263</v>
      </c>
      <c r="C235" s="1" t="s">
        <v>3264</v>
      </c>
      <c r="D235" s="1" t="s">
        <v>2439</v>
      </c>
      <c r="E235" s="1">
        <v>85015</v>
      </c>
      <c r="F235" s="1" t="s">
        <v>3265</v>
      </c>
      <c r="G235" s="1" t="s">
        <v>2952</v>
      </c>
      <c r="H235" s="4" t="s">
        <v>2401</v>
      </c>
      <c r="U235" s="1" t="s">
        <v>3196</v>
      </c>
      <c r="V235" s="45">
        <f t="shared" si="3"/>
        <v>1</v>
      </c>
      <c r="W235" s="45" t="s">
        <v>3266</v>
      </c>
    </row>
    <row r="236" spans="1:23" hidden="1">
      <c r="A236" s="2">
        <v>45903</v>
      </c>
      <c r="B236" s="1" t="s">
        <v>3267</v>
      </c>
      <c r="C236" s="1" t="s">
        <v>3268</v>
      </c>
      <c r="D236" s="1" t="s">
        <v>2734</v>
      </c>
      <c r="E236" s="1">
        <v>85383</v>
      </c>
      <c r="F236" s="1" t="s">
        <v>2730</v>
      </c>
      <c r="G236" s="1" t="s">
        <v>2952</v>
      </c>
      <c r="H236" s="4" t="s">
        <v>911</v>
      </c>
      <c r="I236" s="5" t="s">
        <v>2412</v>
      </c>
      <c r="J236" s="5" t="s">
        <v>24</v>
      </c>
      <c r="K236" s="5" t="s">
        <v>24</v>
      </c>
      <c r="L236" s="5" t="s">
        <v>75</v>
      </c>
      <c r="M236" s="5" t="s">
        <v>24</v>
      </c>
      <c r="N236" s="5" t="s">
        <v>24</v>
      </c>
      <c r="O236" s="5" t="s">
        <v>75</v>
      </c>
      <c r="P236" s="5" t="s">
        <v>2413</v>
      </c>
      <c r="Q236" s="2">
        <v>45968</v>
      </c>
      <c r="V236" s="45">
        <f t="shared" si="3"/>
        <v>1</v>
      </c>
      <c r="W236" s="45" t="s">
        <v>3269</v>
      </c>
    </row>
    <row r="237" spans="1:23" hidden="1">
      <c r="A237" s="2">
        <v>45903</v>
      </c>
      <c r="B237" s="1" t="s">
        <v>3270</v>
      </c>
      <c r="C237" s="1" t="s">
        <v>3271</v>
      </c>
      <c r="D237" s="1" t="s">
        <v>2969</v>
      </c>
      <c r="E237" s="1">
        <v>85392</v>
      </c>
      <c r="F237" s="1" t="s">
        <v>3272</v>
      </c>
      <c r="G237" s="1" t="s">
        <v>2952</v>
      </c>
      <c r="H237" s="4" t="s">
        <v>2401</v>
      </c>
      <c r="V237" s="45">
        <f t="shared" si="3"/>
        <v>1</v>
      </c>
      <c r="W237" s="45" t="s">
        <v>3273</v>
      </c>
    </row>
    <row r="238" spans="1:23" hidden="1">
      <c r="A238" s="2">
        <v>45903</v>
      </c>
      <c r="B238" s="1" t="s">
        <v>3274</v>
      </c>
      <c r="C238" s="1" t="s">
        <v>3275</v>
      </c>
      <c r="D238" s="1" t="s">
        <v>2439</v>
      </c>
      <c r="E238" s="1">
        <v>85028</v>
      </c>
      <c r="F238" s="1" t="s">
        <v>2730</v>
      </c>
      <c r="G238" s="1" t="s">
        <v>2952</v>
      </c>
      <c r="H238" s="21" t="s">
        <v>3276</v>
      </c>
      <c r="I238" s="5" t="s">
        <v>2412</v>
      </c>
      <c r="J238" s="5" t="s">
        <v>24</v>
      </c>
      <c r="K238" s="5" t="s">
        <v>24</v>
      </c>
      <c r="L238" s="5" t="s">
        <v>75</v>
      </c>
      <c r="M238" s="5" t="s">
        <v>24</v>
      </c>
      <c r="N238" s="5" t="s">
        <v>24</v>
      </c>
      <c r="O238" s="5" t="s">
        <v>75</v>
      </c>
      <c r="P238" s="5" t="s">
        <v>2413</v>
      </c>
      <c r="Q238" s="2">
        <v>45968</v>
      </c>
      <c r="V238" s="45">
        <f t="shared" si="3"/>
        <v>1</v>
      </c>
      <c r="W238" s="45" t="s">
        <v>3277</v>
      </c>
    </row>
    <row r="239" spans="1:23" hidden="1">
      <c r="A239" s="2">
        <v>45903</v>
      </c>
      <c r="B239" s="1" t="s">
        <v>3278</v>
      </c>
      <c r="C239" s="1" t="s">
        <v>3279</v>
      </c>
      <c r="D239" s="1" t="s">
        <v>2605</v>
      </c>
      <c r="E239" s="1">
        <v>85383</v>
      </c>
      <c r="F239" s="1" t="s">
        <v>2730</v>
      </c>
      <c r="G239" s="1" t="s">
        <v>2952</v>
      </c>
      <c r="H239" s="4" t="s">
        <v>2401</v>
      </c>
      <c r="V239" s="45">
        <f t="shared" si="3"/>
        <v>1</v>
      </c>
      <c r="W239" s="45" t="s">
        <v>3280</v>
      </c>
    </row>
    <row r="240" spans="1:23" hidden="1">
      <c r="A240" s="2">
        <v>45903</v>
      </c>
      <c r="B240" s="1" t="s">
        <v>3281</v>
      </c>
      <c r="C240" s="1" t="s">
        <v>2792</v>
      </c>
      <c r="D240" s="1" t="s">
        <v>2513</v>
      </c>
      <c r="E240" s="1">
        <v>85258</v>
      </c>
      <c r="F240" s="1" t="s">
        <v>3282</v>
      </c>
      <c r="G240" s="1" t="s">
        <v>2952</v>
      </c>
      <c r="H240" s="4" t="s">
        <v>913</v>
      </c>
      <c r="I240" s="5" t="s">
        <v>2412</v>
      </c>
      <c r="J240" s="5" t="s">
        <v>24</v>
      </c>
      <c r="K240" s="5" t="s">
        <v>24</v>
      </c>
      <c r="L240" s="5" t="s">
        <v>75</v>
      </c>
      <c r="M240" s="5" t="s">
        <v>24</v>
      </c>
      <c r="N240" s="5" t="s">
        <v>24</v>
      </c>
      <c r="O240" s="5" t="s">
        <v>75</v>
      </c>
      <c r="P240" s="5" t="s">
        <v>2413</v>
      </c>
      <c r="Q240" s="2">
        <v>45968</v>
      </c>
      <c r="V240" s="45">
        <f t="shared" si="3"/>
        <v>1</v>
      </c>
      <c r="W240" s="45" t="s">
        <v>3283</v>
      </c>
    </row>
    <row r="241" spans="1:23" hidden="1">
      <c r="A241" s="2">
        <v>45903</v>
      </c>
      <c r="B241" s="1" t="s">
        <v>3284</v>
      </c>
      <c r="C241" s="1" t="s">
        <v>3285</v>
      </c>
      <c r="D241" s="1" t="s">
        <v>2439</v>
      </c>
      <c r="E241" s="1">
        <v>85028</v>
      </c>
      <c r="F241" s="1" t="s">
        <v>2730</v>
      </c>
      <c r="G241" s="1" t="s">
        <v>2952</v>
      </c>
      <c r="H241" s="21" t="s">
        <v>1606</v>
      </c>
      <c r="I241" s="5" t="s">
        <v>2451</v>
      </c>
      <c r="J241" s="5" t="s">
        <v>24</v>
      </c>
      <c r="K241" s="5" t="s">
        <v>24</v>
      </c>
      <c r="L241" s="5" t="s">
        <v>75</v>
      </c>
      <c r="M241" s="5" t="s">
        <v>24</v>
      </c>
      <c r="N241" s="5" t="s">
        <v>24</v>
      </c>
      <c r="O241" s="5" t="s">
        <v>75</v>
      </c>
      <c r="P241" s="5" t="s">
        <v>2413</v>
      </c>
      <c r="Q241" s="2">
        <v>45968</v>
      </c>
      <c r="V241" s="45">
        <f t="shared" si="3"/>
        <v>1</v>
      </c>
      <c r="W241" s="45" t="s">
        <v>3286</v>
      </c>
    </row>
    <row r="242" spans="1:23" hidden="1">
      <c r="A242" s="2">
        <v>45903</v>
      </c>
      <c r="B242" s="1" t="s">
        <v>3287</v>
      </c>
      <c r="C242" s="1" t="s">
        <v>3288</v>
      </c>
      <c r="D242" s="1" t="s">
        <v>2439</v>
      </c>
      <c r="E242" s="1">
        <v>85085</v>
      </c>
      <c r="F242" s="1" t="s">
        <v>3289</v>
      </c>
      <c r="G242" s="1" t="s">
        <v>2952</v>
      </c>
      <c r="H242" s="21" t="s">
        <v>3290</v>
      </c>
      <c r="I242" s="5" t="s">
        <v>2597</v>
      </c>
      <c r="J242" s="5" t="s">
        <v>24</v>
      </c>
      <c r="K242" s="5" t="s">
        <v>24</v>
      </c>
      <c r="L242" s="5" t="s">
        <v>75</v>
      </c>
      <c r="M242" s="5" t="s">
        <v>24</v>
      </c>
      <c r="N242" s="5" t="s">
        <v>24</v>
      </c>
      <c r="O242" s="5" t="s">
        <v>75</v>
      </c>
      <c r="P242" s="5" t="s">
        <v>2413</v>
      </c>
      <c r="Q242" s="2">
        <v>45968</v>
      </c>
      <c r="V242" s="45">
        <f t="shared" si="3"/>
        <v>1</v>
      </c>
      <c r="W242" s="45" t="s">
        <v>3291</v>
      </c>
    </row>
    <row r="243" spans="1:23" hidden="1">
      <c r="A243" s="2">
        <v>45903</v>
      </c>
      <c r="B243" s="1" t="s">
        <v>3292</v>
      </c>
      <c r="C243" s="1" t="s">
        <v>3293</v>
      </c>
      <c r="D243" s="1" t="s">
        <v>2564</v>
      </c>
      <c r="E243" s="1">
        <v>85338</v>
      </c>
      <c r="F243" s="1" t="s">
        <v>3294</v>
      </c>
      <c r="G243" s="1" t="s">
        <v>2952</v>
      </c>
      <c r="H243" s="4" t="s">
        <v>2401</v>
      </c>
      <c r="V243" s="45">
        <f t="shared" si="3"/>
        <v>1</v>
      </c>
      <c r="W243" s="45" t="s">
        <v>3295</v>
      </c>
    </row>
    <row r="244" spans="1:23" hidden="1">
      <c r="A244" s="2">
        <v>45903</v>
      </c>
      <c r="B244" s="1" t="s">
        <v>3296</v>
      </c>
      <c r="C244" s="1" t="s">
        <v>3297</v>
      </c>
      <c r="D244" s="1" t="s">
        <v>2564</v>
      </c>
      <c r="E244" s="1">
        <v>85338</v>
      </c>
      <c r="F244" s="1" t="s">
        <v>3298</v>
      </c>
      <c r="G244" s="1" t="s">
        <v>2952</v>
      </c>
      <c r="H244" s="21" t="s">
        <v>3299</v>
      </c>
      <c r="I244" s="5" t="s">
        <v>2988</v>
      </c>
      <c r="J244" s="5" t="s">
        <v>24</v>
      </c>
      <c r="K244" s="5" t="s">
        <v>24</v>
      </c>
      <c r="L244" s="5" t="s">
        <v>2819</v>
      </c>
      <c r="M244" s="5" t="s">
        <v>24</v>
      </c>
      <c r="N244" s="5" t="s">
        <v>24</v>
      </c>
      <c r="O244" s="5" t="s">
        <v>75</v>
      </c>
      <c r="P244" s="5" t="s">
        <v>2413</v>
      </c>
      <c r="Q244" s="2">
        <v>45968</v>
      </c>
      <c r="V244" s="45">
        <f t="shared" si="3"/>
        <v>1</v>
      </c>
      <c r="W244" s="45" t="s">
        <v>3300</v>
      </c>
    </row>
    <row r="245" spans="1:23" hidden="1">
      <c r="A245" s="2">
        <v>45903</v>
      </c>
      <c r="B245" s="1" t="s">
        <v>3301</v>
      </c>
      <c r="C245" s="1" t="s">
        <v>3302</v>
      </c>
      <c r="D245" s="1" t="s">
        <v>3303</v>
      </c>
      <c r="E245" s="1">
        <v>86303</v>
      </c>
      <c r="F245" s="1" t="s">
        <v>2730</v>
      </c>
      <c r="G245" s="1" t="s">
        <v>2952</v>
      </c>
      <c r="H245" s="21" t="s">
        <v>3304</v>
      </c>
      <c r="I245" s="5" t="s">
        <v>2451</v>
      </c>
      <c r="J245" s="5" t="s">
        <v>24</v>
      </c>
      <c r="K245" s="5" t="s">
        <v>24</v>
      </c>
      <c r="L245" s="5" t="s">
        <v>75</v>
      </c>
      <c r="M245" s="5" t="s">
        <v>24</v>
      </c>
      <c r="N245" s="5" t="s">
        <v>24</v>
      </c>
      <c r="O245" s="5" t="s">
        <v>75</v>
      </c>
      <c r="P245" s="5" t="s">
        <v>2413</v>
      </c>
      <c r="Q245" s="2">
        <v>45968</v>
      </c>
      <c r="V245" s="45">
        <f t="shared" si="3"/>
        <v>1</v>
      </c>
      <c r="W245" s="45" t="s">
        <v>3305</v>
      </c>
    </row>
    <row r="246" spans="1:23" hidden="1">
      <c r="A246" s="2">
        <v>45903</v>
      </c>
      <c r="B246" s="1" t="s">
        <v>3306</v>
      </c>
      <c r="C246" s="1" t="s">
        <v>2601</v>
      </c>
      <c r="D246" s="1" t="s">
        <v>2439</v>
      </c>
      <c r="E246" s="1">
        <v>85028</v>
      </c>
      <c r="F246" s="1" t="s">
        <v>2730</v>
      </c>
      <c r="G246" s="1" t="s">
        <v>2952</v>
      </c>
      <c r="H246" s="4" t="s">
        <v>3307</v>
      </c>
      <c r="I246" s="5" t="s">
        <v>2412</v>
      </c>
      <c r="J246" s="5" t="s">
        <v>24</v>
      </c>
      <c r="K246" s="5" t="s">
        <v>24</v>
      </c>
      <c r="L246" s="5" t="s">
        <v>75</v>
      </c>
      <c r="M246" s="5" t="s">
        <v>24</v>
      </c>
      <c r="N246" s="5" t="s">
        <v>24</v>
      </c>
      <c r="O246" s="5" t="s">
        <v>75</v>
      </c>
      <c r="P246" s="5" t="s">
        <v>2413</v>
      </c>
      <c r="Q246" s="2">
        <v>45968</v>
      </c>
      <c r="V246" s="45">
        <f t="shared" si="3"/>
        <v>1</v>
      </c>
      <c r="W246" s="45" t="s">
        <v>3308</v>
      </c>
    </row>
    <row r="247" spans="1:23" hidden="1">
      <c r="A247" s="2">
        <v>45903</v>
      </c>
      <c r="B247" s="1" t="s">
        <v>3309</v>
      </c>
      <c r="C247" s="1" t="s">
        <v>3310</v>
      </c>
      <c r="D247" s="1" t="s">
        <v>2564</v>
      </c>
      <c r="E247" s="1">
        <v>85338</v>
      </c>
      <c r="F247" s="1" t="s">
        <v>3311</v>
      </c>
      <c r="G247" s="1" t="s">
        <v>2952</v>
      </c>
      <c r="H247" s="4" t="s">
        <v>915</v>
      </c>
      <c r="I247" s="5" t="s">
        <v>2412</v>
      </c>
      <c r="J247" s="5" t="s">
        <v>24</v>
      </c>
      <c r="K247" s="5" t="s">
        <v>24</v>
      </c>
      <c r="L247" s="5" t="s">
        <v>75</v>
      </c>
      <c r="M247" s="5" t="s">
        <v>24</v>
      </c>
      <c r="N247" s="5" t="s">
        <v>24</v>
      </c>
      <c r="O247" s="5" t="s">
        <v>75</v>
      </c>
      <c r="P247" s="5" t="s">
        <v>2413</v>
      </c>
      <c r="Q247" s="2">
        <v>45968</v>
      </c>
      <c r="V247" s="45">
        <f t="shared" si="3"/>
        <v>1</v>
      </c>
      <c r="W247" s="45" t="s">
        <v>3312</v>
      </c>
    </row>
    <row r="248" spans="1:23" hidden="1">
      <c r="A248" s="2">
        <v>45903</v>
      </c>
      <c r="B248" s="1" t="s">
        <v>3313</v>
      </c>
      <c r="C248" s="1" t="s">
        <v>3314</v>
      </c>
      <c r="D248" s="1" t="s">
        <v>2439</v>
      </c>
      <c r="E248" s="1">
        <v>85013</v>
      </c>
      <c r="F248" s="1" t="s">
        <v>2730</v>
      </c>
      <c r="G248" s="1" t="s">
        <v>2952</v>
      </c>
      <c r="H248" s="4" t="s">
        <v>917</v>
      </c>
      <c r="I248" s="5" t="s">
        <v>2451</v>
      </c>
      <c r="J248" s="5" t="s">
        <v>24</v>
      </c>
      <c r="K248" s="5" t="s">
        <v>24</v>
      </c>
      <c r="L248" s="5" t="s">
        <v>75</v>
      </c>
      <c r="M248" s="5" t="s">
        <v>24</v>
      </c>
      <c r="N248" s="5" t="s">
        <v>24</v>
      </c>
      <c r="O248" s="5" t="s">
        <v>75</v>
      </c>
      <c r="P248" s="5" t="s">
        <v>2413</v>
      </c>
      <c r="Q248" s="2">
        <v>45968</v>
      </c>
      <c r="V248" s="45">
        <f t="shared" si="3"/>
        <v>1</v>
      </c>
      <c r="W248" s="45" t="s">
        <v>3315</v>
      </c>
    </row>
    <row r="249" spans="1:23" hidden="1">
      <c r="A249" s="2">
        <v>45903</v>
      </c>
      <c r="B249" s="1" t="s">
        <v>3316</v>
      </c>
      <c r="C249" s="1" t="s">
        <v>2667</v>
      </c>
      <c r="D249" s="1" t="s">
        <v>2439</v>
      </c>
      <c r="E249" s="1">
        <v>85083</v>
      </c>
      <c r="F249" s="1" t="s">
        <v>2730</v>
      </c>
      <c r="G249" s="1" t="s">
        <v>2952</v>
      </c>
      <c r="H249" s="21" t="s">
        <v>3317</v>
      </c>
      <c r="I249" s="5" t="s">
        <v>2412</v>
      </c>
      <c r="J249" s="5" t="s">
        <v>24</v>
      </c>
      <c r="K249" s="5" t="s">
        <v>24</v>
      </c>
      <c r="L249" s="5" t="s">
        <v>3318</v>
      </c>
      <c r="M249" s="5" t="s">
        <v>24</v>
      </c>
      <c r="N249" s="5" t="s">
        <v>24</v>
      </c>
      <c r="O249" s="5" t="s">
        <v>75</v>
      </c>
      <c r="P249" s="5" t="s">
        <v>2413</v>
      </c>
      <c r="Q249" s="2">
        <v>45968</v>
      </c>
      <c r="V249" s="45">
        <f t="shared" si="3"/>
        <v>1</v>
      </c>
      <c r="W249" s="45" t="s">
        <v>3319</v>
      </c>
    </row>
    <row r="250" spans="1:23" hidden="1">
      <c r="A250" s="2">
        <v>45903</v>
      </c>
      <c r="B250" s="1" t="s">
        <v>3320</v>
      </c>
      <c r="C250" s="1" t="s">
        <v>3321</v>
      </c>
      <c r="D250" s="1" t="s">
        <v>2439</v>
      </c>
      <c r="E250" s="1">
        <v>85016</v>
      </c>
      <c r="F250" s="1" t="s">
        <v>2730</v>
      </c>
      <c r="G250" s="1" t="s">
        <v>2952</v>
      </c>
      <c r="H250" s="4" t="s">
        <v>2401</v>
      </c>
      <c r="V250" s="45">
        <f t="shared" si="3"/>
        <v>1</v>
      </c>
      <c r="W250" s="45" t="s">
        <v>3322</v>
      </c>
    </row>
    <row r="251" spans="1:23" hidden="1">
      <c r="A251" s="2">
        <v>45903</v>
      </c>
      <c r="B251" s="1" t="s">
        <v>3323</v>
      </c>
      <c r="C251" s="1" t="s">
        <v>3054</v>
      </c>
      <c r="D251" s="1" t="s">
        <v>2439</v>
      </c>
      <c r="E251" s="1">
        <v>85013</v>
      </c>
      <c r="F251" s="1" t="s">
        <v>2730</v>
      </c>
      <c r="G251" s="1" t="s">
        <v>2952</v>
      </c>
      <c r="H251" s="21" t="s">
        <v>3324</v>
      </c>
      <c r="I251" s="5" t="s">
        <v>2451</v>
      </c>
      <c r="J251" s="5" t="s">
        <v>24</v>
      </c>
      <c r="K251" s="5" t="s">
        <v>24</v>
      </c>
      <c r="L251" s="5" t="s">
        <v>75</v>
      </c>
      <c r="M251" s="5" t="s">
        <v>24</v>
      </c>
      <c r="N251" s="5" t="s">
        <v>24</v>
      </c>
      <c r="O251" s="5" t="s">
        <v>75</v>
      </c>
      <c r="P251" s="5" t="s">
        <v>2413</v>
      </c>
      <c r="Q251" s="2">
        <v>45968</v>
      </c>
      <c r="V251" s="45">
        <f t="shared" si="3"/>
        <v>1</v>
      </c>
      <c r="W251" s="45" t="s">
        <v>3325</v>
      </c>
    </row>
    <row r="252" spans="1:23" hidden="1">
      <c r="A252" s="2">
        <v>45903</v>
      </c>
      <c r="B252" s="1" t="s">
        <v>3326</v>
      </c>
      <c r="C252" s="1" t="s">
        <v>3327</v>
      </c>
      <c r="D252" s="1" t="s">
        <v>2439</v>
      </c>
      <c r="E252" s="1">
        <v>85024</v>
      </c>
      <c r="F252" s="1" t="s">
        <v>2730</v>
      </c>
      <c r="G252" s="1" t="s">
        <v>2952</v>
      </c>
      <c r="H252" s="21" t="s">
        <v>3328</v>
      </c>
      <c r="I252" s="5" t="s">
        <v>2848</v>
      </c>
      <c r="J252" s="5" t="s">
        <v>24</v>
      </c>
      <c r="K252" s="5" t="s">
        <v>24</v>
      </c>
      <c r="L252" s="5" t="s">
        <v>2819</v>
      </c>
      <c r="M252" s="5" t="s">
        <v>24</v>
      </c>
      <c r="N252" s="5" t="s">
        <v>24</v>
      </c>
      <c r="O252" s="5" t="s">
        <v>75</v>
      </c>
      <c r="P252" s="5" t="s">
        <v>2413</v>
      </c>
      <c r="Q252" s="2">
        <v>45968</v>
      </c>
      <c r="V252" s="45">
        <f t="shared" si="3"/>
        <v>1</v>
      </c>
      <c r="W252" s="45" t="s">
        <v>3329</v>
      </c>
    </row>
    <row r="253" spans="1:23" hidden="1">
      <c r="A253" s="2">
        <v>45903</v>
      </c>
      <c r="B253" s="1" t="s">
        <v>3330</v>
      </c>
      <c r="C253" s="1" t="s">
        <v>3331</v>
      </c>
      <c r="D253" s="1" t="s">
        <v>2398</v>
      </c>
      <c r="E253" s="1">
        <v>85308</v>
      </c>
      <c r="F253" s="1" t="s">
        <v>2730</v>
      </c>
      <c r="G253" s="1" t="s">
        <v>2952</v>
      </c>
      <c r="H253" s="21" t="s">
        <v>3332</v>
      </c>
      <c r="I253" s="5" t="s">
        <v>2597</v>
      </c>
      <c r="J253" s="5" t="s">
        <v>24</v>
      </c>
      <c r="K253" s="5" t="s">
        <v>24</v>
      </c>
      <c r="L253" s="7" t="s">
        <v>3333</v>
      </c>
      <c r="M253" s="5" t="s">
        <v>24</v>
      </c>
      <c r="N253" s="5" t="s">
        <v>24</v>
      </c>
      <c r="O253" s="5" t="s">
        <v>75</v>
      </c>
      <c r="P253" s="2">
        <v>45933</v>
      </c>
      <c r="Q253" s="2">
        <v>45968</v>
      </c>
      <c r="R253" s="1" t="s">
        <v>3011</v>
      </c>
      <c r="V253" s="45">
        <f t="shared" si="3"/>
        <v>1</v>
      </c>
      <c r="W253" s="45" t="s">
        <v>3334</v>
      </c>
    </row>
    <row r="254" spans="1:23" hidden="1">
      <c r="A254" s="2">
        <v>45903</v>
      </c>
      <c r="B254" s="1" t="s">
        <v>3335</v>
      </c>
      <c r="C254" s="1" t="s">
        <v>3336</v>
      </c>
      <c r="D254" s="1" t="s">
        <v>2439</v>
      </c>
      <c r="E254" s="1">
        <v>85050</v>
      </c>
      <c r="F254" s="1" t="s">
        <v>2406</v>
      </c>
      <c r="G254" s="1" t="s">
        <v>2952</v>
      </c>
      <c r="H254" s="21" t="s">
        <v>3337</v>
      </c>
      <c r="I254" s="5" t="s">
        <v>2451</v>
      </c>
      <c r="J254" s="5" t="s">
        <v>24</v>
      </c>
      <c r="K254" s="5" t="s">
        <v>24</v>
      </c>
      <c r="L254" s="5" t="s">
        <v>75</v>
      </c>
      <c r="M254" s="5" t="s">
        <v>24</v>
      </c>
      <c r="N254" s="5" t="s">
        <v>24</v>
      </c>
      <c r="O254" s="5" t="s">
        <v>75</v>
      </c>
      <c r="P254" s="5" t="s">
        <v>2413</v>
      </c>
      <c r="Q254" s="2">
        <v>45968</v>
      </c>
      <c r="V254" s="45">
        <f t="shared" si="3"/>
        <v>1</v>
      </c>
      <c r="W254" s="45" t="s">
        <v>3338</v>
      </c>
    </row>
    <row r="255" spans="1:23" hidden="1">
      <c r="A255" s="2">
        <v>45903</v>
      </c>
      <c r="B255" s="1" t="s">
        <v>3107</v>
      </c>
      <c r="C255" s="1" t="s">
        <v>3339</v>
      </c>
      <c r="D255" s="1" t="s">
        <v>2439</v>
      </c>
      <c r="E255" s="1">
        <v>85029</v>
      </c>
      <c r="F255" s="1" t="s">
        <v>2406</v>
      </c>
      <c r="G255" s="1" t="s">
        <v>2952</v>
      </c>
      <c r="H255" s="21" t="s">
        <v>3340</v>
      </c>
      <c r="I255" s="5" t="s">
        <v>2412</v>
      </c>
      <c r="J255" s="5" t="s">
        <v>24</v>
      </c>
      <c r="K255" s="5" t="s">
        <v>24</v>
      </c>
      <c r="L255" s="5" t="s">
        <v>75</v>
      </c>
      <c r="M255" s="5" t="s">
        <v>24</v>
      </c>
      <c r="N255" s="5" t="s">
        <v>24</v>
      </c>
      <c r="O255" s="5" t="s">
        <v>75</v>
      </c>
      <c r="P255" s="5" t="s">
        <v>2413</v>
      </c>
      <c r="Q255" s="2">
        <v>45968</v>
      </c>
      <c r="V255" s="45">
        <f t="shared" si="3"/>
        <v>1</v>
      </c>
      <c r="W255" s="45" t="s">
        <v>3341</v>
      </c>
    </row>
    <row r="256" spans="1:23" hidden="1">
      <c r="A256" s="2">
        <v>45903</v>
      </c>
      <c r="B256" s="1" t="s">
        <v>3342</v>
      </c>
      <c r="C256" s="1" t="s">
        <v>3343</v>
      </c>
      <c r="D256" s="1" t="s">
        <v>2439</v>
      </c>
      <c r="E256" s="1">
        <v>85028</v>
      </c>
      <c r="F256" s="1" t="s">
        <v>2406</v>
      </c>
      <c r="G256" s="1" t="s">
        <v>2952</v>
      </c>
      <c r="H256" s="21" t="s">
        <v>3344</v>
      </c>
      <c r="I256" s="5" t="s">
        <v>2412</v>
      </c>
      <c r="J256" s="5" t="s">
        <v>75</v>
      </c>
      <c r="K256" s="5" t="s">
        <v>24</v>
      </c>
      <c r="L256" s="5" t="s">
        <v>75</v>
      </c>
      <c r="M256" s="5" t="s">
        <v>24</v>
      </c>
      <c r="N256" s="5" t="s">
        <v>24</v>
      </c>
      <c r="O256" s="5" t="s">
        <v>75</v>
      </c>
      <c r="P256" s="5" t="s">
        <v>2413</v>
      </c>
      <c r="Q256" s="2">
        <v>45968</v>
      </c>
      <c r="V256" s="45">
        <f t="shared" si="3"/>
        <v>1</v>
      </c>
      <c r="W256" s="45" t="s">
        <v>3345</v>
      </c>
    </row>
    <row r="257" spans="1:23" hidden="1">
      <c r="A257" s="2">
        <v>45903</v>
      </c>
      <c r="B257" s="1" t="s">
        <v>3346</v>
      </c>
      <c r="C257" s="1" t="s">
        <v>3347</v>
      </c>
      <c r="D257" s="1" t="s">
        <v>2513</v>
      </c>
      <c r="E257" s="1">
        <v>85251</v>
      </c>
      <c r="F257" s="1" t="s">
        <v>2730</v>
      </c>
      <c r="G257" s="1" t="s">
        <v>2952</v>
      </c>
      <c r="H257" s="4" t="s">
        <v>2401</v>
      </c>
      <c r="V257" s="45">
        <f t="shared" si="3"/>
        <v>1</v>
      </c>
      <c r="W257" s="45" t="s">
        <v>3348</v>
      </c>
    </row>
    <row r="258" spans="1:23" hidden="1">
      <c r="A258" s="2">
        <v>45903</v>
      </c>
      <c r="B258" s="1" t="s">
        <v>3349</v>
      </c>
      <c r="C258" s="1" t="s">
        <v>3350</v>
      </c>
      <c r="D258" s="1" t="s">
        <v>3090</v>
      </c>
      <c r="E258" s="1">
        <v>85281</v>
      </c>
      <c r="F258" s="1" t="s">
        <v>3351</v>
      </c>
      <c r="G258" s="1" t="s">
        <v>2952</v>
      </c>
      <c r="H258" s="21" t="s">
        <v>3352</v>
      </c>
      <c r="I258" s="5" t="s">
        <v>2988</v>
      </c>
      <c r="J258" s="5" t="s">
        <v>24</v>
      </c>
      <c r="K258" s="5" t="s">
        <v>24</v>
      </c>
      <c r="L258" s="5" t="s">
        <v>2819</v>
      </c>
      <c r="M258" s="5" t="s">
        <v>24</v>
      </c>
      <c r="N258" s="5" t="s">
        <v>24</v>
      </c>
      <c r="O258" s="5" t="s">
        <v>75</v>
      </c>
      <c r="P258" s="5" t="s">
        <v>2413</v>
      </c>
      <c r="Q258" s="2">
        <v>45968</v>
      </c>
      <c r="V258" s="45">
        <f t="shared" ref="V258:V321" si="4">IF(OR(ISNUMBER(SEARCH("unable to locate acct",G258)),ISNUMBER(SEARCH("unknown",G258)),ISNUMBER(SEARCH("inactive",G258)),H258=""),0,1)</f>
        <v>1</v>
      </c>
      <c r="W258" s="45" t="s">
        <v>3353</v>
      </c>
    </row>
    <row r="259" spans="1:23" hidden="1">
      <c r="A259" s="2">
        <v>45903</v>
      </c>
      <c r="B259" s="1" t="s">
        <v>3354</v>
      </c>
      <c r="C259" s="1" t="s">
        <v>2527</v>
      </c>
      <c r="D259" s="1" t="s">
        <v>2564</v>
      </c>
      <c r="E259" s="1">
        <v>85338</v>
      </c>
      <c r="F259" s="1" t="s">
        <v>3355</v>
      </c>
      <c r="G259" s="1" t="s">
        <v>2952</v>
      </c>
      <c r="H259" s="4" t="s">
        <v>122</v>
      </c>
      <c r="I259" s="5" t="s">
        <v>2597</v>
      </c>
      <c r="J259" s="5" t="s">
        <v>24</v>
      </c>
      <c r="K259" s="5" t="s">
        <v>24</v>
      </c>
      <c r="L259" s="5" t="s">
        <v>3356</v>
      </c>
      <c r="M259" s="5" t="s">
        <v>24</v>
      </c>
      <c r="N259" s="5" t="s">
        <v>24</v>
      </c>
      <c r="O259" s="5" t="s">
        <v>75</v>
      </c>
      <c r="P259" s="5" t="s">
        <v>2413</v>
      </c>
      <c r="Q259" s="2">
        <v>45968</v>
      </c>
      <c r="R259" s="1" t="s">
        <v>3357</v>
      </c>
      <c r="V259" s="45">
        <f t="shared" si="4"/>
        <v>1</v>
      </c>
      <c r="W259" s="45" t="s">
        <v>3358</v>
      </c>
    </row>
    <row r="260" spans="1:23" hidden="1">
      <c r="A260" s="2">
        <v>45903</v>
      </c>
      <c r="B260" s="1" t="s">
        <v>3359</v>
      </c>
      <c r="C260" s="1" t="s">
        <v>3360</v>
      </c>
      <c r="D260" s="1" t="s">
        <v>2439</v>
      </c>
      <c r="E260" s="1">
        <v>85016</v>
      </c>
      <c r="F260" s="1" t="s">
        <v>2406</v>
      </c>
      <c r="G260" s="1" t="s">
        <v>2952</v>
      </c>
      <c r="H260" s="21" t="s">
        <v>3361</v>
      </c>
      <c r="I260" s="5" t="s">
        <v>2432</v>
      </c>
      <c r="J260" s="5" t="s">
        <v>24</v>
      </c>
      <c r="K260" s="5" t="s">
        <v>24</v>
      </c>
      <c r="L260" s="5" t="s">
        <v>3362</v>
      </c>
      <c r="M260" s="5" t="s">
        <v>24</v>
      </c>
      <c r="N260" s="5" t="s">
        <v>24</v>
      </c>
      <c r="O260" s="5" t="s">
        <v>75</v>
      </c>
      <c r="P260" s="5" t="s">
        <v>2413</v>
      </c>
      <c r="Q260" s="2">
        <v>45968</v>
      </c>
      <c r="V260" s="45">
        <f t="shared" si="4"/>
        <v>1</v>
      </c>
      <c r="W260" s="45" t="s">
        <v>3363</v>
      </c>
    </row>
    <row r="261" spans="1:23" hidden="1">
      <c r="A261" s="2">
        <v>45903</v>
      </c>
      <c r="B261" s="1" t="s">
        <v>3364</v>
      </c>
      <c r="C261" s="1" t="s">
        <v>3365</v>
      </c>
      <c r="D261" s="1" t="s">
        <v>2439</v>
      </c>
      <c r="E261" s="1">
        <v>85028</v>
      </c>
      <c r="F261" s="1" t="s">
        <v>2730</v>
      </c>
      <c r="G261" s="1" t="s">
        <v>2952</v>
      </c>
      <c r="H261" s="21" t="s">
        <v>3366</v>
      </c>
      <c r="I261" s="5" t="s">
        <v>2412</v>
      </c>
      <c r="J261" s="5" t="s">
        <v>24</v>
      </c>
      <c r="K261" s="5" t="s">
        <v>24</v>
      </c>
      <c r="L261" s="5" t="s">
        <v>75</v>
      </c>
      <c r="M261" s="5" t="s">
        <v>24</v>
      </c>
      <c r="N261" s="5" t="s">
        <v>24</v>
      </c>
      <c r="O261" s="5" t="s">
        <v>75</v>
      </c>
      <c r="P261" s="5" t="s">
        <v>2413</v>
      </c>
      <c r="Q261" s="2">
        <v>45968</v>
      </c>
      <c r="V261" s="45">
        <f t="shared" si="4"/>
        <v>1</v>
      </c>
      <c r="W261" s="45" t="s">
        <v>3367</v>
      </c>
    </row>
    <row r="262" spans="1:23" hidden="1">
      <c r="A262" s="2">
        <v>45903</v>
      </c>
      <c r="B262" s="1" t="s">
        <v>2626</v>
      </c>
      <c r="C262" s="1" t="s">
        <v>3368</v>
      </c>
      <c r="D262" s="1" t="s">
        <v>2969</v>
      </c>
      <c r="E262" s="1">
        <v>85392</v>
      </c>
      <c r="F262" s="1" t="s">
        <v>3369</v>
      </c>
      <c r="G262" s="1" t="s">
        <v>2952</v>
      </c>
      <c r="H262" s="21" t="s">
        <v>3370</v>
      </c>
      <c r="I262" s="5" t="s">
        <v>2597</v>
      </c>
      <c r="J262" s="5" t="s">
        <v>75</v>
      </c>
      <c r="K262" s="5" t="s">
        <v>24</v>
      </c>
      <c r="L262" s="5" t="s">
        <v>75</v>
      </c>
      <c r="M262" s="5" t="s">
        <v>24</v>
      </c>
      <c r="N262" s="5" t="s">
        <v>24</v>
      </c>
      <c r="O262" s="5" t="s">
        <v>75</v>
      </c>
      <c r="P262" s="5" t="s">
        <v>2413</v>
      </c>
      <c r="Q262" s="2">
        <v>45968</v>
      </c>
      <c r="V262" s="45">
        <f t="shared" si="4"/>
        <v>1</v>
      </c>
      <c r="W262" s="45" t="s">
        <v>3371</v>
      </c>
    </row>
    <row r="263" spans="1:23" hidden="1">
      <c r="A263" s="2">
        <v>45903</v>
      </c>
      <c r="B263" s="1" t="s">
        <v>3372</v>
      </c>
      <c r="C263" s="1" t="s">
        <v>2878</v>
      </c>
      <c r="D263" s="1" t="s">
        <v>2564</v>
      </c>
      <c r="E263" s="1">
        <v>85338</v>
      </c>
      <c r="F263" s="1" t="s">
        <v>3373</v>
      </c>
      <c r="G263" s="1" t="s">
        <v>2952</v>
      </c>
      <c r="H263" s="4" t="s">
        <v>124</v>
      </c>
      <c r="I263" s="5" t="s">
        <v>2597</v>
      </c>
      <c r="J263" s="5" t="s">
        <v>24</v>
      </c>
      <c r="K263" s="5" t="s">
        <v>24</v>
      </c>
      <c r="L263" s="5" t="s">
        <v>3374</v>
      </c>
      <c r="M263" s="5" t="s">
        <v>24</v>
      </c>
      <c r="N263" s="5" t="s">
        <v>24</v>
      </c>
      <c r="O263" s="5" t="s">
        <v>75</v>
      </c>
      <c r="P263" s="5" t="s">
        <v>2413</v>
      </c>
      <c r="Q263" s="2">
        <v>45968</v>
      </c>
      <c r="V263" s="45">
        <f t="shared" si="4"/>
        <v>1</v>
      </c>
      <c r="W263" s="45" t="s">
        <v>3375</v>
      </c>
    </row>
    <row r="264" spans="1:23" hidden="1">
      <c r="A264" s="2">
        <v>45903</v>
      </c>
      <c r="B264" s="1" t="s">
        <v>3376</v>
      </c>
      <c r="C264" s="1" t="s">
        <v>3377</v>
      </c>
      <c r="D264" s="1" t="s">
        <v>2564</v>
      </c>
      <c r="E264" s="1">
        <v>85395</v>
      </c>
      <c r="F264" s="1" t="s">
        <v>3378</v>
      </c>
      <c r="G264" s="1" t="s">
        <v>2952</v>
      </c>
      <c r="H264" s="21" t="s">
        <v>3379</v>
      </c>
      <c r="I264" s="5" t="s">
        <v>2412</v>
      </c>
      <c r="J264" s="5" t="s">
        <v>24</v>
      </c>
      <c r="K264" s="5" t="s">
        <v>24</v>
      </c>
      <c r="L264" s="5" t="s">
        <v>75</v>
      </c>
      <c r="M264" s="5" t="s">
        <v>24</v>
      </c>
      <c r="N264" s="5" t="s">
        <v>24</v>
      </c>
      <c r="O264" s="5" t="s">
        <v>75</v>
      </c>
      <c r="P264" s="5" t="s">
        <v>2413</v>
      </c>
      <c r="Q264" s="2">
        <v>45968</v>
      </c>
      <c r="V264" s="45">
        <f t="shared" si="4"/>
        <v>1</v>
      </c>
      <c r="W264" s="45" t="s">
        <v>3380</v>
      </c>
    </row>
    <row r="265" spans="1:23" hidden="1">
      <c r="A265" s="2">
        <v>45903</v>
      </c>
      <c r="B265" s="1" t="s">
        <v>3381</v>
      </c>
      <c r="C265" s="1" t="s">
        <v>3382</v>
      </c>
      <c r="D265" s="1" t="s">
        <v>3383</v>
      </c>
      <c r="E265" s="1">
        <v>85086</v>
      </c>
      <c r="F265" s="1" t="s">
        <v>3282</v>
      </c>
      <c r="G265" s="1" t="s">
        <v>2952</v>
      </c>
      <c r="H265" s="21" t="s">
        <v>3384</v>
      </c>
      <c r="I265" s="5" t="s">
        <v>2412</v>
      </c>
      <c r="J265" s="5" t="s">
        <v>24</v>
      </c>
      <c r="K265" s="5" t="s">
        <v>24</v>
      </c>
      <c r="L265" s="5" t="s">
        <v>3385</v>
      </c>
      <c r="M265" s="5" t="s">
        <v>24</v>
      </c>
      <c r="N265" s="5" t="s">
        <v>24</v>
      </c>
      <c r="O265" s="5" t="s">
        <v>75</v>
      </c>
      <c r="P265" s="5" t="s">
        <v>2413</v>
      </c>
      <c r="Q265" s="2">
        <v>45968</v>
      </c>
      <c r="V265" s="45">
        <f t="shared" si="4"/>
        <v>1</v>
      </c>
      <c r="W265" s="45" t="s">
        <v>3386</v>
      </c>
    </row>
    <row r="266" spans="1:23" hidden="1">
      <c r="A266" s="2">
        <v>45903</v>
      </c>
      <c r="B266" s="1" t="s">
        <v>3387</v>
      </c>
      <c r="C266" s="1" t="s">
        <v>2899</v>
      </c>
      <c r="D266" s="1" t="s">
        <v>2439</v>
      </c>
      <c r="E266" s="1">
        <v>85024</v>
      </c>
      <c r="F266" s="1" t="s">
        <v>2730</v>
      </c>
      <c r="G266" s="1" t="s">
        <v>2952</v>
      </c>
      <c r="H266" s="67" t="s">
        <v>3388</v>
      </c>
      <c r="I266" s="5" t="s">
        <v>2597</v>
      </c>
      <c r="J266" s="5" t="s">
        <v>24</v>
      </c>
      <c r="K266" s="5" t="s">
        <v>24</v>
      </c>
      <c r="L266" s="7" t="s">
        <v>3389</v>
      </c>
      <c r="M266" s="5" t="s">
        <v>24</v>
      </c>
      <c r="N266" s="5" t="s">
        <v>24</v>
      </c>
      <c r="O266" s="5" t="s">
        <v>75</v>
      </c>
      <c r="P266" s="2">
        <v>45933</v>
      </c>
      <c r="Q266" s="2">
        <v>45968</v>
      </c>
      <c r="R266" s="1" t="s">
        <v>3011</v>
      </c>
      <c r="V266" s="45">
        <f t="shared" si="4"/>
        <v>1</v>
      </c>
      <c r="W266" s="45" t="s">
        <v>3390</v>
      </c>
    </row>
    <row r="267" spans="1:23" hidden="1">
      <c r="A267" s="2">
        <v>45903</v>
      </c>
      <c r="B267" s="1" t="s">
        <v>3391</v>
      </c>
      <c r="C267" s="1" t="s">
        <v>3392</v>
      </c>
      <c r="D267" s="1" t="s">
        <v>2564</v>
      </c>
      <c r="E267" s="1">
        <v>85338</v>
      </c>
      <c r="F267" s="1" t="s">
        <v>3393</v>
      </c>
      <c r="G267" s="1" t="s">
        <v>2952</v>
      </c>
      <c r="H267" s="21" t="s">
        <v>919</v>
      </c>
      <c r="I267" s="5" t="s">
        <v>2451</v>
      </c>
      <c r="J267" s="5" t="s">
        <v>24</v>
      </c>
      <c r="K267" s="5" t="s">
        <v>24</v>
      </c>
      <c r="L267" s="5" t="s">
        <v>75</v>
      </c>
      <c r="M267" s="5" t="s">
        <v>24</v>
      </c>
      <c r="N267" s="5" t="s">
        <v>24</v>
      </c>
      <c r="O267" s="5" t="s">
        <v>75</v>
      </c>
      <c r="P267" s="5" t="s">
        <v>2413</v>
      </c>
      <c r="Q267" s="2">
        <v>45968</v>
      </c>
      <c r="V267" s="45">
        <f t="shared" si="4"/>
        <v>1</v>
      </c>
      <c r="W267" s="45" t="s">
        <v>3394</v>
      </c>
    </row>
    <row r="268" spans="1:23" hidden="1">
      <c r="A268" s="2">
        <v>45903</v>
      </c>
      <c r="B268" s="1" t="s">
        <v>3395</v>
      </c>
      <c r="C268" s="1" t="s">
        <v>3396</v>
      </c>
      <c r="D268" s="1" t="s">
        <v>2605</v>
      </c>
      <c r="E268" s="1">
        <v>85383</v>
      </c>
      <c r="F268" s="1" t="s">
        <v>2406</v>
      </c>
      <c r="G268" s="1" t="s">
        <v>2952</v>
      </c>
      <c r="H268" s="21" t="s">
        <v>3397</v>
      </c>
      <c r="I268" s="5" t="s">
        <v>2597</v>
      </c>
      <c r="J268" s="5" t="s">
        <v>24</v>
      </c>
      <c r="K268" s="5" t="s">
        <v>24</v>
      </c>
      <c r="L268" s="5" t="s">
        <v>3398</v>
      </c>
      <c r="M268" s="5" t="s">
        <v>24</v>
      </c>
      <c r="N268" s="5" t="s">
        <v>24</v>
      </c>
      <c r="O268" s="5" t="s">
        <v>75</v>
      </c>
      <c r="P268" s="5" t="s">
        <v>2413</v>
      </c>
      <c r="Q268" s="2">
        <v>45968</v>
      </c>
      <c r="V268" s="45">
        <f t="shared" si="4"/>
        <v>1</v>
      </c>
      <c r="W268" s="45" t="s">
        <v>3399</v>
      </c>
    </row>
    <row r="269" spans="1:23" hidden="1">
      <c r="A269" s="2">
        <v>45903</v>
      </c>
      <c r="B269" s="1" t="s">
        <v>3400</v>
      </c>
      <c r="C269" s="1" t="s">
        <v>3254</v>
      </c>
      <c r="D269" s="1" t="s">
        <v>2398</v>
      </c>
      <c r="E269" s="1">
        <v>85308</v>
      </c>
      <c r="F269" s="1" t="s">
        <v>3401</v>
      </c>
      <c r="G269" s="1" t="s">
        <v>2952</v>
      </c>
      <c r="H269" s="21" t="s">
        <v>3402</v>
      </c>
      <c r="I269" s="5" t="s">
        <v>2451</v>
      </c>
      <c r="J269" s="5" t="s">
        <v>24</v>
      </c>
      <c r="K269" s="5" t="s">
        <v>24</v>
      </c>
      <c r="L269" s="5" t="s">
        <v>75</v>
      </c>
      <c r="M269" s="5" t="s">
        <v>24</v>
      </c>
      <c r="N269" s="5" t="s">
        <v>24</v>
      </c>
      <c r="O269" s="5" t="s">
        <v>75</v>
      </c>
      <c r="P269" s="5" t="s">
        <v>2413</v>
      </c>
      <c r="Q269" s="2">
        <v>45968</v>
      </c>
      <c r="V269" s="45">
        <f t="shared" si="4"/>
        <v>1</v>
      </c>
      <c r="W269" s="45" t="s">
        <v>3403</v>
      </c>
    </row>
    <row r="270" spans="1:23" hidden="1">
      <c r="A270" s="2">
        <v>45903</v>
      </c>
      <c r="B270" s="1" t="s">
        <v>3404</v>
      </c>
      <c r="C270" s="1" t="s">
        <v>3405</v>
      </c>
      <c r="D270" s="1" t="s">
        <v>2650</v>
      </c>
      <c r="E270" s="1">
        <v>85340</v>
      </c>
      <c r="F270" s="1" t="s">
        <v>2406</v>
      </c>
      <c r="G270" s="1" t="s">
        <v>2952</v>
      </c>
      <c r="H270" s="4" t="s">
        <v>921</v>
      </c>
      <c r="I270" s="5" t="s">
        <v>2451</v>
      </c>
      <c r="J270" s="5" t="s">
        <v>24</v>
      </c>
      <c r="K270" s="5" t="s">
        <v>24</v>
      </c>
      <c r="L270" s="5" t="s">
        <v>75</v>
      </c>
      <c r="M270" s="5" t="s">
        <v>24</v>
      </c>
      <c r="N270" s="5" t="s">
        <v>24</v>
      </c>
      <c r="O270" s="5" t="s">
        <v>75</v>
      </c>
      <c r="P270" s="5" t="s">
        <v>2413</v>
      </c>
      <c r="Q270" s="2">
        <v>45968</v>
      </c>
      <c r="V270" s="45">
        <f t="shared" si="4"/>
        <v>1</v>
      </c>
      <c r="W270" s="45" t="s">
        <v>3406</v>
      </c>
    </row>
    <row r="271" spans="1:23" hidden="1">
      <c r="A271" s="2">
        <v>45903</v>
      </c>
      <c r="B271" s="1" t="s">
        <v>2908</v>
      </c>
      <c r="C271" s="1" t="s">
        <v>3407</v>
      </c>
      <c r="D271" s="1" t="s">
        <v>2605</v>
      </c>
      <c r="E271" s="1">
        <v>85382</v>
      </c>
      <c r="F271" s="1" t="s">
        <v>2730</v>
      </c>
      <c r="G271" s="1" t="s">
        <v>2952</v>
      </c>
      <c r="H271" s="4" t="s">
        <v>2401</v>
      </c>
      <c r="V271" s="45">
        <f t="shared" si="4"/>
        <v>1</v>
      </c>
      <c r="W271" s="45" t="s">
        <v>3408</v>
      </c>
    </row>
    <row r="272" spans="1:23" hidden="1">
      <c r="A272" s="2">
        <v>45903</v>
      </c>
      <c r="B272" s="1" t="s">
        <v>3409</v>
      </c>
      <c r="C272" s="1" t="s">
        <v>3410</v>
      </c>
      <c r="D272" s="1" t="s">
        <v>2513</v>
      </c>
      <c r="E272" s="1">
        <v>85255</v>
      </c>
      <c r="F272" s="1" t="s">
        <v>2730</v>
      </c>
      <c r="G272" s="1" t="s">
        <v>2952</v>
      </c>
      <c r="H272" s="21" t="s">
        <v>3411</v>
      </c>
      <c r="I272" s="5" t="s">
        <v>2412</v>
      </c>
      <c r="J272" s="5" t="s">
        <v>24</v>
      </c>
      <c r="K272" s="5" t="s">
        <v>24</v>
      </c>
      <c r="L272" s="5" t="s">
        <v>75</v>
      </c>
      <c r="M272" s="5" t="s">
        <v>24</v>
      </c>
      <c r="N272" s="5" t="s">
        <v>24</v>
      </c>
      <c r="O272" s="5" t="s">
        <v>75</v>
      </c>
      <c r="P272" s="5" t="s">
        <v>2413</v>
      </c>
      <c r="Q272" s="2">
        <v>45968</v>
      </c>
      <c r="V272" s="45">
        <f t="shared" si="4"/>
        <v>1</v>
      </c>
      <c r="W272" s="45" t="s">
        <v>3412</v>
      </c>
    </row>
    <row r="273" spans="1:23" hidden="1">
      <c r="A273" s="2">
        <v>45903</v>
      </c>
      <c r="B273" s="1" t="s">
        <v>3413</v>
      </c>
      <c r="C273" s="1" t="s">
        <v>3414</v>
      </c>
      <c r="D273" s="1" t="s">
        <v>2650</v>
      </c>
      <c r="E273" s="1">
        <v>85340</v>
      </c>
      <c r="F273" s="1" t="s">
        <v>3415</v>
      </c>
      <c r="G273" s="1" t="s">
        <v>2952</v>
      </c>
      <c r="H273" s="21" t="s">
        <v>3416</v>
      </c>
      <c r="I273" s="5" t="s">
        <v>2412</v>
      </c>
      <c r="J273" s="5" t="s">
        <v>24</v>
      </c>
      <c r="K273" s="5" t="s">
        <v>24</v>
      </c>
      <c r="L273" s="5" t="s">
        <v>75</v>
      </c>
      <c r="M273" s="5" t="s">
        <v>24</v>
      </c>
      <c r="N273" s="5" t="s">
        <v>24</v>
      </c>
      <c r="O273" s="5" t="s">
        <v>75</v>
      </c>
      <c r="P273" s="5" t="s">
        <v>2413</v>
      </c>
      <c r="Q273" s="2">
        <v>45968</v>
      </c>
      <c r="V273" s="45">
        <f t="shared" si="4"/>
        <v>1</v>
      </c>
      <c r="W273" s="45" t="s">
        <v>3417</v>
      </c>
    </row>
    <row r="274" spans="1:23" hidden="1">
      <c r="A274" s="2">
        <v>45903</v>
      </c>
      <c r="B274" s="1" t="s">
        <v>3418</v>
      </c>
      <c r="C274" s="1" t="s">
        <v>3419</v>
      </c>
      <c r="D274" s="1" t="s">
        <v>2564</v>
      </c>
      <c r="E274" s="1">
        <v>85338</v>
      </c>
      <c r="F274" s="1" t="s">
        <v>3420</v>
      </c>
      <c r="G274" s="1" t="s">
        <v>2952</v>
      </c>
      <c r="H274" s="4" t="s">
        <v>2401</v>
      </c>
      <c r="V274" s="45">
        <f t="shared" si="4"/>
        <v>1</v>
      </c>
      <c r="W274" s="45" t="s">
        <v>3421</v>
      </c>
    </row>
    <row r="275" spans="1:23" hidden="1">
      <c r="A275" s="2">
        <v>45903</v>
      </c>
      <c r="B275" s="1" t="s">
        <v>3422</v>
      </c>
      <c r="C275" s="1" t="s">
        <v>3423</v>
      </c>
      <c r="D275" s="1" t="s">
        <v>2398</v>
      </c>
      <c r="E275" s="1">
        <v>85301</v>
      </c>
      <c r="F275" s="1" t="s">
        <v>2730</v>
      </c>
      <c r="G275" s="1" t="s">
        <v>2952</v>
      </c>
      <c r="H275" s="21" t="s">
        <v>3424</v>
      </c>
      <c r="I275" s="5" t="s">
        <v>2597</v>
      </c>
      <c r="J275" s="5" t="s">
        <v>24</v>
      </c>
      <c r="K275" s="5" t="s">
        <v>24</v>
      </c>
      <c r="L275" s="5" t="s">
        <v>75</v>
      </c>
      <c r="M275" s="5" t="s">
        <v>24</v>
      </c>
      <c r="N275" s="5" t="s">
        <v>24</v>
      </c>
      <c r="O275" s="5" t="s">
        <v>75</v>
      </c>
      <c r="P275" s="5" t="s">
        <v>2413</v>
      </c>
      <c r="Q275" s="2">
        <v>45968</v>
      </c>
      <c r="V275" s="45">
        <f t="shared" si="4"/>
        <v>1</v>
      </c>
      <c r="W275" s="45" t="s">
        <v>3425</v>
      </c>
    </row>
    <row r="276" spans="1:23" hidden="1">
      <c r="A276" s="2">
        <v>45903</v>
      </c>
      <c r="B276" s="1" t="s">
        <v>3426</v>
      </c>
      <c r="C276" s="1" t="s">
        <v>3427</v>
      </c>
      <c r="D276" s="1" t="s">
        <v>2498</v>
      </c>
      <c r="E276" s="1">
        <v>85388</v>
      </c>
      <c r="F276" s="1" t="s">
        <v>2730</v>
      </c>
      <c r="G276" s="1" t="s">
        <v>2952</v>
      </c>
      <c r="H276" s="21" t="s">
        <v>3428</v>
      </c>
      <c r="I276" s="5" t="s">
        <v>2412</v>
      </c>
      <c r="J276" s="5" t="s">
        <v>24</v>
      </c>
      <c r="K276" s="5" t="s">
        <v>24</v>
      </c>
      <c r="L276" s="5" t="s">
        <v>75</v>
      </c>
      <c r="M276" s="5" t="s">
        <v>24</v>
      </c>
      <c r="N276" s="5" t="s">
        <v>24</v>
      </c>
      <c r="O276" s="5" t="s">
        <v>75</v>
      </c>
      <c r="P276" s="5" t="s">
        <v>2413</v>
      </c>
      <c r="Q276" s="2">
        <v>45968</v>
      </c>
      <c r="V276" s="45">
        <f t="shared" si="4"/>
        <v>1</v>
      </c>
      <c r="W276" s="45" t="s">
        <v>3429</v>
      </c>
    </row>
    <row r="277" spans="1:23" hidden="1">
      <c r="A277" s="2">
        <v>45903</v>
      </c>
      <c r="B277" s="1" t="s">
        <v>3430</v>
      </c>
      <c r="C277" s="1" t="s">
        <v>3431</v>
      </c>
      <c r="D277" s="1" t="s">
        <v>2398</v>
      </c>
      <c r="E277" s="1">
        <v>85301</v>
      </c>
      <c r="F277" s="1" t="s">
        <v>2406</v>
      </c>
      <c r="G277" s="1" t="s">
        <v>2952</v>
      </c>
      <c r="H277" s="4" t="s">
        <v>923</v>
      </c>
      <c r="I277" s="5" t="s">
        <v>2451</v>
      </c>
      <c r="J277" s="5" t="s">
        <v>24</v>
      </c>
      <c r="K277" s="5" t="s">
        <v>24</v>
      </c>
      <c r="L277" s="5" t="s">
        <v>75</v>
      </c>
      <c r="M277" s="5" t="s">
        <v>24</v>
      </c>
      <c r="N277" s="5" t="s">
        <v>24</v>
      </c>
      <c r="O277" s="5" t="s">
        <v>75</v>
      </c>
      <c r="P277" s="5" t="s">
        <v>2413</v>
      </c>
      <c r="Q277" s="2">
        <v>45968</v>
      </c>
      <c r="V277" s="45">
        <f t="shared" si="4"/>
        <v>1</v>
      </c>
      <c r="W277" s="45" t="s">
        <v>3432</v>
      </c>
    </row>
    <row r="278" spans="1:23" hidden="1">
      <c r="A278" s="2">
        <v>45903</v>
      </c>
      <c r="B278" s="1" t="s">
        <v>3433</v>
      </c>
      <c r="C278" s="1" t="s">
        <v>3434</v>
      </c>
      <c r="D278" s="1" t="s">
        <v>2439</v>
      </c>
      <c r="E278" s="1">
        <v>85054</v>
      </c>
      <c r="F278" s="1" t="s">
        <v>2730</v>
      </c>
      <c r="G278" s="1" t="s">
        <v>2952</v>
      </c>
      <c r="H278" s="4" t="s">
        <v>2613</v>
      </c>
      <c r="V278" s="45">
        <f t="shared" si="4"/>
        <v>1</v>
      </c>
      <c r="W278" s="45" t="s">
        <v>3435</v>
      </c>
    </row>
    <row r="279" spans="1:23" hidden="1">
      <c r="A279" s="2">
        <v>45903</v>
      </c>
      <c r="B279" s="1" t="s">
        <v>3436</v>
      </c>
      <c r="C279" s="1" t="s">
        <v>3437</v>
      </c>
      <c r="D279" s="1" t="s">
        <v>3438</v>
      </c>
      <c r="E279" s="1">
        <v>85501</v>
      </c>
      <c r="F279" s="1" t="s">
        <v>2406</v>
      </c>
      <c r="G279" s="1" t="s">
        <v>2952</v>
      </c>
      <c r="H279" s="21" t="s">
        <v>3439</v>
      </c>
      <c r="I279" s="5" t="s">
        <v>2597</v>
      </c>
      <c r="J279" s="5" t="s">
        <v>24</v>
      </c>
      <c r="K279" s="5" t="s">
        <v>24</v>
      </c>
      <c r="L279" s="5" t="s">
        <v>3440</v>
      </c>
      <c r="M279" s="5" t="s">
        <v>24</v>
      </c>
      <c r="N279" s="5" t="s">
        <v>24</v>
      </c>
      <c r="O279" s="5" t="s">
        <v>75</v>
      </c>
      <c r="P279" s="5" t="s">
        <v>2413</v>
      </c>
      <c r="Q279" s="2">
        <v>45968</v>
      </c>
      <c r="V279" s="45">
        <f t="shared" si="4"/>
        <v>1</v>
      </c>
      <c r="W279" s="45" t="s">
        <v>3441</v>
      </c>
    </row>
    <row r="280" spans="1:23" hidden="1">
      <c r="A280" s="2">
        <v>45903</v>
      </c>
      <c r="B280" s="1" t="s">
        <v>3442</v>
      </c>
      <c r="C280" s="1" t="s">
        <v>3443</v>
      </c>
      <c r="D280" s="1" t="s">
        <v>2439</v>
      </c>
      <c r="E280" s="1">
        <v>85013</v>
      </c>
      <c r="F280" s="1" t="s">
        <v>2730</v>
      </c>
      <c r="G280" s="1" t="s">
        <v>2952</v>
      </c>
      <c r="H280" s="21" t="s">
        <v>3444</v>
      </c>
      <c r="I280" s="5" t="s">
        <v>2514</v>
      </c>
      <c r="J280" s="5" t="s">
        <v>24</v>
      </c>
      <c r="K280" s="5" t="s">
        <v>24</v>
      </c>
      <c r="L280" s="5" t="s">
        <v>3445</v>
      </c>
      <c r="M280" s="5" t="s">
        <v>24</v>
      </c>
      <c r="N280" s="5" t="s">
        <v>24</v>
      </c>
      <c r="O280" s="5" t="s">
        <v>75</v>
      </c>
      <c r="P280" s="5" t="s">
        <v>2413</v>
      </c>
      <c r="Q280" s="2">
        <v>45968</v>
      </c>
      <c r="V280" s="45">
        <f t="shared" si="4"/>
        <v>1</v>
      </c>
      <c r="W280" s="45" t="s">
        <v>3446</v>
      </c>
    </row>
    <row r="281" spans="1:23" hidden="1">
      <c r="A281" s="2">
        <v>45903</v>
      </c>
      <c r="B281" s="1" t="s">
        <v>3447</v>
      </c>
      <c r="C281" s="1" t="s">
        <v>3448</v>
      </c>
      <c r="D281" s="1" t="s">
        <v>2564</v>
      </c>
      <c r="E281" s="1">
        <v>85395</v>
      </c>
      <c r="F281" s="1" t="s">
        <v>2406</v>
      </c>
      <c r="G281" s="1" t="s">
        <v>2952</v>
      </c>
      <c r="H281" s="21" t="s">
        <v>3449</v>
      </c>
      <c r="I281" s="5" t="s">
        <v>2412</v>
      </c>
      <c r="J281" s="5" t="s">
        <v>24</v>
      </c>
      <c r="K281" s="5" t="s">
        <v>24</v>
      </c>
      <c r="L281" s="5" t="s">
        <v>3450</v>
      </c>
      <c r="M281" s="5" t="s">
        <v>24</v>
      </c>
      <c r="N281" s="5" t="s">
        <v>24</v>
      </c>
      <c r="O281" s="5" t="s">
        <v>75</v>
      </c>
      <c r="P281" s="5" t="s">
        <v>2413</v>
      </c>
      <c r="Q281" s="2">
        <v>45968</v>
      </c>
      <c r="V281" s="45">
        <f t="shared" si="4"/>
        <v>1</v>
      </c>
      <c r="W281" s="45" t="s">
        <v>3451</v>
      </c>
    </row>
    <row r="282" spans="1:23" hidden="1">
      <c r="A282" s="2">
        <v>45903</v>
      </c>
      <c r="B282" s="1" t="s">
        <v>3452</v>
      </c>
      <c r="C282" s="1" t="s">
        <v>3453</v>
      </c>
      <c r="D282" s="1" t="s">
        <v>2605</v>
      </c>
      <c r="E282" s="1">
        <v>85383</v>
      </c>
      <c r="F282" s="1" t="s">
        <v>2730</v>
      </c>
      <c r="G282" s="1" t="s">
        <v>2952</v>
      </c>
      <c r="H282" s="21" t="s">
        <v>3454</v>
      </c>
      <c r="I282" s="5" t="s">
        <v>2988</v>
      </c>
      <c r="J282" s="5" t="s">
        <v>24</v>
      </c>
      <c r="K282" s="5" t="s">
        <v>24</v>
      </c>
      <c r="L282" s="5" t="s">
        <v>2819</v>
      </c>
      <c r="M282" s="5" t="s">
        <v>24</v>
      </c>
      <c r="N282" s="5" t="s">
        <v>24</v>
      </c>
      <c r="O282" s="5" t="s">
        <v>75</v>
      </c>
      <c r="P282" s="5" t="s">
        <v>2413</v>
      </c>
      <c r="Q282" s="2">
        <v>45968</v>
      </c>
      <c r="V282" s="45">
        <f t="shared" si="4"/>
        <v>1</v>
      </c>
      <c r="W282" s="45" t="s">
        <v>3455</v>
      </c>
    </row>
    <row r="283" spans="1:23" hidden="1">
      <c r="A283" s="2">
        <v>45903</v>
      </c>
      <c r="B283" s="1" t="s">
        <v>3456</v>
      </c>
      <c r="C283" s="1" t="s">
        <v>3457</v>
      </c>
      <c r="D283" s="1" t="s">
        <v>2439</v>
      </c>
      <c r="E283" s="1">
        <v>85083</v>
      </c>
      <c r="F283" s="1" t="s">
        <v>2406</v>
      </c>
      <c r="G283" s="1" t="s">
        <v>2952</v>
      </c>
      <c r="H283" s="21" t="s">
        <v>3458</v>
      </c>
      <c r="I283" s="5" t="s">
        <v>2451</v>
      </c>
      <c r="J283" s="5" t="s">
        <v>24</v>
      </c>
      <c r="K283" s="5" t="s">
        <v>24</v>
      </c>
      <c r="L283" s="5" t="s">
        <v>2831</v>
      </c>
      <c r="M283" s="5" t="s">
        <v>24</v>
      </c>
      <c r="N283" s="5" t="s">
        <v>24</v>
      </c>
      <c r="O283" s="5" t="s">
        <v>75</v>
      </c>
      <c r="P283" s="5" t="s">
        <v>2413</v>
      </c>
      <c r="Q283" s="2">
        <v>45968</v>
      </c>
      <c r="V283" s="45">
        <f t="shared" si="4"/>
        <v>1</v>
      </c>
      <c r="W283" s="45" t="s">
        <v>3459</v>
      </c>
    </row>
    <row r="284" spans="1:23" hidden="1">
      <c r="A284" s="2">
        <v>45903</v>
      </c>
      <c r="B284" s="1" t="s">
        <v>3460</v>
      </c>
      <c r="C284" s="1" t="s">
        <v>3461</v>
      </c>
      <c r="D284" s="1" t="s">
        <v>2439</v>
      </c>
      <c r="E284" s="1">
        <v>85014</v>
      </c>
      <c r="F284" s="1" t="s">
        <v>2730</v>
      </c>
      <c r="G284" s="1" t="s">
        <v>2952</v>
      </c>
      <c r="H284" s="21" t="s">
        <v>3462</v>
      </c>
      <c r="I284" s="5" t="s">
        <v>2451</v>
      </c>
      <c r="J284" s="5" t="s">
        <v>24</v>
      </c>
      <c r="K284" s="5" t="s">
        <v>24</v>
      </c>
      <c r="L284" s="5" t="s">
        <v>75</v>
      </c>
      <c r="M284" s="5" t="s">
        <v>24</v>
      </c>
      <c r="N284" s="5" t="s">
        <v>24</v>
      </c>
      <c r="O284" s="5" t="s">
        <v>75</v>
      </c>
      <c r="P284" s="5" t="s">
        <v>2413</v>
      </c>
      <c r="Q284" s="2">
        <v>45968</v>
      </c>
      <c r="V284" s="45">
        <f t="shared" si="4"/>
        <v>1</v>
      </c>
      <c r="W284" s="45" t="s">
        <v>3463</v>
      </c>
    </row>
    <row r="285" spans="1:23" hidden="1">
      <c r="A285" s="2">
        <v>45903</v>
      </c>
      <c r="B285" s="1" t="s">
        <v>3464</v>
      </c>
      <c r="C285" s="1" t="s">
        <v>3465</v>
      </c>
      <c r="D285" s="1" t="s">
        <v>2605</v>
      </c>
      <c r="E285" s="1">
        <v>85382</v>
      </c>
      <c r="F285" s="1" t="s">
        <v>2730</v>
      </c>
      <c r="G285" s="1" t="s">
        <v>2952</v>
      </c>
      <c r="H285" s="4" t="s">
        <v>126</v>
      </c>
      <c r="I285" s="5" t="s">
        <v>2412</v>
      </c>
      <c r="J285" s="5" t="s">
        <v>24</v>
      </c>
      <c r="K285" s="5" t="s">
        <v>24</v>
      </c>
      <c r="L285" s="5" t="s">
        <v>3466</v>
      </c>
      <c r="M285" s="5" t="s">
        <v>24</v>
      </c>
      <c r="N285" s="5" t="s">
        <v>24</v>
      </c>
      <c r="O285" s="5" t="s">
        <v>75</v>
      </c>
      <c r="P285" s="5" t="s">
        <v>2413</v>
      </c>
      <c r="Q285" s="2">
        <v>45968</v>
      </c>
      <c r="V285" s="45">
        <f t="shared" si="4"/>
        <v>1</v>
      </c>
      <c r="W285" s="45" t="s">
        <v>3467</v>
      </c>
    </row>
    <row r="286" spans="1:23" hidden="1">
      <c r="A286" s="2">
        <v>45903</v>
      </c>
      <c r="B286" s="1" t="s">
        <v>3468</v>
      </c>
      <c r="C286" s="1" t="s">
        <v>3469</v>
      </c>
      <c r="D286" s="1" t="s">
        <v>2513</v>
      </c>
      <c r="E286" s="1">
        <v>85251</v>
      </c>
      <c r="F286" s="1" t="s">
        <v>2730</v>
      </c>
      <c r="G286" s="1" t="s">
        <v>2952</v>
      </c>
      <c r="H286" s="21" t="s">
        <v>3470</v>
      </c>
      <c r="I286" s="5" t="s">
        <v>2451</v>
      </c>
      <c r="J286" s="5" t="s">
        <v>24</v>
      </c>
      <c r="K286" s="5" t="s">
        <v>24</v>
      </c>
      <c r="L286" s="5" t="s">
        <v>75</v>
      </c>
      <c r="M286" s="5" t="s">
        <v>24</v>
      </c>
      <c r="N286" s="5" t="s">
        <v>24</v>
      </c>
      <c r="O286" s="5" t="s">
        <v>75</v>
      </c>
      <c r="P286" s="5" t="s">
        <v>2413</v>
      </c>
      <c r="Q286" s="2">
        <v>45968</v>
      </c>
      <c r="V286" s="45">
        <f t="shared" si="4"/>
        <v>1</v>
      </c>
      <c r="W286" s="45" t="s">
        <v>3471</v>
      </c>
    </row>
    <row r="287" spans="1:23" hidden="1">
      <c r="A287" s="2">
        <v>45903</v>
      </c>
      <c r="B287" s="1" t="s">
        <v>3472</v>
      </c>
      <c r="C287" s="1" t="s">
        <v>3327</v>
      </c>
      <c r="D287" s="1" t="s">
        <v>2439</v>
      </c>
      <c r="E287" s="1">
        <v>85016</v>
      </c>
      <c r="F287" s="1" t="s">
        <v>2730</v>
      </c>
      <c r="G287" s="1" t="s">
        <v>2952</v>
      </c>
      <c r="H287" s="21" t="s">
        <v>3473</v>
      </c>
      <c r="I287" s="5" t="s">
        <v>2514</v>
      </c>
      <c r="J287" s="5" t="s">
        <v>24</v>
      </c>
      <c r="K287" s="5" t="s">
        <v>24</v>
      </c>
      <c r="L287" s="5" t="s">
        <v>3474</v>
      </c>
      <c r="M287" s="5" t="s">
        <v>24</v>
      </c>
      <c r="N287" s="5" t="s">
        <v>24</v>
      </c>
      <c r="O287" s="5" t="s">
        <v>75</v>
      </c>
      <c r="P287" s="5" t="s">
        <v>2413</v>
      </c>
      <c r="Q287" s="2">
        <v>45968</v>
      </c>
      <c r="V287" s="45">
        <f t="shared" si="4"/>
        <v>1</v>
      </c>
      <c r="W287" s="45" t="s">
        <v>3475</v>
      </c>
    </row>
    <row r="288" spans="1:23" hidden="1">
      <c r="A288" s="2">
        <v>45903</v>
      </c>
      <c r="B288" s="1" t="s">
        <v>2972</v>
      </c>
      <c r="C288" s="1" t="s">
        <v>2518</v>
      </c>
      <c r="D288" s="1" t="s">
        <v>2564</v>
      </c>
      <c r="E288" s="1">
        <v>85338</v>
      </c>
      <c r="F288" s="1" t="s">
        <v>2406</v>
      </c>
      <c r="G288" s="1" t="s">
        <v>2952</v>
      </c>
      <c r="H288" s="4" t="s">
        <v>2613</v>
      </c>
      <c r="V288" s="45">
        <f t="shared" si="4"/>
        <v>1</v>
      </c>
      <c r="W288" s="45" t="s">
        <v>3476</v>
      </c>
    </row>
    <row r="289" spans="1:23" hidden="1">
      <c r="A289" s="2">
        <v>45903</v>
      </c>
      <c r="B289" s="1" t="s">
        <v>2705</v>
      </c>
      <c r="C289" s="1" t="s">
        <v>3477</v>
      </c>
      <c r="D289" s="1" t="s">
        <v>2439</v>
      </c>
      <c r="E289" s="1">
        <v>85013</v>
      </c>
      <c r="F289" s="1" t="s">
        <v>2730</v>
      </c>
      <c r="G289" s="1" t="s">
        <v>2952</v>
      </c>
      <c r="H289" s="21" t="s">
        <v>3478</v>
      </c>
      <c r="I289" s="5" t="s">
        <v>2451</v>
      </c>
      <c r="J289" s="5" t="s">
        <v>24</v>
      </c>
      <c r="K289" s="5" t="s">
        <v>24</v>
      </c>
      <c r="L289" s="5" t="s">
        <v>75</v>
      </c>
      <c r="M289" s="5" t="s">
        <v>24</v>
      </c>
      <c r="N289" s="5" t="s">
        <v>24</v>
      </c>
      <c r="O289" s="5" t="s">
        <v>75</v>
      </c>
      <c r="P289" s="5" t="s">
        <v>2413</v>
      </c>
      <c r="Q289" s="2">
        <v>45968</v>
      </c>
      <c r="V289" s="45">
        <f t="shared" si="4"/>
        <v>1</v>
      </c>
      <c r="W289" s="45" t="s">
        <v>3479</v>
      </c>
    </row>
    <row r="290" spans="1:23" hidden="1">
      <c r="A290" s="2">
        <v>45903</v>
      </c>
      <c r="B290" s="1" t="s">
        <v>3480</v>
      </c>
      <c r="C290" s="1" t="s">
        <v>3481</v>
      </c>
      <c r="D290" s="1" t="s">
        <v>2439</v>
      </c>
      <c r="E290" s="1">
        <v>85028</v>
      </c>
      <c r="F290" s="1" t="s">
        <v>2730</v>
      </c>
      <c r="G290" s="1" t="s">
        <v>2952</v>
      </c>
      <c r="H290" s="21" t="s">
        <v>3482</v>
      </c>
      <c r="I290" s="5" t="s">
        <v>2597</v>
      </c>
      <c r="J290" s="5" t="s">
        <v>24</v>
      </c>
      <c r="K290" s="5" t="s">
        <v>24</v>
      </c>
      <c r="L290" s="5" t="s">
        <v>3483</v>
      </c>
      <c r="M290" s="5" t="s">
        <v>24</v>
      </c>
      <c r="N290" s="5" t="s">
        <v>24</v>
      </c>
      <c r="O290" s="5" t="s">
        <v>75</v>
      </c>
      <c r="P290" s="5" t="s">
        <v>2413</v>
      </c>
      <c r="Q290" s="2">
        <v>45968</v>
      </c>
      <c r="V290" s="45">
        <f t="shared" si="4"/>
        <v>1</v>
      </c>
      <c r="W290" s="45" t="s">
        <v>3484</v>
      </c>
    </row>
    <row r="291" spans="1:23" hidden="1">
      <c r="A291" s="2">
        <v>45903</v>
      </c>
      <c r="B291" s="1" t="s">
        <v>2573</v>
      </c>
      <c r="C291" s="1" t="s">
        <v>3423</v>
      </c>
      <c r="D291" s="1" t="s">
        <v>2564</v>
      </c>
      <c r="E291" s="1">
        <v>85338</v>
      </c>
      <c r="F291" s="1" t="s">
        <v>2963</v>
      </c>
      <c r="G291" s="1" t="s">
        <v>2952</v>
      </c>
      <c r="H291" s="4" t="s">
        <v>2613</v>
      </c>
      <c r="V291" s="45">
        <f t="shared" si="4"/>
        <v>1</v>
      </c>
      <c r="W291" s="45" t="s">
        <v>3485</v>
      </c>
    </row>
    <row r="292" spans="1:23" hidden="1">
      <c r="A292" s="2">
        <v>45903</v>
      </c>
      <c r="B292" s="1" t="s">
        <v>3486</v>
      </c>
      <c r="C292" s="1" t="s">
        <v>2636</v>
      </c>
      <c r="D292" s="1" t="s">
        <v>2605</v>
      </c>
      <c r="E292" s="1">
        <v>85381</v>
      </c>
      <c r="F292" s="1" t="s">
        <v>2406</v>
      </c>
      <c r="G292" s="1" t="s">
        <v>2952</v>
      </c>
      <c r="H292" s="21" t="s">
        <v>3487</v>
      </c>
      <c r="I292" s="5" t="s">
        <v>2412</v>
      </c>
      <c r="J292" s="5" t="s">
        <v>24</v>
      </c>
      <c r="K292" s="5" t="s">
        <v>24</v>
      </c>
      <c r="L292" s="5" t="s">
        <v>75</v>
      </c>
      <c r="M292" s="5" t="s">
        <v>24</v>
      </c>
      <c r="N292" s="5" t="s">
        <v>24</v>
      </c>
      <c r="O292" s="5" t="s">
        <v>75</v>
      </c>
      <c r="P292" s="5" t="s">
        <v>2413</v>
      </c>
      <c r="Q292" s="2">
        <v>45968</v>
      </c>
      <c r="V292" s="45">
        <f t="shared" si="4"/>
        <v>1</v>
      </c>
      <c r="W292" s="45" t="s">
        <v>3488</v>
      </c>
    </row>
    <row r="293" spans="1:23" hidden="1">
      <c r="A293" s="2">
        <v>45903</v>
      </c>
      <c r="B293" s="1" t="s">
        <v>3489</v>
      </c>
      <c r="C293" s="1" t="s">
        <v>3490</v>
      </c>
      <c r="D293" s="1" t="s">
        <v>2498</v>
      </c>
      <c r="E293" s="1">
        <v>85388</v>
      </c>
      <c r="F293" s="1" t="s">
        <v>2730</v>
      </c>
      <c r="G293" s="1" t="s">
        <v>2952</v>
      </c>
      <c r="H293" s="21" t="s">
        <v>3491</v>
      </c>
      <c r="I293" s="5" t="s">
        <v>2848</v>
      </c>
      <c r="J293" s="5" t="s">
        <v>24</v>
      </c>
      <c r="K293" s="5" t="s">
        <v>24</v>
      </c>
      <c r="L293" s="5" t="s">
        <v>2819</v>
      </c>
      <c r="M293" s="5" t="s">
        <v>24</v>
      </c>
      <c r="N293" s="5" t="s">
        <v>24</v>
      </c>
      <c r="O293" s="5" t="s">
        <v>75</v>
      </c>
      <c r="P293" s="5" t="s">
        <v>2413</v>
      </c>
      <c r="Q293" s="2">
        <v>45968</v>
      </c>
      <c r="V293" s="45">
        <f t="shared" si="4"/>
        <v>1</v>
      </c>
      <c r="W293" s="45" t="s">
        <v>3492</v>
      </c>
    </row>
    <row r="294" spans="1:23" hidden="1">
      <c r="A294" s="2">
        <v>45903</v>
      </c>
      <c r="B294" s="1" t="s">
        <v>3493</v>
      </c>
      <c r="C294" s="1" t="s">
        <v>3494</v>
      </c>
      <c r="D294" s="1" t="s">
        <v>2513</v>
      </c>
      <c r="E294" s="1">
        <v>85254</v>
      </c>
      <c r="F294" s="1" t="s">
        <v>2406</v>
      </c>
      <c r="G294" s="1" t="s">
        <v>2952</v>
      </c>
      <c r="H294" s="21" t="s">
        <v>3495</v>
      </c>
      <c r="I294" s="5" t="s">
        <v>2597</v>
      </c>
      <c r="J294" s="5" t="s">
        <v>24</v>
      </c>
      <c r="K294" s="5" t="s">
        <v>24</v>
      </c>
      <c r="L294" s="5" t="s">
        <v>75</v>
      </c>
      <c r="M294" s="5" t="s">
        <v>24</v>
      </c>
      <c r="N294" s="5" t="s">
        <v>24</v>
      </c>
      <c r="O294" s="5" t="s">
        <v>75</v>
      </c>
      <c r="P294" s="5" t="s">
        <v>2413</v>
      </c>
      <c r="Q294" s="2">
        <v>45968</v>
      </c>
      <c r="V294" s="45">
        <f t="shared" si="4"/>
        <v>1</v>
      </c>
      <c r="W294" s="45" t="s">
        <v>3496</v>
      </c>
    </row>
    <row r="295" spans="1:23" hidden="1">
      <c r="A295" s="2">
        <v>45903</v>
      </c>
      <c r="B295" s="1" t="s">
        <v>3497</v>
      </c>
      <c r="C295" s="1" t="s">
        <v>3396</v>
      </c>
      <c r="D295" s="1" t="s">
        <v>2605</v>
      </c>
      <c r="E295" s="1">
        <v>85383</v>
      </c>
      <c r="F295" s="1" t="s">
        <v>2730</v>
      </c>
      <c r="G295" s="1" t="s">
        <v>2952</v>
      </c>
      <c r="H295" s="4" t="s">
        <v>2401</v>
      </c>
      <c r="V295" s="45">
        <f t="shared" si="4"/>
        <v>1</v>
      </c>
      <c r="W295" s="45" t="s">
        <v>3498</v>
      </c>
    </row>
    <row r="296" spans="1:23" hidden="1">
      <c r="A296" s="2">
        <v>45903</v>
      </c>
      <c r="B296" s="1" t="s">
        <v>2554</v>
      </c>
      <c r="C296" s="1" t="s">
        <v>3499</v>
      </c>
      <c r="D296" s="1" t="s">
        <v>2650</v>
      </c>
      <c r="E296" s="1">
        <v>85340</v>
      </c>
      <c r="F296" s="1" t="s">
        <v>3500</v>
      </c>
      <c r="G296" s="1" t="s">
        <v>2952</v>
      </c>
      <c r="H296" s="4" t="s">
        <v>2401</v>
      </c>
      <c r="V296" s="45">
        <f t="shared" si="4"/>
        <v>1</v>
      </c>
      <c r="W296" s="45" t="s">
        <v>3501</v>
      </c>
    </row>
    <row r="297" spans="1:23" hidden="1">
      <c r="A297" s="2">
        <v>45903</v>
      </c>
      <c r="B297" s="1" t="s">
        <v>3502</v>
      </c>
      <c r="C297" s="1" t="s">
        <v>2784</v>
      </c>
      <c r="D297" s="1" t="s">
        <v>2605</v>
      </c>
      <c r="E297" s="1">
        <v>85382</v>
      </c>
      <c r="F297" s="1" t="s">
        <v>3503</v>
      </c>
      <c r="G297" s="1" t="s">
        <v>2952</v>
      </c>
      <c r="H297" s="21" t="s">
        <v>3504</v>
      </c>
      <c r="I297" s="5" t="s">
        <v>2988</v>
      </c>
      <c r="J297" s="5" t="s">
        <v>24</v>
      </c>
      <c r="K297" s="5" t="s">
        <v>24</v>
      </c>
      <c r="L297" s="5" t="s">
        <v>2819</v>
      </c>
      <c r="M297" s="5" t="s">
        <v>24</v>
      </c>
      <c r="N297" s="5" t="s">
        <v>24</v>
      </c>
      <c r="O297" s="5" t="s">
        <v>75</v>
      </c>
      <c r="P297" s="5" t="s">
        <v>2413</v>
      </c>
      <c r="Q297" s="2">
        <v>45968</v>
      </c>
      <c r="V297" s="45">
        <f t="shared" si="4"/>
        <v>1</v>
      </c>
      <c r="W297" s="45" t="s">
        <v>3505</v>
      </c>
    </row>
    <row r="298" spans="1:23" hidden="1">
      <c r="A298" s="2">
        <v>45903</v>
      </c>
      <c r="B298" s="1" t="s">
        <v>2526</v>
      </c>
      <c r="C298" s="1" t="s">
        <v>3270</v>
      </c>
      <c r="D298" s="1" t="s">
        <v>2650</v>
      </c>
      <c r="E298" s="1">
        <v>85340</v>
      </c>
      <c r="F298" s="1" t="s">
        <v>2406</v>
      </c>
      <c r="G298" s="1" t="s">
        <v>2952</v>
      </c>
      <c r="H298" s="21" t="s">
        <v>3506</v>
      </c>
      <c r="I298" s="5" t="s">
        <v>2848</v>
      </c>
      <c r="J298" s="5" t="s">
        <v>24</v>
      </c>
      <c r="K298" s="5" t="s">
        <v>24</v>
      </c>
      <c r="L298" s="5" t="s">
        <v>2819</v>
      </c>
      <c r="M298" s="5" t="s">
        <v>24</v>
      </c>
      <c r="N298" s="5" t="s">
        <v>24</v>
      </c>
      <c r="O298" s="5" t="s">
        <v>75</v>
      </c>
      <c r="P298" s="5" t="s">
        <v>2413</v>
      </c>
      <c r="Q298" s="2">
        <v>45968</v>
      </c>
      <c r="V298" s="45">
        <f t="shared" si="4"/>
        <v>1</v>
      </c>
      <c r="W298" s="45" t="s">
        <v>3507</v>
      </c>
    </row>
    <row r="299" spans="1:23" hidden="1">
      <c r="A299" s="2">
        <v>45903</v>
      </c>
      <c r="B299" s="1" t="s">
        <v>3508</v>
      </c>
      <c r="C299" s="1" t="s">
        <v>3509</v>
      </c>
      <c r="D299" s="1" t="s">
        <v>2513</v>
      </c>
      <c r="E299" s="1">
        <v>85251</v>
      </c>
      <c r="F299" s="1" t="s">
        <v>2730</v>
      </c>
      <c r="G299" s="1" t="s">
        <v>2952</v>
      </c>
      <c r="H299" s="21" t="s">
        <v>3510</v>
      </c>
      <c r="I299" s="5" t="s">
        <v>2514</v>
      </c>
      <c r="J299" s="5" t="s">
        <v>24</v>
      </c>
      <c r="K299" s="5" t="s">
        <v>24</v>
      </c>
      <c r="L299" s="7" t="s">
        <v>3511</v>
      </c>
      <c r="M299" s="5" t="s">
        <v>24</v>
      </c>
      <c r="N299" s="5" t="s">
        <v>24</v>
      </c>
      <c r="O299" s="5" t="s">
        <v>75</v>
      </c>
      <c r="P299" s="2">
        <v>45933</v>
      </c>
      <c r="Q299" s="2">
        <v>45967</v>
      </c>
      <c r="R299" s="1" t="s">
        <v>3512</v>
      </c>
      <c r="V299" s="45">
        <f t="shared" si="4"/>
        <v>1</v>
      </c>
      <c r="W299" s="45" t="s">
        <v>3513</v>
      </c>
    </row>
    <row r="300" spans="1:23" hidden="1">
      <c r="A300" s="2">
        <v>45903</v>
      </c>
      <c r="B300" s="1" t="s">
        <v>3514</v>
      </c>
      <c r="C300" s="1" t="s">
        <v>3136</v>
      </c>
      <c r="D300" s="1" t="s">
        <v>2605</v>
      </c>
      <c r="E300" s="1">
        <v>85383</v>
      </c>
      <c r="F300" s="1" t="s">
        <v>2730</v>
      </c>
      <c r="G300" s="1" t="s">
        <v>2952</v>
      </c>
      <c r="H300" s="21" t="s">
        <v>3515</v>
      </c>
      <c r="I300" s="5" t="s">
        <v>2412</v>
      </c>
      <c r="J300" s="5" t="s">
        <v>24</v>
      </c>
      <c r="K300" s="5" t="s">
        <v>24</v>
      </c>
      <c r="L300" s="5" t="s">
        <v>75</v>
      </c>
      <c r="M300" s="5" t="s">
        <v>24</v>
      </c>
      <c r="N300" s="5" t="s">
        <v>24</v>
      </c>
      <c r="O300" s="5" t="s">
        <v>75</v>
      </c>
      <c r="P300" s="5" t="s">
        <v>2413</v>
      </c>
      <c r="Q300" s="2">
        <v>45967</v>
      </c>
      <c r="V300" s="45">
        <f t="shared" si="4"/>
        <v>1</v>
      </c>
      <c r="W300" s="45" t="s">
        <v>3516</v>
      </c>
    </row>
    <row r="301" spans="1:23" hidden="1">
      <c r="A301" s="2">
        <v>45903</v>
      </c>
      <c r="B301" s="1" t="s">
        <v>3517</v>
      </c>
      <c r="C301" s="1" t="s">
        <v>2612</v>
      </c>
      <c r="D301" s="1" t="s">
        <v>2674</v>
      </c>
      <c r="E301" s="1">
        <v>86314</v>
      </c>
      <c r="F301" s="1" t="s">
        <v>2406</v>
      </c>
      <c r="G301" s="1" t="s">
        <v>2952</v>
      </c>
      <c r="H301" s="21" t="s">
        <v>3518</v>
      </c>
      <c r="I301" s="5" t="s">
        <v>2514</v>
      </c>
      <c r="J301" s="5" t="s">
        <v>24</v>
      </c>
      <c r="K301" s="5" t="s">
        <v>24</v>
      </c>
      <c r="L301" s="5" t="s">
        <v>3519</v>
      </c>
      <c r="M301" s="5" t="s">
        <v>24</v>
      </c>
      <c r="N301" s="5" t="s">
        <v>24</v>
      </c>
      <c r="O301" s="5" t="s">
        <v>75</v>
      </c>
      <c r="P301" s="5" t="s">
        <v>2413</v>
      </c>
      <c r="Q301" s="2">
        <v>45967</v>
      </c>
      <c r="R301" s="1" t="s">
        <v>3520</v>
      </c>
      <c r="V301" s="45">
        <f t="shared" si="4"/>
        <v>1</v>
      </c>
      <c r="W301" s="45" t="s">
        <v>3521</v>
      </c>
    </row>
    <row r="302" spans="1:23" hidden="1">
      <c r="A302" s="2">
        <v>45903</v>
      </c>
      <c r="B302" s="1" t="s">
        <v>3522</v>
      </c>
      <c r="C302" s="1" t="s">
        <v>2677</v>
      </c>
      <c r="D302" s="1" t="s">
        <v>2564</v>
      </c>
      <c r="E302" s="1">
        <v>85395</v>
      </c>
      <c r="F302" s="1" t="s">
        <v>3523</v>
      </c>
      <c r="G302" s="1" t="s">
        <v>2952</v>
      </c>
      <c r="H302" s="21" t="s">
        <v>939</v>
      </c>
      <c r="I302" s="5" t="s">
        <v>2597</v>
      </c>
      <c r="J302" s="5" t="s">
        <v>24</v>
      </c>
      <c r="K302" s="5" t="s">
        <v>24</v>
      </c>
      <c r="L302" s="5" t="s">
        <v>75</v>
      </c>
      <c r="M302" s="5" t="s">
        <v>24</v>
      </c>
      <c r="N302" s="5" t="s">
        <v>24</v>
      </c>
      <c r="O302" s="5" t="s">
        <v>75</v>
      </c>
      <c r="P302" s="5" t="s">
        <v>2413</v>
      </c>
      <c r="Q302" s="2">
        <v>45967</v>
      </c>
      <c r="V302" s="45">
        <f t="shared" si="4"/>
        <v>1</v>
      </c>
      <c r="W302" s="45" t="s">
        <v>3524</v>
      </c>
    </row>
    <row r="303" spans="1:23" hidden="1">
      <c r="A303" s="2">
        <v>45903</v>
      </c>
      <c r="B303" s="1" t="s">
        <v>2526</v>
      </c>
      <c r="C303" s="1" t="s">
        <v>3254</v>
      </c>
      <c r="D303" s="1" t="s">
        <v>2650</v>
      </c>
      <c r="E303" s="1">
        <v>85340</v>
      </c>
      <c r="F303" s="1" t="s">
        <v>2406</v>
      </c>
      <c r="G303" s="1" t="s">
        <v>2952</v>
      </c>
      <c r="H303" s="21" t="s">
        <v>3525</v>
      </c>
      <c r="I303" s="5" t="s">
        <v>2652</v>
      </c>
      <c r="J303" s="5" t="s">
        <v>24</v>
      </c>
      <c r="K303" s="5" t="s">
        <v>24</v>
      </c>
      <c r="L303" s="5" t="s">
        <v>2819</v>
      </c>
      <c r="M303" s="5" t="s">
        <v>24</v>
      </c>
      <c r="N303" s="5" t="s">
        <v>24</v>
      </c>
      <c r="O303" s="5" t="s">
        <v>75</v>
      </c>
      <c r="P303" s="5" t="s">
        <v>2413</v>
      </c>
      <c r="Q303" s="2">
        <v>45967</v>
      </c>
      <c r="V303" s="45">
        <f t="shared" si="4"/>
        <v>1</v>
      </c>
      <c r="W303" s="45" t="s">
        <v>3526</v>
      </c>
    </row>
    <row r="304" spans="1:23" hidden="1">
      <c r="A304" s="2">
        <v>45903</v>
      </c>
      <c r="B304" s="1" t="s">
        <v>3527</v>
      </c>
      <c r="C304" s="1" t="s">
        <v>2875</v>
      </c>
      <c r="D304" s="1" t="s">
        <v>2439</v>
      </c>
      <c r="E304" s="1">
        <v>85028</v>
      </c>
      <c r="F304" s="1" t="s">
        <v>2730</v>
      </c>
      <c r="G304" s="1" t="s">
        <v>2952</v>
      </c>
      <c r="H304" s="4" t="s">
        <v>2401</v>
      </c>
      <c r="V304" s="45">
        <f t="shared" si="4"/>
        <v>1</v>
      </c>
      <c r="W304" s="45" t="s">
        <v>3528</v>
      </c>
    </row>
    <row r="305" spans="1:23" hidden="1">
      <c r="A305" s="2">
        <v>45903</v>
      </c>
      <c r="B305" s="1" t="s">
        <v>3529</v>
      </c>
      <c r="C305" s="1" t="s">
        <v>3530</v>
      </c>
      <c r="D305" s="1" t="s">
        <v>2564</v>
      </c>
      <c r="E305" s="1">
        <v>85338</v>
      </c>
      <c r="F305" s="1" t="s">
        <v>3531</v>
      </c>
      <c r="G305" s="1" t="s">
        <v>2952</v>
      </c>
      <c r="H305" s="21" t="s">
        <v>3532</v>
      </c>
      <c r="I305" s="5" t="s">
        <v>2848</v>
      </c>
      <c r="J305" s="5" t="s">
        <v>24</v>
      </c>
      <c r="K305" s="5" t="s">
        <v>24</v>
      </c>
      <c r="L305" s="5" t="s">
        <v>2819</v>
      </c>
      <c r="M305" s="5" t="s">
        <v>24</v>
      </c>
      <c r="N305" s="5" t="s">
        <v>24</v>
      </c>
      <c r="O305" s="5" t="s">
        <v>75</v>
      </c>
      <c r="P305" s="5" t="s">
        <v>2413</v>
      </c>
      <c r="Q305" s="2">
        <v>45967</v>
      </c>
      <c r="V305" s="45">
        <f t="shared" si="4"/>
        <v>1</v>
      </c>
      <c r="W305" s="45" t="s">
        <v>3533</v>
      </c>
    </row>
    <row r="306" spans="1:23" hidden="1">
      <c r="A306" s="2">
        <v>45903</v>
      </c>
      <c r="B306" s="1" t="s">
        <v>3330</v>
      </c>
      <c r="C306" s="1" t="s">
        <v>3534</v>
      </c>
      <c r="D306" s="1" t="s">
        <v>2605</v>
      </c>
      <c r="E306" s="1">
        <v>85383</v>
      </c>
      <c r="F306" s="1" t="s">
        <v>2406</v>
      </c>
      <c r="G306" s="1" t="s">
        <v>2952</v>
      </c>
      <c r="H306" s="4" t="s">
        <v>2401</v>
      </c>
      <c r="V306" s="45">
        <f t="shared" si="4"/>
        <v>1</v>
      </c>
      <c r="W306" s="45" t="s">
        <v>3535</v>
      </c>
    </row>
    <row r="307" spans="1:23" hidden="1">
      <c r="A307" s="2">
        <v>45903</v>
      </c>
      <c r="B307" s="1" t="s">
        <v>3116</v>
      </c>
      <c r="C307" s="1" t="s">
        <v>2417</v>
      </c>
      <c r="D307" s="1" t="s">
        <v>2564</v>
      </c>
      <c r="E307" s="1">
        <v>85395</v>
      </c>
      <c r="F307" s="1" t="s">
        <v>2406</v>
      </c>
      <c r="G307" s="1" t="s">
        <v>2952</v>
      </c>
      <c r="H307" s="21" t="s">
        <v>3536</v>
      </c>
      <c r="I307" s="5" t="s">
        <v>2988</v>
      </c>
      <c r="J307" s="5" t="s">
        <v>24</v>
      </c>
      <c r="K307" s="5" t="s">
        <v>24</v>
      </c>
      <c r="L307" s="5" t="s">
        <v>2819</v>
      </c>
      <c r="M307" s="5" t="s">
        <v>24</v>
      </c>
      <c r="N307" s="5" t="s">
        <v>24</v>
      </c>
      <c r="O307" s="5" t="s">
        <v>75</v>
      </c>
      <c r="P307" s="5" t="s">
        <v>2413</v>
      </c>
      <c r="Q307" s="2">
        <v>45967</v>
      </c>
      <c r="V307" s="45">
        <f t="shared" si="4"/>
        <v>1</v>
      </c>
      <c r="W307" s="45" t="s">
        <v>3537</v>
      </c>
    </row>
    <row r="308" spans="1:23" hidden="1">
      <c r="A308" s="2">
        <v>45903</v>
      </c>
      <c r="B308" s="1" t="s">
        <v>3538</v>
      </c>
      <c r="C308" s="1" t="s">
        <v>3539</v>
      </c>
      <c r="D308" s="1" t="s">
        <v>2518</v>
      </c>
      <c r="E308" s="1">
        <v>85298</v>
      </c>
      <c r="F308" s="1" t="s">
        <v>2730</v>
      </c>
      <c r="G308" s="1" t="s">
        <v>2952</v>
      </c>
      <c r="H308" s="4" t="s">
        <v>2401</v>
      </c>
      <c r="V308" s="45">
        <f t="shared" si="4"/>
        <v>1</v>
      </c>
      <c r="W308" s="45" t="s">
        <v>3540</v>
      </c>
    </row>
    <row r="309" spans="1:23" hidden="1">
      <c r="A309" s="2">
        <v>45903</v>
      </c>
      <c r="B309" s="1" t="s">
        <v>3541</v>
      </c>
      <c r="C309" s="1" t="s">
        <v>3434</v>
      </c>
      <c r="D309" s="1" t="s">
        <v>2439</v>
      </c>
      <c r="E309" s="1">
        <v>85004</v>
      </c>
      <c r="F309" s="1" t="s">
        <v>2730</v>
      </c>
      <c r="G309" s="1" t="s">
        <v>2952</v>
      </c>
      <c r="H309" s="21" t="s">
        <v>3542</v>
      </c>
      <c r="I309" s="5" t="s">
        <v>2514</v>
      </c>
      <c r="J309" s="5" t="s">
        <v>75</v>
      </c>
      <c r="K309" s="5" t="s">
        <v>24</v>
      </c>
      <c r="L309" s="5" t="s">
        <v>75</v>
      </c>
      <c r="M309" s="5" t="s">
        <v>24</v>
      </c>
      <c r="N309" s="5" t="s">
        <v>24</v>
      </c>
      <c r="O309" s="5" t="s">
        <v>75</v>
      </c>
      <c r="P309" s="5" t="s">
        <v>2413</v>
      </c>
      <c r="Q309" s="2">
        <v>45967</v>
      </c>
      <c r="V309" s="45">
        <f t="shared" si="4"/>
        <v>1</v>
      </c>
      <c r="W309" s="45" t="s">
        <v>3543</v>
      </c>
    </row>
    <row r="310" spans="1:23" hidden="1">
      <c r="A310" s="2">
        <v>45903</v>
      </c>
      <c r="B310" s="1" t="s">
        <v>3544</v>
      </c>
      <c r="C310" s="1" t="s">
        <v>3545</v>
      </c>
      <c r="D310" s="1" t="s">
        <v>2439</v>
      </c>
      <c r="E310" s="1">
        <v>85012</v>
      </c>
      <c r="F310" s="1" t="s">
        <v>3546</v>
      </c>
      <c r="G310" s="1" t="s">
        <v>2952</v>
      </c>
      <c r="H310" s="21" t="s">
        <v>3547</v>
      </c>
      <c r="I310" s="5" t="s">
        <v>2412</v>
      </c>
      <c r="J310" s="5" t="s">
        <v>24</v>
      </c>
      <c r="K310" s="5" t="s">
        <v>24</v>
      </c>
      <c r="L310" s="5" t="s">
        <v>3548</v>
      </c>
      <c r="M310" s="5" t="s">
        <v>24</v>
      </c>
      <c r="N310" s="5" t="s">
        <v>24</v>
      </c>
      <c r="O310" s="5" t="s">
        <v>75</v>
      </c>
      <c r="P310" s="5" t="s">
        <v>2413</v>
      </c>
      <c r="Q310" s="2">
        <v>45967</v>
      </c>
      <c r="V310" s="45">
        <f t="shared" si="4"/>
        <v>1</v>
      </c>
      <c r="W310" s="45" t="s">
        <v>3549</v>
      </c>
    </row>
    <row r="311" spans="1:23" hidden="1">
      <c r="A311" s="2">
        <v>45903</v>
      </c>
      <c r="B311" s="1" t="s">
        <v>3550</v>
      </c>
      <c r="C311" s="1" t="s">
        <v>2881</v>
      </c>
      <c r="D311" s="1" t="s">
        <v>2439</v>
      </c>
      <c r="E311" s="1">
        <v>85027</v>
      </c>
      <c r="F311" s="1" t="s">
        <v>2730</v>
      </c>
      <c r="G311" s="1" t="s">
        <v>2952</v>
      </c>
      <c r="H311" s="4" t="s">
        <v>2401</v>
      </c>
      <c r="V311" s="45">
        <f t="shared" si="4"/>
        <v>1</v>
      </c>
      <c r="W311" s="45" t="s">
        <v>3551</v>
      </c>
    </row>
    <row r="312" spans="1:23" hidden="1">
      <c r="A312" s="2">
        <v>45903</v>
      </c>
      <c r="B312" s="1" t="s">
        <v>3552</v>
      </c>
      <c r="C312" s="1" t="s">
        <v>3553</v>
      </c>
      <c r="D312" s="1" t="s">
        <v>2439</v>
      </c>
      <c r="E312" s="1">
        <v>85085</v>
      </c>
      <c r="F312" s="1" t="s">
        <v>2406</v>
      </c>
      <c r="G312" s="1" t="s">
        <v>2952</v>
      </c>
      <c r="H312" s="21" t="s">
        <v>3554</v>
      </c>
      <c r="I312" s="5" t="s">
        <v>2412</v>
      </c>
      <c r="J312" s="5" t="s">
        <v>24</v>
      </c>
      <c r="K312" s="5" t="s">
        <v>24</v>
      </c>
      <c r="L312" s="5" t="s">
        <v>75</v>
      </c>
      <c r="M312" s="5" t="s">
        <v>24</v>
      </c>
      <c r="N312" s="5" t="s">
        <v>24</v>
      </c>
      <c r="O312" s="5" t="s">
        <v>75</v>
      </c>
      <c r="P312" s="5" t="s">
        <v>2413</v>
      </c>
      <c r="Q312" s="2">
        <v>45967</v>
      </c>
      <c r="U312" s="1" t="s">
        <v>3555</v>
      </c>
      <c r="V312" s="45">
        <f t="shared" si="4"/>
        <v>1</v>
      </c>
      <c r="W312" s="45" t="s">
        <v>3556</v>
      </c>
    </row>
    <row r="313" spans="1:23" hidden="1">
      <c r="A313" s="2">
        <v>45903</v>
      </c>
      <c r="B313" s="1" t="s">
        <v>3557</v>
      </c>
      <c r="C313" s="1" t="s">
        <v>3558</v>
      </c>
      <c r="D313" s="1" t="s">
        <v>2439</v>
      </c>
      <c r="E313" s="1">
        <v>85024</v>
      </c>
      <c r="F313" s="1" t="s">
        <v>2730</v>
      </c>
      <c r="G313" s="1" t="s">
        <v>2952</v>
      </c>
      <c r="H313" s="21" t="s">
        <v>3559</v>
      </c>
      <c r="I313" s="5" t="s">
        <v>2597</v>
      </c>
      <c r="J313" s="5" t="s">
        <v>24</v>
      </c>
      <c r="K313" s="5" t="s">
        <v>24</v>
      </c>
      <c r="L313" s="5" t="s">
        <v>75</v>
      </c>
      <c r="M313" s="5" t="s">
        <v>24</v>
      </c>
      <c r="N313" s="5" t="s">
        <v>24</v>
      </c>
      <c r="O313" s="5" t="s">
        <v>75</v>
      </c>
      <c r="P313" s="5" t="s">
        <v>2413</v>
      </c>
      <c r="Q313" s="2">
        <v>45967</v>
      </c>
      <c r="V313" s="45">
        <f t="shared" si="4"/>
        <v>1</v>
      </c>
      <c r="W313" s="45" t="s">
        <v>3560</v>
      </c>
    </row>
    <row r="314" spans="1:23" hidden="1">
      <c r="A314" s="2">
        <v>45903</v>
      </c>
      <c r="B314" s="1" t="s">
        <v>3561</v>
      </c>
      <c r="C314" s="1" t="s">
        <v>3562</v>
      </c>
      <c r="D314" s="1" t="s">
        <v>2513</v>
      </c>
      <c r="E314" s="1">
        <v>85259</v>
      </c>
      <c r="F314" s="1" t="s">
        <v>2730</v>
      </c>
      <c r="G314" s="1" t="s">
        <v>2952</v>
      </c>
      <c r="H314" s="4" t="s">
        <v>2613</v>
      </c>
      <c r="V314" s="45">
        <f t="shared" si="4"/>
        <v>1</v>
      </c>
      <c r="W314" s="45" t="s">
        <v>3563</v>
      </c>
    </row>
    <row r="315" spans="1:23" hidden="1">
      <c r="A315" s="2">
        <v>45903</v>
      </c>
      <c r="B315" s="1" t="s">
        <v>3257</v>
      </c>
      <c r="C315" s="1" t="s">
        <v>2921</v>
      </c>
      <c r="D315" s="1" t="s">
        <v>2439</v>
      </c>
      <c r="E315" s="1">
        <v>85023</v>
      </c>
      <c r="F315" s="1" t="s">
        <v>2406</v>
      </c>
      <c r="G315" s="1" t="s">
        <v>2952</v>
      </c>
      <c r="H315" s="4" t="s">
        <v>925</v>
      </c>
      <c r="I315" s="5" t="s">
        <v>2988</v>
      </c>
      <c r="J315" s="5" t="s">
        <v>75</v>
      </c>
      <c r="K315" s="5" t="s">
        <v>24</v>
      </c>
      <c r="L315" s="5" t="s">
        <v>2819</v>
      </c>
      <c r="M315" s="5" t="s">
        <v>24</v>
      </c>
      <c r="N315" s="5" t="s">
        <v>24</v>
      </c>
      <c r="O315" s="5" t="s">
        <v>75</v>
      </c>
      <c r="P315" s="5" t="s">
        <v>2413</v>
      </c>
      <c r="Q315" s="2">
        <v>45967</v>
      </c>
      <c r="V315" s="45">
        <f t="shared" si="4"/>
        <v>1</v>
      </c>
      <c r="W315" s="45" t="s">
        <v>3564</v>
      </c>
    </row>
    <row r="316" spans="1:23" hidden="1">
      <c r="A316" s="2">
        <v>45903</v>
      </c>
      <c r="B316" s="1" t="s">
        <v>3565</v>
      </c>
      <c r="C316" s="1" t="s">
        <v>3566</v>
      </c>
      <c r="D316" s="1" t="s">
        <v>2498</v>
      </c>
      <c r="E316" s="1">
        <v>85387</v>
      </c>
      <c r="F316" s="1" t="s">
        <v>2730</v>
      </c>
      <c r="G316" s="1" t="s">
        <v>2952</v>
      </c>
      <c r="H316" s="21" t="s">
        <v>3567</v>
      </c>
      <c r="I316" s="5" t="s">
        <v>2514</v>
      </c>
      <c r="J316" s="5" t="s">
        <v>24</v>
      </c>
      <c r="K316" s="5" t="s">
        <v>24</v>
      </c>
      <c r="L316" s="5" t="s">
        <v>75</v>
      </c>
      <c r="M316" s="5" t="s">
        <v>24</v>
      </c>
      <c r="N316" s="5" t="s">
        <v>24</v>
      </c>
      <c r="O316" s="5" t="s">
        <v>75</v>
      </c>
      <c r="P316" s="5" t="s">
        <v>2413</v>
      </c>
      <c r="Q316" s="2">
        <v>45967</v>
      </c>
      <c r="V316" s="45">
        <f t="shared" si="4"/>
        <v>1</v>
      </c>
      <c r="W316" s="125" t="s">
        <v>3568</v>
      </c>
    </row>
    <row r="317" spans="1:23" hidden="1">
      <c r="A317" s="2">
        <v>45903</v>
      </c>
      <c r="B317" s="1" t="s">
        <v>3569</v>
      </c>
      <c r="C317" s="1" t="s">
        <v>3570</v>
      </c>
      <c r="D317" s="1" t="s">
        <v>3073</v>
      </c>
      <c r="E317" s="1">
        <v>85366</v>
      </c>
      <c r="F317" s="1" t="s">
        <v>2406</v>
      </c>
      <c r="G317" s="1" t="s">
        <v>2952</v>
      </c>
      <c r="H317" s="4" t="s">
        <v>2401</v>
      </c>
      <c r="V317" s="45">
        <f t="shared" si="4"/>
        <v>1</v>
      </c>
      <c r="W317" s="45" t="s">
        <v>3571</v>
      </c>
    </row>
    <row r="318" spans="1:23" hidden="1">
      <c r="A318" s="2">
        <v>45903</v>
      </c>
      <c r="B318" s="1" t="s">
        <v>3572</v>
      </c>
      <c r="C318" s="1" t="s">
        <v>3248</v>
      </c>
      <c r="D318" s="1" t="s">
        <v>2513</v>
      </c>
      <c r="E318" s="1">
        <v>85258</v>
      </c>
      <c r="F318" s="1" t="s">
        <v>2730</v>
      </c>
      <c r="G318" s="1" t="s">
        <v>2952</v>
      </c>
      <c r="H318" s="21" t="s">
        <v>3573</v>
      </c>
      <c r="I318" s="5" t="s">
        <v>2412</v>
      </c>
      <c r="J318" s="5" t="s">
        <v>24</v>
      </c>
      <c r="K318" s="5" t="s">
        <v>24</v>
      </c>
      <c r="L318" s="7" t="s">
        <v>3574</v>
      </c>
      <c r="M318" s="5" t="s">
        <v>24</v>
      </c>
      <c r="N318" s="5" t="s">
        <v>24</v>
      </c>
      <c r="O318" s="5" t="s">
        <v>75</v>
      </c>
      <c r="P318" s="5" t="s">
        <v>2413</v>
      </c>
      <c r="Q318" s="2">
        <v>45967</v>
      </c>
      <c r="R318" s="1" t="s">
        <v>3575</v>
      </c>
      <c r="V318" s="45">
        <f t="shared" si="4"/>
        <v>1</v>
      </c>
      <c r="W318" s="45" t="s">
        <v>3576</v>
      </c>
    </row>
    <row r="319" spans="1:23" ht="11.25" hidden="1" customHeight="1">
      <c r="A319" s="2">
        <v>45903</v>
      </c>
      <c r="B319" s="1" t="s">
        <v>3577</v>
      </c>
      <c r="C319" s="1" t="s">
        <v>3578</v>
      </c>
      <c r="D319" s="1" t="s">
        <v>2605</v>
      </c>
      <c r="E319" s="1">
        <v>85383</v>
      </c>
      <c r="F319" s="1" t="s">
        <v>2406</v>
      </c>
      <c r="G319" s="1" t="s">
        <v>2952</v>
      </c>
      <c r="H319" s="21" t="s">
        <v>3579</v>
      </c>
      <c r="I319" s="5" t="s">
        <v>2514</v>
      </c>
      <c r="J319" s="5" t="s">
        <v>24</v>
      </c>
      <c r="K319" s="5" t="s">
        <v>24</v>
      </c>
      <c r="L319" s="5" t="s">
        <v>3580</v>
      </c>
      <c r="M319" s="5" t="s">
        <v>24</v>
      </c>
      <c r="N319" s="5" t="s">
        <v>24</v>
      </c>
      <c r="O319" s="5" t="s">
        <v>75</v>
      </c>
      <c r="P319" s="5" t="s">
        <v>2413</v>
      </c>
      <c r="Q319" s="2">
        <v>45967</v>
      </c>
      <c r="R319" s="1" t="s">
        <v>3581</v>
      </c>
      <c r="V319" s="45">
        <f t="shared" si="4"/>
        <v>1</v>
      </c>
      <c r="W319" s="45" t="s">
        <v>3582</v>
      </c>
    </row>
    <row r="320" spans="1:23" hidden="1">
      <c r="A320" s="2">
        <v>45903</v>
      </c>
      <c r="B320" s="1" t="s">
        <v>3306</v>
      </c>
      <c r="C320" s="1" t="s">
        <v>2527</v>
      </c>
      <c r="D320" s="1" t="s">
        <v>2439</v>
      </c>
      <c r="E320" s="1">
        <v>85028</v>
      </c>
      <c r="F320" s="1" t="s">
        <v>2406</v>
      </c>
      <c r="G320" s="1" t="s">
        <v>2952</v>
      </c>
      <c r="H320" s="21" t="s">
        <v>3307</v>
      </c>
      <c r="I320" s="5" t="s">
        <v>2412</v>
      </c>
      <c r="J320" s="5" t="s">
        <v>24</v>
      </c>
      <c r="K320" s="5" t="s">
        <v>24</v>
      </c>
      <c r="L320" s="5" t="s">
        <v>75</v>
      </c>
      <c r="M320" s="5" t="s">
        <v>24</v>
      </c>
      <c r="N320" s="5" t="s">
        <v>24</v>
      </c>
      <c r="O320" s="5" t="s">
        <v>75</v>
      </c>
      <c r="P320" s="5" t="s">
        <v>2413</v>
      </c>
      <c r="Q320" s="2">
        <v>45967</v>
      </c>
      <c r="U320" s="1" t="s">
        <v>3196</v>
      </c>
      <c r="V320" s="45">
        <f t="shared" si="4"/>
        <v>1</v>
      </c>
      <c r="W320" s="45" t="s">
        <v>3583</v>
      </c>
    </row>
    <row r="321" spans="1:23" hidden="1">
      <c r="A321" s="2">
        <v>45903</v>
      </c>
      <c r="B321" s="1" t="s">
        <v>3584</v>
      </c>
      <c r="C321" s="1" t="s">
        <v>3110</v>
      </c>
      <c r="D321" s="1" t="s">
        <v>2439</v>
      </c>
      <c r="E321" s="1">
        <v>85016</v>
      </c>
      <c r="F321" s="1" t="s">
        <v>2730</v>
      </c>
      <c r="G321" s="1" t="s">
        <v>2952</v>
      </c>
      <c r="H321" s="21" t="s">
        <v>3585</v>
      </c>
      <c r="I321" s="5" t="s">
        <v>2412</v>
      </c>
      <c r="J321" s="5" t="s">
        <v>24</v>
      </c>
      <c r="K321" s="5" t="s">
        <v>24</v>
      </c>
      <c r="L321" s="5" t="s">
        <v>75</v>
      </c>
      <c r="M321" s="5" t="s">
        <v>24</v>
      </c>
      <c r="N321" s="5" t="s">
        <v>24</v>
      </c>
      <c r="O321" s="5" t="s">
        <v>75</v>
      </c>
      <c r="P321" s="5" t="s">
        <v>2413</v>
      </c>
      <c r="Q321" s="2">
        <v>45967</v>
      </c>
      <c r="V321" s="45">
        <f t="shared" si="4"/>
        <v>1</v>
      </c>
      <c r="W321" s="45" t="s">
        <v>3586</v>
      </c>
    </row>
    <row r="322" spans="1:23" hidden="1">
      <c r="A322" s="2">
        <v>45903</v>
      </c>
      <c r="B322" s="1" t="s">
        <v>3587</v>
      </c>
      <c r="C322" s="1" t="s">
        <v>3264</v>
      </c>
      <c r="D322" s="1" t="s">
        <v>2564</v>
      </c>
      <c r="E322" s="1">
        <v>85395</v>
      </c>
      <c r="F322" s="1" t="s">
        <v>3588</v>
      </c>
      <c r="G322" s="1" t="s">
        <v>2952</v>
      </c>
      <c r="H322" s="21" t="s">
        <v>3589</v>
      </c>
      <c r="I322" s="5" t="s">
        <v>2412</v>
      </c>
      <c r="J322" s="5" t="s">
        <v>24</v>
      </c>
      <c r="K322" s="5" t="s">
        <v>24</v>
      </c>
      <c r="L322" s="5" t="s">
        <v>75</v>
      </c>
      <c r="M322" s="5" t="s">
        <v>24</v>
      </c>
      <c r="N322" s="5" t="s">
        <v>24</v>
      </c>
      <c r="O322" s="5" t="s">
        <v>75</v>
      </c>
      <c r="P322" s="5" t="s">
        <v>2413</v>
      </c>
      <c r="Q322" s="2">
        <v>45967</v>
      </c>
      <c r="V322" s="45">
        <f t="shared" ref="V322:V385" si="5">IF(OR(ISNUMBER(SEARCH("unable to locate acct",G322)),ISNUMBER(SEARCH("unknown",G322)),ISNUMBER(SEARCH("inactive",G322)),H322=""),0,1)</f>
        <v>1</v>
      </c>
      <c r="W322" s="45" t="s">
        <v>3590</v>
      </c>
    </row>
    <row r="323" spans="1:23" hidden="1">
      <c r="A323" s="2">
        <v>45903</v>
      </c>
      <c r="B323" s="1" t="s">
        <v>3591</v>
      </c>
      <c r="C323" s="1" t="s">
        <v>3117</v>
      </c>
      <c r="D323" s="1" t="s">
        <v>2398</v>
      </c>
      <c r="E323" s="1">
        <v>85310</v>
      </c>
      <c r="F323" s="1" t="s">
        <v>2730</v>
      </c>
      <c r="G323" s="1" t="s">
        <v>2952</v>
      </c>
      <c r="H323" s="4" t="s">
        <v>2471</v>
      </c>
      <c r="V323" s="45">
        <f t="shared" si="5"/>
        <v>1</v>
      </c>
      <c r="W323" s="45" t="s">
        <v>3592</v>
      </c>
    </row>
    <row r="324" spans="1:23" hidden="1">
      <c r="A324" s="2">
        <v>45903</v>
      </c>
      <c r="B324" s="1" t="s">
        <v>3593</v>
      </c>
      <c r="C324" s="1" t="s">
        <v>3594</v>
      </c>
      <c r="D324" s="1" t="s">
        <v>2605</v>
      </c>
      <c r="E324" s="1">
        <v>85383</v>
      </c>
      <c r="F324" s="1" t="s">
        <v>2406</v>
      </c>
      <c r="G324" s="1" t="s">
        <v>2952</v>
      </c>
      <c r="H324" s="21" t="s">
        <v>3595</v>
      </c>
      <c r="I324" s="5" t="s">
        <v>3596</v>
      </c>
      <c r="J324" s="5" t="s">
        <v>24</v>
      </c>
      <c r="K324" s="5" t="s">
        <v>24</v>
      </c>
      <c r="L324" s="5" t="s">
        <v>2831</v>
      </c>
      <c r="M324" s="5" t="s">
        <v>24</v>
      </c>
      <c r="N324" s="5" t="s">
        <v>24</v>
      </c>
      <c r="O324" s="5" t="s">
        <v>75</v>
      </c>
      <c r="P324" s="5" t="s">
        <v>2413</v>
      </c>
      <c r="Q324" s="2">
        <v>45967</v>
      </c>
      <c r="V324" s="45">
        <f t="shared" si="5"/>
        <v>1</v>
      </c>
      <c r="W324" s="45" t="s">
        <v>3597</v>
      </c>
    </row>
    <row r="325" spans="1:23" hidden="1">
      <c r="A325" s="2">
        <v>45903</v>
      </c>
      <c r="B325" s="1" t="s">
        <v>3598</v>
      </c>
      <c r="C325" s="1" t="s">
        <v>3599</v>
      </c>
      <c r="D325" s="1" t="s">
        <v>2605</v>
      </c>
      <c r="E325" s="1">
        <v>85483</v>
      </c>
      <c r="F325" s="1" t="s">
        <v>2730</v>
      </c>
      <c r="G325" s="1" t="s">
        <v>2952</v>
      </c>
      <c r="H325" s="21" t="s">
        <v>3600</v>
      </c>
      <c r="I325" s="5" t="s">
        <v>2412</v>
      </c>
      <c r="J325" s="5" t="s">
        <v>24</v>
      </c>
      <c r="K325" s="5" t="s">
        <v>24</v>
      </c>
      <c r="L325" s="5" t="s">
        <v>75</v>
      </c>
      <c r="M325" s="5" t="s">
        <v>24</v>
      </c>
      <c r="N325" s="5" t="s">
        <v>24</v>
      </c>
      <c r="O325" s="5" t="s">
        <v>75</v>
      </c>
      <c r="P325" s="5" t="s">
        <v>2413</v>
      </c>
      <c r="Q325" s="2">
        <v>45967</v>
      </c>
      <c r="V325" s="45">
        <f t="shared" si="5"/>
        <v>1</v>
      </c>
      <c r="W325" s="45" t="s">
        <v>3601</v>
      </c>
    </row>
    <row r="326" spans="1:23" hidden="1">
      <c r="A326" s="2">
        <v>45903</v>
      </c>
      <c r="B326" s="1" t="s">
        <v>3602</v>
      </c>
      <c r="C326" s="1" t="s">
        <v>3050</v>
      </c>
      <c r="D326" s="1" t="s">
        <v>2439</v>
      </c>
      <c r="E326" s="1">
        <v>85015</v>
      </c>
      <c r="F326" s="1" t="s">
        <v>2730</v>
      </c>
      <c r="G326" s="1" t="s">
        <v>2952</v>
      </c>
      <c r="H326" s="21" t="s">
        <v>3603</v>
      </c>
      <c r="I326" s="5" t="s">
        <v>2597</v>
      </c>
      <c r="J326" s="5" t="s">
        <v>24</v>
      </c>
      <c r="K326" s="5" t="s">
        <v>24</v>
      </c>
      <c r="L326" s="5" t="s">
        <v>75</v>
      </c>
      <c r="M326" s="5" t="s">
        <v>24</v>
      </c>
      <c r="N326" s="5" t="s">
        <v>24</v>
      </c>
      <c r="O326" s="5" t="s">
        <v>75</v>
      </c>
      <c r="P326" s="5" t="s">
        <v>2413</v>
      </c>
      <c r="Q326" s="2">
        <v>45967</v>
      </c>
      <c r="V326" s="45">
        <f t="shared" si="5"/>
        <v>1</v>
      </c>
      <c r="W326" s="45" t="s">
        <v>3604</v>
      </c>
    </row>
    <row r="327" spans="1:23" hidden="1">
      <c r="A327" s="2">
        <v>45903</v>
      </c>
      <c r="B327" s="1" t="s">
        <v>3605</v>
      </c>
      <c r="C327" s="1" t="s">
        <v>3606</v>
      </c>
      <c r="D327" s="1" t="s">
        <v>2513</v>
      </c>
      <c r="E327" s="1">
        <v>85260</v>
      </c>
      <c r="F327" s="1" t="s">
        <v>2730</v>
      </c>
      <c r="G327" s="1" t="s">
        <v>2952</v>
      </c>
      <c r="H327" s="21" t="s">
        <v>3607</v>
      </c>
      <c r="I327" s="5" t="s">
        <v>2412</v>
      </c>
      <c r="J327" s="5" t="s">
        <v>24</v>
      </c>
      <c r="K327" s="5" t="s">
        <v>24</v>
      </c>
      <c r="L327" s="5" t="s">
        <v>75</v>
      </c>
      <c r="M327" s="5" t="s">
        <v>24</v>
      </c>
      <c r="N327" s="5" t="s">
        <v>24</v>
      </c>
      <c r="O327" s="5" t="s">
        <v>75</v>
      </c>
      <c r="P327" s="5" t="s">
        <v>2413</v>
      </c>
      <c r="Q327" s="2">
        <v>45967</v>
      </c>
      <c r="V327" s="45">
        <f t="shared" si="5"/>
        <v>1</v>
      </c>
      <c r="W327" s="45" t="s">
        <v>3608</v>
      </c>
    </row>
    <row r="328" spans="1:23" hidden="1">
      <c r="A328" s="2">
        <v>45903</v>
      </c>
      <c r="B328" s="1" t="s">
        <v>3609</v>
      </c>
      <c r="C328" s="1" t="s">
        <v>3610</v>
      </c>
      <c r="D328" s="1" t="s">
        <v>2439</v>
      </c>
      <c r="E328" s="1">
        <v>85085</v>
      </c>
      <c r="F328" s="1" t="s">
        <v>2730</v>
      </c>
      <c r="G328" s="1" t="s">
        <v>2952</v>
      </c>
      <c r="H328" s="21" t="s">
        <v>3611</v>
      </c>
      <c r="I328" s="5" t="s">
        <v>2412</v>
      </c>
      <c r="J328" s="5" t="s">
        <v>24</v>
      </c>
      <c r="K328" s="5" t="s">
        <v>24</v>
      </c>
      <c r="L328" s="5" t="s">
        <v>75</v>
      </c>
      <c r="M328" s="5" t="s">
        <v>24</v>
      </c>
      <c r="N328" s="5" t="s">
        <v>24</v>
      </c>
      <c r="O328" s="5" t="s">
        <v>75</v>
      </c>
      <c r="P328" s="5" t="s">
        <v>2413</v>
      </c>
      <c r="Q328" s="2">
        <v>45967</v>
      </c>
      <c r="V328" s="45">
        <f t="shared" si="5"/>
        <v>1</v>
      </c>
      <c r="W328" s="45" t="s">
        <v>3612</v>
      </c>
    </row>
    <row r="329" spans="1:23" hidden="1">
      <c r="A329" s="2">
        <v>45903</v>
      </c>
      <c r="B329" s="1" t="s">
        <v>3613</v>
      </c>
      <c r="C329" s="1" t="s">
        <v>3614</v>
      </c>
      <c r="D329" s="1" t="s">
        <v>3615</v>
      </c>
      <c r="E329" s="1">
        <v>85268</v>
      </c>
      <c r="F329" s="1" t="s">
        <v>3616</v>
      </c>
      <c r="G329" s="1" t="s">
        <v>2952</v>
      </c>
      <c r="H329" s="4" t="s">
        <v>2401</v>
      </c>
      <c r="V329" s="45">
        <f t="shared" si="5"/>
        <v>1</v>
      </c>
      <c r="W329" s="45" t="s">
        <v>3617</v>
      </c>
    </row>
    <row r="330" spans="1:23" hidden="1">
      <c r="A330" s="2">
        <v>45903</v>
      </c>
      <c r="B330" s="1" t="s">
        <v>3618</v>
      </c>
      <c r="C330" s="1" t="s">
        <v>3233</v>
      </c>
      <c r="D330" s="1" t="s">
        <v>2439</v>
      </c>
      <c r="E330" s="1">
        <v>85024</v>
      </c>
      <c r="F330" s="1" t="s">
        <v>2406</v>
      </c>
      <c r="G330" s="1" t="s">
        <v>2952</v>
      </c>
      <c r="H330" s="21" t="s">
        <v>3619</v>
      </c>
      <c r="I330" s="5" t="s">
        <v>2597</v>
      </c>
      <c r="J330" s="5" t="s">
        <v>24</v>
      </c>
      <c r="K330" s="5" t="s">
        <v>24</v>
      </c>
      <c r="L330" s="7" t="s">
        <v>3620</v>
      </c>
      <c r="M330" s="5" t="s">
        <v>24</v>
      </c>
      <c r="N330" s="5" t="s">
        <v>24</v>
      </c>
      <c r="O330" s="5" t="s">
        <v>75</v>
      </c>
      <c r="P330" s="2">
        <v>45936</v>
      </c>
      <c r="Q330" s="2">
        <v>45967</v>
      </c>
      <c r="R330" s="1" t="s">
        <v>3621</v>
      </c>
      <c r="V330" s="45">
        <f t="shared" si="5"/>
        <v>1</v>
      </c>
      <c r="W330" s="45" t="s">
        <v>3622</v>
      </c>
    </row>
    <row r="331" spans="1:23" hidden="1">
      <c r="A331" s="2">
        <v>45903</v>
      </c>
      <c r="B331" s="1" t="s">
        <v>3623</v>
      </c>
      <c r="C331" s="1" t="s">
        <v>2527</v>
      </c>
      <c r="D331" s="1" t="s">
        <v>2564</v>
      </c>
      <c r="E331" s="1">
        <v>85338</v>
      </c>
      <c r="F331" s="1" t="s">
        <v>3624</v>
      </c>
      <c r="G331" s="1" t="s">
        <v>2952</v>
      </c>
      <c r="H331" s="21" t="s">
        <v>3625</v>
      </c>
      <c r="I331" s="5" t="s">
        <v>2412</v>
      </c>
      <c r="J331" s="5" t="s">
        <v>24</v>
      </c>
      <c r="K331" s="5" t="s">
        <v>24</v>
      </c>
      <c r="L331" s="5" t="s">
        <v>75</v>
      </c>
      <c r="M331" s="5" t="s">
        <v>24</v>
      </c>
      <c r="N331" s="5" t="s">
        <v>24</v>
      </c>
      <c r="O331" s="5" t="s">
        <v>75</v>
      </c>
      <c r="P331" s="5" t="s">
        <v>2413</v>
      </c>
      <c r="Q331" s="2">
        <v>45967</v>
      </c>
      <c r="V331" s="45">
        <f t="shared" si="5"/>
        <v>1</v>
      </c>
      <c r="W331" s="45" t="s">
        <v>3626</v>
      </c>
    </row>
    <row r="332" spans="1:23" hidden="1">
      <c r="A332" s="2">
        <v>45903</v>
      </c>
      <c r="B332" s="1" t="s">
        <v>3627</v>
      </c>
      <c r="C332" s="1" t="s">
        <v>3628</v>
      </c>
      <c r="D332" s="1" t="s">
        <v>2605</v>
      </c>
      <c r="E332" s="1">
        <v>85345</v>
      </c>
      <c r="F332" s="1" t="s">
        <v>2730</v>
      </c>
      <c r="G332" s="1" t="s">
        <v>2952</v>
      </c>
      <c r="H332" s="21" t="s">
        <v>3629</v>
      </c>
      <c r="I332" s="5" t="s">
        <v>2412</v>
      </c>
      <c r="J332" s="5" t="s">
        <v>24</v>
      </c>
      <c r="K332" s="5" t="s">
        <v>24</v>
      </c>
      <c r="L332" s="5" t="s">
        <v>75</v>
      </c>
      <c r="M332" s="5" t="s">
        <v>24</v>
      </c>
      <c r="N332" s="5" t="s">
        <v>24</v>
      </c>
      <c r="O332" s="5" t="s">
        <v>75</v>
      </c>
      <c r="P332" s="5" t="s">
        <v>2413</v>
      </c>
      <c r="Q332" s="2">
        <v>45967</v>
      </c>
      <c r="V332" s="45">
        <f t="shared" si="5"/>
        <v>1</v>
      </c>
      <c r="W332" s="45" t="s">
        <v>3630</v>
      </c>
    </row>
    <row r="333" spans="1:23" hidden="1">
      <c r="A333" s="2">
        <v>45903</v>
      </c>
      <c r="B333" s="1" t="s">
        <v>3631</v>
      </c>
      <c r="C333" s="1" t="s">
        <v>3632</v>
      </c>
      <c r="D333" s="1" t="s">
        <v>2605</v>
      </c>
      <c r="E333" s="1">
        <v>85383</v>
      </c>
      <c r="F333" s="1" t="s">
        <v>2730</v>
      </c>
      <c r="G333" s="1" t="s">
        <v>2952</v>
      </c>
      <c r="H333" s="21" t="s">
        <v>3633</v>
      </c>
      <c r="I333" s="5" t="s">
        <v>2597</v>
      </c>
      <c r="J333" s="5" t="s">
        <v>24</v>
      </c>
      <c r="K333" s="5" t="s">
        <v>24</v>
      </c>
      <c r="L333" s="5" t="s">
        <v>75</v>
      </c>
      <c r="M333" s="5" t="s">
        <v>24</v>
      </c>
      <c r="N333" s="5" t="s">
        <v>24</v>
      </c>
      <c r="O333" s="5" t="s">
        <v>75</v>
      </c>
      <c r="P333" s="5" t="s">
        <v>2413</v>
      </c>
      <c r="Q333" s="2">
        <v>45967</v>
      </c>
      <c r="V333" s="45">
        <f t="shared" si="5"/>
        <v>1</v>
      </c>
      <c r="W333" s="45" t="s">
        <v>3634</v>
      </c>
    </row>
    <row r="334" spans="1:23" hidden="1">
      <c r="A334" s="2">
        <v>45903</v>
      </c>
      <c r="B334" s="1" t="s">
        <v>3635</v>
      </c>
      <c r="C334" s="1" t="s">
        <v>3636</v>
      </c>
      <c r="D334" s="1" t="s">
        <v>2605</v>
      </c>
      <c r="E334" s="1">
        <v>85383</v>
      </c>
      <c r="F334" s="1" t="s">
        <v>2730</v>
      </c>
      <c r="G334" s="1" t="s">
        <v>2952</v>
      </c>
      <c r="H334" s="21" t="s">
        <v>3637</v>
      </c>
      <c r="I334" s="5" t="s">
        <v>2597</v>
      </c>
      <c r="J334" s="5" t="s">
        <v>24</v>
      </c>
      <c r="K334" s="5" t="s">
        <v>24</v>
      </c>
      <c r="L334" s="7" t="s">
        <v>3638</v>
      </c>
      <c r="M334" s="5" t="s">
        <v>24</v>
      </c>
      <c r="N334" s="5" t="s">
        <v>24</v>
      </c>
      <c r="O334" s="5" t="s">
        <v>75</v>
      </c>
      <c r="P334" s="2">
        <v>45936</v>
      </c>
      <c r="Q334" s="2">
        <v>45967</v>
      </c>
      <c r="R334" s="1" t="s">
        <v>3639</v>
      </c>
      <c r="V334" s="45">
        <f t="shared" si="5"/>
        <v>1</v>
      </c>
      <c r="W334" s="45" t="s">
        <v>3640</v>
      </c>
    </row>
    <row r="335" spans="1:23" hidden="1">
      <c r="A335" s="2">
        <v>45903</v>
      </c>
      <c r="B335" s="1" t="s">
        <v>3641</v>
      </c>
      <c r="C335" s="1" t="s">
        <v>3642</v>
      </c>
      <c r="D335" s="1" t="s">
        <v>2605</v>
      </c>
      <c r="E335" s="1">
        <v>85383</v>
      </c>
      <c r="F335" s="1" t="s">
        <v>2730</v>
      </c>
      <c r="G335" s="1" t="s">
        <v>2952</v>
      </c>
      <c r="H335" s="21" t="s">
        <v>3643</v>
      </c>
      <c r="I335" s="5" t="s">
        <v>2412</v>
      </c>
      <c r="J335" s="5" t="s">
        <v>24</v>
      </c>
      <c r="K335" s="5" t="s">
        <v>24</v>
      </c>
      <c r="L335" s="5" t="s">
        <v>75</v>
      </c>
      <c r="M335" s="5" t="s">
        <v>24</v>
      </c>
      <c r="N335" s="5" t="s">
        <v>24</v>
      </c>
      <c r="O335" s="5" t="s">
        <v>75</v>
      </c>
      <c r="P335" s="5" t="s">
        <v>2413</v>
      </c>
      <c r="Q335" s="2">
        <v>45967</v>
      </c>
      <c r="R335" s="1" t="s">
        <v>3644</v>
      </c>
      <c r="V335" s="45">
        <f t="shared" si="5"/>
        <v>1</v>
      </c>
      <c r="W335" s="45" t="s">
        <v>3645</v>
      </c>
    </row>
    <row r="336" spans="1:23" hidden="1">
      <c r="A336" s="2">
        <v>45903</v>
      </c>
      <c r="B336" s="1" t="s">
        <v>3646</v>
      </c>
      <c r="C336" s="1" t="s">
        <v>3647</v>
      </c>
      <c r="D336" s="1" t="s">
        <v>2564</v>
      </c>
      <c r="E336" s="1">
        <v>85338</v>
      </c>
      <c r="F336" s="1" t="s">
        <v>2406</v>
      </c>
      <c r="G336" s="1" t="s">
        <v>2952</v>
      </c>
      <c r="H336" s="21" t="s">
        <v>3648</v>
      </c>
      <c r="I336" s="5" t="s">
        <v>2848</v>
      </c>
      <c r="J336" s="5" t="s">
        <v>24</v>
      </c>
      <c r="K336" s="5" t="s">
        <v>24</v>
      </c>
      <c r="L336" s="5" t="s">
        <v>2819</v>
      </c>
      <c r="M336" s="5" t="s">
        <v>24</v>
      </c>
      <c r="N336" s="5" t="s">
        <v>24</v>
      </c>
      <c r="O336" s="5" t="s">
        <v>75</v>
      </c>
      <c r="P336" s="5" t="s">
        <v>2413</v>
      </c>
      <c r="Q336" s="2">
        <v>45967</v>
      </c>
      <c r="V336" s="45">
        <f t="shared" si="5"/>
        <v>1</v>
      </c>
      <c r="W336" s="45" t="s">
        <v>3649</v>
      </c>
    </row>
    <row r="337" spans="1:23" hidden="1">
      <c r="A337" s="2">
        <v>45903</v>
      </c>
      <c r="B337" s="1" t="s">
        <v>3650</v>
      </c>
      <c r="C337" s="1" t="s">
        <v>3651</v>
      </c>
      <c r="D337" s="1" t="s">
        <v>2969</v>
      </c>
      <c r="E337" s="1">
        <v>85392</v>
      </c>
      <c r="F337" s="1" t="s">
        <v>2730</v>
      </c>
      <c r="G337" s="1" t="s">
        <v>2952</v>
      </c>
      <c r="H337" s="21" t="s">
        <v>3652</v>
      </c>
      <c r="I337" s="5" t="s">
        <v>2412</v>
      </c>
      <c r="J337" s="5" t="s">
        <v>24</v>
      </c>
      <c r="K337" s="5" t="s">
        <v>24</v>
      </c>
      <c r="L337" s="5" t="s">
        <v>75</v>
      </c>
      <c r="M337" s="5" t="s">
        <v>24</v>
      </c>
      <c r="N337" s="5" t="s">
        <v>24</v>
      </c>
      <c r="O337" s="5" t="s">
        <v>75</v>
      </c>
      <c r="P337" s="5" t="s">
        <v>2413</v>
      </c>
      <c r="Q337" s="2">
        <v>45967</v>
      </c>
      <c r="V337" s="45">
        <f t="shared" si="5"/>
        <v>1</v>
      </c>
      <c r="W337" s="45" t="s">
        <v>3653</v>
      </c>
    </row>
    <row r="338" spans="1:23" hidden="1">
      <c r="A338" s="2">
        <v>45903</v>
      </c>
      <c r="B338" s="1" t="s">
        <v>3654</v>
      </c>
      <c r="C338" s="1" t="s">
        <v>3655</v>
      </c>
      <c r="D338" s="1" t="s">
        <v>2564</v>
      </c>
      <c r="E338" s="1">
        <v>85395</v>
      </c>
      <c r="F338" s="1" t="s">
        <v>3656</v>
      </c>
      <c r="G338" s="1" t="s">
        <v>2952</v>
      </c>
      <c r="H338" s="21" t="s">
        <v>3657</v>
      </c>
      <c r="I338" s="5" t="s">
        <v>2412</v>
      </c>
      <c r="J338" s="5" t="s">
        <v>24</v>
      </c>
      <c r="K338" s="5" t="s">
        <v>24</v>
      </c>
      <c r="L338" s="5" t="s">
        <v>75</v>
      </c>
      <c r="M338" s="5" t="s">
        <v>24</v>
      </c>
      <c r="N338" s="5" t="s">
        <v>24</v>
      </c>
      <c r="O338" s="5" t="s">
        <v>75</v>
      </c>
      <c r="P338" s="5" t="s">
        <v>2413</v>
      </c>
      <c r="Q338" s="2">
        <v>45967</v>
      </c>
      <c r="V338" s="45">
        <f t="shared" si="5"/>
        <v>1</v>
      </c>
      <c r="W338" s="45" t="s">
        <v>3658</v>
      </c>
    </row>
    <row r="339" spans="1:23" hidden="1">
      <c r="A339" s="2">
        <v>45903</v>
      </c>
      <c r="B339" s="1" t="s">
        <v>3659</v>
      </c>
      <c r="C339" s="1" t="s">
        <v>3660</v>
      </c>
      <c r="D339" s="1" t="s">
        <v>2564</v>
      </c>
      <c r="E339" s="1">
        <v>85338</v>
      </c>
      <c r="F339" s="1" t="s">
        <v>3237</v>
      </c>
      <c r="G339" s="1" t="s">
        <v>2952</v>
      </c>
      <c r="H339" s="21" t="s">
        <v>3661</v>
      </c>
      <c r="I339" s="5" t="s">
        <v>2412</v>
      </c>
      <c r="J339" s="5" t="s">
        <v>24</v>
      </c>
      <c r="K339" s="5" t="s">
        <v>24</v>
      </c>
      <c r="L339" s="5" t="s">
        <v>75</v>
      </c>
      <c r="M339" s="5" t="s">
        <v>75</v>
      </c>
      <c r="N339" s="15">
        <v>2144.27</v>
      </c>
      <c r="O339" s="5" t="s">
        <v>75</v>
      </c>
      <c r="P339" s="7"/>
      <c r="Q339" s="2">
        <v>45967</v>
      </c>
      <c r="R339" s="1" t="s">
        <v>2938</v>
      </c>
      <c r="V339" s="45">
        <f t="shared" si="5"/>
        <v>1</v>
      </c>
      <c r="W339" s="45" t="s">
        <v>3662</v>
      </c>
    </row>
    <row r="340" spans="1:23" hidden="1">
      <c r="A340" s="2">
        <v>45903</v>
      </c>
      <c r="B340" s="1" t="s">
        <v>3663</v>
      </c>
      <c r="C340" s="1" t="s">
        <v>2438</v>
      </c>
      <c r="D340" s="1" t="s">
        <v>2969</v>
      </c>
      <c r="E340" s="1">
        <v>85392</v>
      </c>
      <c r="F340" s="1" t="s">
        <v>2406</v>
      </c>
      <c r="G340" s="1" t="s">
        <v>2952</v>
      </c>
      <c r="H340" s="4" t="s">
        <v>2401</v>
      </c>
      <c r="V340" s="45">
        <f t="shared" si="5"/>
        <v>1</v>
      </c>
      <c r="W340" s="125" t="s">
        <v>3664</v>
      </c>
    </row>
    <row r="341" spans="1:23" hidden="1">
      <c r="A341" s="2">
        <v>45903</v>
      </c>
      <c r="B341" s="1" t="s">
        <v>3665</v>
      </c>
      <c r="C341" s="1" t="s">
        <v>3666</v>
      </c>
      <c r="D341" s="1" t="s">
        <v>2605</v>
      </c>
      <c r="E341" s="1">
        <v>85383</v>
      </c>
      <c r="F341" s="1" t="s">
        <v>2730</v>
      </c>
      <c r="G341" s="1" t="s">
        <v>2952</v>
      </c>
      <c r="H341" s="21" t="s">
        <v>3667</v>
      </c>
      <c r="I341" s="5" t="s">
        <v>2412</v>
      </c>
      <c r="J341" s="5" t="s">
        <v>24</v>
      </c>
      <c r="K341" s="5" t="s">
        <v>24</v>
      </c>
      <c r="L341" s="5" t="s">
        <v>75</v>
      </c>
      <c r="M341" s="5" t="s">
        <v>24</v>
      </c>
      <c r="N341" s="5" t="s">
        <v>24</v>
      </c>
      <c r="O341" s="5" t="s">
        <v>75</v>
      </c>
      <c r="P341" s="5" t="s">
        <v>2413</v>
      </c>
      <c r="Q341" s="2">
        <v>45967</v>
      </c>
      <c r="V341" s="45">
        <f t="shared" si="5"/>
        <v>1</v>
      </c>
      <c r="W341" s="45" t="s">
        <v>3668</v>
      </c>
    </row>
    <row r="342" spans="1:23" hidden="1">
      <c r="A342" s="2">
        <v>45903</v>
      </c>
      <c r="B342" s="1" t="s">
        <v>3669</v>
      </c>
      <c r="C342" s="1" t="s">
        <v>2550</v>
      </c>
      <c r="D342" s="1" t="s">
        <v>2398</v>
      </c>
      <c r="E342" s="1">
        <v>85308</v>
      </c>
      <c r="F342" s="1" t="s">
        <v>2730</v>
      </c>
      <c r="G342" s="1" t="s">
        <v>2952</v>
      </c>
      <c r="H342" s="21" t="s">
        <v>3670</v>
      </c>
      <c r="I342" s="5" t="s">
        <v>2597</v>
      </c>
      <c r="J342" s="5" t="s">
        <v>24</v>
      </c>
      <c r="K342" s="5" t="s">
        <v>24</v>
      </c>
      <c r="L342" s="5" t="s">
        <v>3671</v>
      </c>
      <c r="M342" s="5" t="s">
        <v>24</v>
      </c>
      <c r="N342" s="5" t="s">
        <v>24</v>
      </c>
      <c r="O342" s="5" t="s">
        <v>75</v>
      </c>
      <c r="P342" s="5" t="s">
        <v>2413</v>
      </c>
      <c r="Q342" s="2">
        <v>45967</v>
      </c>
      <c r="V342" s="45">
        <f t="shared" si="5"/>
        <v>1</v>
      </c>
      <c r="W342" s="45" t="s">
        <v>3672</v>
      </c>
    </row>
    <row r="343" spans="1:23" hidden="1">
      <c r="A343" s="2">
        <v>45903</v>
      </c>
      <c r="B343" s="1" t="s">
        <v>3673</v>
      </c>
      <c r="C343" s="1" t="s">
        <v>3674</v>
      </c>
      <c r="D343" s="1" t="s">
        <v>2513</v>
      </c>
      <c r="E343" s="1">
        <v>85251</v>
      </c>
      <c r="F343" s="1" t="s">
        <v>2730</v>
      </c>
      <c r="G343" s="1" t="s">
        <v>2952</v>
      </c>
      <c r="H343" s="21" t="s">
        <v>3675</v>
      </c>
      <c r="I343" s="5" t="s">
        <v>2514</v>
      </c>
      <c r="J343" s="5" t="s">
        <v>24</v>
      </c>
      <c r="K343" s="5" t="s">
        <v>24</v>
      </c>
      <c r="L343" s="5" t="s">
        <v>3676</v>
      </c>
      <c r="M343" s="5" t="s">
        <v>24</v>
      </c>
      <c r="N343" s="5" t="s">
        <v>24</v>
      </c>
      <c r="O343" s="5" t="s">
        <v>75</v>
      </c>
      <c r="P343" s="5" t="s">
        <v>2413</v>
      </c>
      <c r="Q343" s="2">
        <v>45967</v>
      </c>
      <c r="V343" s="45">
        <f t="shared" si="5"/>
        <v>1</v>
      </c>
      <c r="W343" s="45" t="s">
        <v>3677</v>
      </c>
    </row>
    <row r="344" spans="1:23" hidden="1">
      <c r="A344" s="2">
        <v>45903</v>
      </c>
      <c r="B344" s="1" t="s">
        <v>3678</v>
      </c>
      <c r="C344" s="1" t="s">
        <v>3679</v>
      </c>
      <c r="D344" s="1" t="s">
        <v>2513</v>
      </c>
      <c r="E344" s="1">
        <v>85266</v>
      </c>
      <c r="F344" s="1" t="s">
        <v>2406</v>
      </c>
      <c r="G344" s="1" t="s">
        <v>2952</v>
      </c>
      <c r="H344" s="21" t="s">
        <v>927</v>
      </c>
      <c r="I344" s="5" t="s">
        <v>2412</v>
      </c>
      <c r="J344" s="5" t="s">
        <v>24</v>
      </c>
      <c r="K344" s="5" t="s">
        <v>24</v>
      </c>
      <c r="L344" s="5" t="s">
        <v>75</v>
      </c>
      <c r="M344" s="5" t="s">
        <v>24</v>
      </c>
      <c r="N344" s="5" t="s">
        <v>24</v>
      </c>
      <c r="O344" s="5" t="s">
        <v>75</v>
      </c>
      <c r="P344" s="5" t="s">
        <v>2413</v>
      </c>
      <c r="Q344" s="2">
        <v>45967</v>
      </c>
      <c r="V344" s="45">
        <f t="shared" si="5"/>
        <v>1</v>
      </c>
      <c r="W344" s="125" t="s">
        <v>3680</v>
      </c>
    </row>
    <row r="345" spans="1:23" hidden="1">
      <c r="A345" s="2">
        <v>45903</v>
      </c>
      <c r="B345" s="1" t="s">
        <v>3681</v>
      </c>
      <c r="C345" s="1" t="s">
        <v>3682</v>
      </c>
      <c r="D345" s="1" t="s">
        <v>2570</v>
      </c>
      <c r="E345" s="1">
        <v>85396</v>
      </c>
      <c r="F345" s="1" t="s">
        <v>3683</v>
      </c>
      <c r="G345" s="1" t="s">
        <v>2952</v>
      </c>
      <c r="H345" s="4" t="s">
        <v>2471</v>
      </c>
      <c r="V345" s="45">
        <f t="shared" si="5"/>
        <v>1</v>
      </c>
      <c r="W345" s="45" t="s">
        <v>3684</v>
      </c>
    </row>
    <row r="346" spans="1:23" hidden="1">
      <c r="A346" s="2">
        <v>45903</v>
      </c>
      <c r="B346" s="1" t="s">
        <v>3685</v>
      </c>
      <c r="C346" s="1" t="s">
        <v>3686</v>
      </c>
      <c r="D346" s="1" t="s">
        <v>2439</v>
      </c>
      <c r="E346" s="1">
        <v>85085</v>
      </c>
      <c r="F346" s="1" t="s">
        <v>2730</v>
      </c>
      <c r="G346" s="1" t="s">
        <v>2952</v>
      </c>
      <c r="H346" s="21" t="s">
        <v>3687</v>
      </c>
      <c r="I346" s="5" t="s">
        <v>2451</v>
      </c>
      <c r="J346" s="5" t="s">
        <v>24</v>
      </c>
      <c r="K346" s="5" t="s">
        <v>24</v>
      </c>
      <c r="L346" s="5" t="s">
        <v>75</v>
      </c>
      <c r="M346" s="5" t="s">
        <v>24</v>
      </c>
      <c r="N346" s="5" t="s">
        <v>24</v>
      </c>
      <c r="O346" s="5" t="s">
        <v>75</v>
      </c>
      <c r="P346" s="5" t="s">
        <v>2413</v>
      </c>
      <c r="Q346" s="2">
        <v>45967</v>
      </c>
      <c r="V346" s="45">
        <f t="shared" si="5"/>
        <v>1</v>
      </c>
      <c r="W346" s="45" t="s">
        <v>3688</v>
      </c>
    </row>
    <row r="347" spans="1:23" hidden="1">
      <c r="A347" s="2">
        <v>45903</v>
      </c>
      <c r="B347" s="1" t="s">
        <v>3689</v>
      </c>
      <c r="C347" s="1" t="s">
        <v>2521</v>
      </c>
      <c r="D347" s="1" t="s">
        <v>2564</v>
      </c>
      <c r="E347" s="1">
        <v>85395</v>
      </c>
      <c r="F347" s="1" t="s">
        <v>3690</v>
      </c>
      <c r="G347" s="1" t="s">
        <v>2952</v>
      </c>
      <c r="H347" s="4" t="s">
        <v>2401</v>
      </c>
      <c r="V347" s="45">
        <f t="shared" si="5"/>
        <v>1</v>
      </c>
      <c r="W347" s="45" t="s">
        <v>3691</v>
      </c>
    </row>
    <row r="348" spans="1:23" hidden="1">
      <c r="A348" s="2">
        <v>45903</v>
      </c>
      <c r="B348" s="1" t="s">
        <v>3692</v>
      </c>
      <c r="C348" s="1" t="s">
        <v>3693</v>
      </c>
      <c r="D348" s="1" t="s">
        <v>2969</v>
      </c>
      <c r="E348" s="1">
        <v>85392</v>
      </c>
      <c r="F348" s="1" t="s">
        <v>2406</v>
      </c>
      <c r="G348" s="1" t="s">
        <v>2952</v>
      </c>
      <c r="H348" s="21" t="s">
        <v>929</v>
      </c>
      <c r="I348" s="5" t="s">
        <v>2597</v>
      </c>
      <c r="J348" s="5" t="s">
        <v>24</v>
      </c>
      <c r="K348" s="5" t="s">
        <v>24</v>
      </c>
      <c r="L348" s="5" t="s">
        <v>75</v>
      </c>
      <c r="M348" s="5" t="s">
        <v>24</v>
      </c>
      <c r="N348" s="5" t="s">
        <v>24</v>
      </c>
      <c r="O348" s="5" t="s">
        <v>75</v>
      </c>
      <c r="P348" s="5" t="s">
        <v>2413</v>
      </c>
      <c r="Q348" s="2">
        <v>45967</v>
      </c>
      <c r="V348" s="45">
        <f t="shared" si="5"/>
        <v>1</v>
      </c>
      <c r="W348" s="45" t="s">
        <v>3694</v>
      </c>
    </row>
    <row r="349" spans="1:23" hidden="1">
      <c r="A349" s="2">
        <v>45903</v>
      </c>
      <c r="B349" s="1" t="s">
        <v>3695</v>
      </c>
      <c r="C349" s="1" t="s">
        <v>3696</v>
      </c>
      <c r="D349" s="1" t="s">
        <v>2439</v>
      </c>
      <c r="E349" s="1">
        <v>85024</v>
      </c>
      <c r="F349" s="1" t="s">
        <v>2406</v>
      </c>
      <c r="G349" s="1" t="s">
        <v>2952</v>
      </c>
      <c r="H349" s="4" t="s">
        <v>2401</v>
      </c>
      <c r="V349" s="45">
        <f t="shared" si="5"/>
        <v>1</v>
      </c>
      <c r="W349" s="45" t="s">
        <v>3697</v>
      </c>
    </row>
    <row r="350" spans="1:23" hidden="1">
      <c r="A350" s="2">
        <v>45903</v>
      </c>
      <c r="B350" s="1" t="s">
        <v>3698</v>
      </c>
      <c r="C350" s="1" t="s">
        <v>3699</v>
      </c>
      <c r="D350" s="1" t="s">
        <v>2439</v>
      </c>
      <c r="E350" s="1">
        <v>85020</v>
      </c>
      <c r="F350" s="1" t="s">
        <v>2730</v>
      </c>
      <c r="G350" s="1" t="s">
        <v>2952</v>
      </c>
      <c r="H350" s="21" t="s">
        <v>3700</v>
      </c>
      <c r="I350" s="5" t="s">
        <v>2412</v>
      </c>
      <c r="J350" s="5" t="s">
        <v>24</v>
      </c>
      <c r="K350" s="5" t="s">
        <v>24</v>
      </c>
      <c r="L350" s="5" t="s">
        <v>75</v>
      </c>
      <c r="M350" s="5" t="s">
        <v>24</v>
      </c>
      <c r="N350" s="5" t="s">
        <v>24</v>
      </c>
      <c r="O350" s="5" t="s">
        <v>75</v>
      </c>
      <c r="P350" s="5" t="s">
        <v>2413</v>
      </c>
      <c r="Q350" s="2">
        <v>45967</v>
      </c>
      <c r="V350" s="45">
        <f t="shared" si="5"/>
        <v>1</v>
      </c>
      <c r="W350" s="45" t="s">
        <v>3701</v>
      </c>
    </row>
    <row r="351" spans="1:23" hidden="1">
      <c r="A351" s="2">
        <v>45903</v>
      </c>
      <c r="B351" s="1" t="s">
        <v>3702</v>
      </c>
      <c r="C351" s="1" t="s">
        <v>3703</v>
      </c>
      <c r="D351" s="1" t="s">
        <v>2439</v>
      </c>
      <c r="E351" s="1">
        <v>85050</v>
      </c>
      <c r="F351" s="1" t="s">
        <v>3704</v>
      </c>
      <c r="G351" s="1" t="s">
        <v>2952</v>
      </c>
      <c r="H351" s="21" t="s">
        <v>3705</v>
      </c>
      <c r="I351" s="5" t="s">
        <v>2412</v>
      </c>
      <c r="J351" s="5" t="s">
        <v>24</v>
      </c>
      <c r="K351" s="5" t="s">
        <v>24</v>
      </c>
      <c r="L351" s="5" t="s">
        <v>75</v>
      </c>
      <c r="M351" s="5" t="s">
        <v>24</v>
      </c>
      <c r="N351" s="5" t="s">
        <v>24</v>
      </c>
      <c r="O351" s="5" t="s">
        <v>75</v>
      </c>
      <c r="P351" s="5" t="s">
        <v>2413</v>
      </c>
      <c r="Q351" s="2">
        <v>45967</v>
      </c>
      <c r="V351" s="45">
        <f t="shared" si="5"/>
        <v>1</v>
      </c>
      <c r="W351" s="45" t="s">
        <v>3706</v>
      </c>
    </row>
    <row r="352" spans="1:23" hidden="1">
      <c r="A352" s="2">
        <v>45903</v>
      </c>
      <c r="B352" s="1" t="s">
        <v>3707</v>
      </c>
      <c r="C352" s="1" t="s">
        <v>3708</v>
      </c>
      <c r="D352" s="1" t="s">
        <v>2398</v>
      </c>
      <c r="E352" s="1">
        <v>85307</v>
      </c>
      <c r="F352" s="1" t="s">
        <v>2406</v>
      </c>
      <c r="G352" s="1" t="s">
        <v>2952</v>
      </c>
      <c r="H352" s="21" t="s">
        <v>3709</v>
      </c>
      <c r="I352" s="5" t="s">
        <v>2412</v>
      </c>
      <c r="J352" s="5" t="s">
        <v>24</v>
      </c>
      <c r="K352" s="5" t="s">
        <v>24</v>
      </c>
      <c r="L352" s="5" t="s">
        <v>75</v>
      </c>
      <c r="M352" s="5" t="s">
        <v>24</v>
      </c>
      <c r="N352" s="5" t="s">
        <v>24</v>
      </c>
      <c r="O352" s="5" t="s">
        <v>75</v>
      </c>
      <c r="P352" s="5" t="s">
        <v>2413</v>
      </c>
      <c r="Q352" s="2">
        <v>45967</v>
      </c>
      <c r="V352" s="45">
        <f t="shared" si="5"/>
        <v>1</v>
      </c>
      <c r="W352" s="45" t="s">
        <v>3710</v>
      </c>
    </row>
    <row r="353" spans="1:23" hidden="1">
      <c r="A353" s="2">
        <v>45903</v>
      </c>
      <c r="B353" s="1" t="s">
        <v>3711</v>
      </c>
      <c r="C353" s="1" t="s">
        <v>3712</v>
      </c>
      <c r="D353" s="1" t="s">
        <v>2398</v>
      </c>
      <c r="E353" s="1">
        <v>85308</v>
      </c>
      <c r="F353" s="1" t="s">
        <v>2730</v>
      </c>
      <c r="G353" s="1" t="s">
        <v>2952</v>
      </c>
      <c r="H353" s="21" t="s">
        <v>3713</v>
      </c>
      <c r="I353" s="5" t="s">
        <v>2412</v>
      </c>
      <c r="J353" s="5" t="s">
        <v>24</v>
      </c>
      <c r="K353" s="5" t="s">
        <v>24</v>
      </c>
      <c r="L353" s="5" t="s">
        <v>75</v>
      </c>
      <c r="M353" s="5" t="s">
        <v>24</v>
      </c>
      <c r="N353" s="5" t="s">
        <v>24</v>
      </c>
      <c r="O353" s="5" t="s">
        <v>75</v>
      </c>
      <c r="P353" s="5" t="s">
        <v>2413</v>
      </c>
      <c r="Q353" s="2">
        <v>45967</v>
      </c>
      <c r="V353" s="45">
        <f t="shared" si="5"/>
        <v>1</v>
      </c>
      <c r="W353" s="45" t="s">
        <v>3714</v>
      </c>
    </row>
    <row r="354" spans="1:23" hidden="1">
      <c r="A354" s="2">
        <v>45903</v>
      </c>
      <c r="B354" s="1" t="s">
        <v>3715</v>
      </c>
      <c r="C354" s="1" t="s">
        <v>3716</v>
      </c>
      <c r="D354" s="1" t="s">
        <v>2439</v>
      </c>
      <c r="E354" s="1">
        <v>85050</v>
      </c>
      <c r="F354" s="1" t="s">
        <v>2406</v>
      </c>
      <c r="G354" s="1" t="s">
        <v>2952</v>
      </c>
      <c r="H354" s="21" t="s">
        <v>3717</v>
      </c>
      <c r="I354" s="5" t="s">
        <v>2597</v>
      </c>
      <c r="J354" s="5" t="s">
        <v>24</v>
      </c>
      <c r="K354" s="5" t="s">
        <v>24</v>
      </c>
      <c r="L354" s="5" t="s">
        <v>75</v>
      </c>
      <c r="M354" s="5" t="s">
        <v>24</v>
      </c>
      <c r="N354" s="5" t="s">
        <v>24</v>
      </c>
      <c r="O354" s="5" t="s">
        <v>75</v>
      </c>
      <c r="P354" s="5" t="s">
        <v>2413</v>
      </c>
      <c r="Q354" s="2">
        <v>45967</v>
      </c>
      <c r="V354" s="45">
        <f t="shared" si="5"/>
        <v>1</v>
      </c>
      <c r="W354" s="45" t="s">
        <v>3718</v>
      </c>
    </row>
    <row r="355" spans="1:23" hidden="1">
      <c r="A355" s="2">
        <v>45903</v>
      </c>
      <c r="B355" s="1" t="s">
        <v>3719</v>
      </c>
      <c r="C355" s="1" t="s">
        <v>3720</v>
      </c>
      <c r="D355" s="1" t="s">
        <v>2439</v>
      </c>
      <c r="E355" s="1">
        <v>85024</v>
      </c>
      <c r="F355" s="1" t="s">
        <v>2730</v>
      </c>
      <c r="G355" s="1" t="s">
        <v>2952</v>
      </c>
      <c r="H355" s="21" t="s">
        <v>931</v>
      </c>
      <c r="I355" s="5" t="s">
        <v>2597</v>
      </c>
      <c r="J355" s="5" t="s">
        <v>24</v>
      </c>
      <c r="K355" s="5" t="s">
        <v>24</v>
      </c>
      <c r="L355" s="5" t="s">
        <v>75</v>
      </c>
      <c r="M355" s="5" t="s">
        <v>24</v>
      </c>
      <c r="N355" s="5" t="s">
        <v>24</v>
      </c>
      <c r="O355" s="5" t="s">
        <v>75</v>
      </c>
      <c r="P355" s="5" t="s">
        <v>2413</v>
      </c>
      <c r="Q355" s="2">
        <v>45967</v>
      </c>
      <c r="V355" s="45">
        <f t="shared" si="5"/>
        <v>1</v>
      </c>
      <c r="W355" s="45" t="s">
        <v>3721</v>
      </c>
    </row>
    <row r="356" spans="1:23" hidden="1">
      <c r="A356" s="2">
        <v>45903</v>
      </c>
      <c r="B356" s="1" t="s">
        <v>3722</v>
      </c>
      <c r="C356" s="1" t="s">
        <v>3530</v>
      </c>
      <c r="D356" s="1" t="s">
        <v>2650</v>
      </c>
      <c r="E356" s="1">
        <v>85395</v>
      </c>
      <c r="F356" s="1" t="s">
        <v>3723</v>
      </c>
      <c r="G356" s="1" t="s">
        <v>2952</v>
      </c>
      <c r="H356" s="4" t="s">
        <v>2613</v>
      </c>
      <c r="V356" s="45">
        <f t="shared" si="5"/>
        <v>1</v>
      </c>
      <c r="W356" s="45" t="s">
        <v>3724</v>
      </c>
    </row>
    <row r="357" spans="1:23" hidden="1">
      <c r="A357" s="2">
        <v>45903</v>
      </c>
      <c r="B357" s="1" t="s">
        <v>3725</v>
      </c>
      <c r="C357" s="1" t="s">
        <v>2574</v>
      </c>
      <c r="D357" s="1" t="s">
        <v>2564</v>
      </c>
      <c r="E357" s="1">
        <v>85338</v>
      </c>
      <c r="F357" s="1" t="s">
        <v>3726</v>
      </c>
      <c r="G357" s="1" t="s">
        <v>2952</v>
      </c>
      <c r="H357" s="4" t="s">
        <v>933</v>
      </c>
      <c r="I357" s="5" t="s">
        <v>2412</v>
      </c>
      <c r="J357" s="5" t="s">
        <v>75</v>
      </c>
      <c r="K357" s="5" t="s">
        <v>24</v>
      </c>
      <c r="L357" s="5" t="s">
        <v>75</v>
      </c>
      <c r="M357" s="5" t="s">
        <v>24</v>
      </c>
      <c r="N357" s="5" t="s">
        <v>24</v>
      </c>
      <c r="O357" s="5" t="s">
        <v>75</v>
      </c>
      <c r="P357" s="5" t="s">
        <v>2413</v>
      </c>
      <c r="Q357" s="2">
        <v>45967</v>
      </c>
      <c r="V357" s="45">
        <f t="shared" si="5"/>
        <v>1</v>
      </c>
      <c r="W357" s="45" t="s">
        <v>3727</v>
      </c>
    </row>
    <row r="358" spans="1:23" hidden="1">
      <c r="A358" s="2">
        <v>45903</v>
      </c>
      <c r="B358" s="1" t="s">
        <v>3728</v>
      </c>
      <c r="C358" s="1" t="s">
        <v>3729</v>
      </c>
      <c r="D358" s="1" t="s">
        <v>2564</v>
      </c>
      <c r="E358" s="1">
        <v>85395</v>
      </c>
      <c r="F358" s="1" t="s">
        <v>3730</v>
      </c>
      <c r="G358" s="1" t="s">
        <v>2952</v>
      </c>
      <c r="H358" s="21" t="s">
        <v>935</v>
      </c>
      <c r="I358" s="5" t="s">
        <v>2412</v>
      </c>
      <c r="J358" s="5" t="s">
        <v>24</v>
      </c>
      <c r="K358" s="5" t="s">
        <v>24</v>
      </c>
      <c r="L358" s="5" t="s">
        <v>75</v>
      </c>
      <c r="M358" s="5" t="s">
        <v>24</v>
      </c>
      <c r="N358" s="5" t="s">
        <v>24</v>
      </c>
      <c r="O358" s="5" t="s">
        <v>75</v>
      </c>
      <c r="P358" s="5" t="s">
        <v>2413</v>
      </c>
      <c r="Q358" s="2">
        <v>45967</v>
      </c>
      <c r="V358" s="45">
        <f t="shared" si="5"/>
        <v>1</v>
      </c>
      <c r="W358" s="45" t="s">
        <v>3731</v>
      </c>
    </row>
    <row r="359" spans="1:23" hidden="1">
      <c r="A359" s="2">
        <v>45903</v>
      </c>
      <c r="B359" s="1" t="s">
        <v>3732</v>
      </c>
      <c r="C359" s="1" t="s">
        <v>3733</v>
      </c>
      <c r="D359" s="1" t="s">
        <v>2513</v>
      </c>
      <c r="E359" s="1">
        <v>85266</v>
      </c>
      <c r="F359" s="1" t="s">
        <v>2730</v>
      </c>
      <c r="G359" s="1" t="s">
        <v>2952</v>
      </c>
      <c r="H359" s="21" t="s">
        <v>3734</v>
      </c>
      <c r="I359" s="5" t="s">
        <v>2412</v>
      </c>
      <c r="J359" s="5" t="s">
        <v>24</v>
      </c>
      <c r="K359" s="5" t="s">
        <v>24</v>
      </c>
      <c r="L359" s="5" t="s">
        <v>75</v>
      </c>
      <c r="M359" s="5" t="s">
        <v>24</v>
      </c>
      <c r="N359" s="5" t="s">
        <v>24</v>
      </c>
      <c r="O359" s="5" t="s">
        <v>75</v>
      </c>
      <c r="P359" s="5" t="s">
        <v>2413</v>
      </c>
      <c r="Q359" s="2">
        <v>45967</v>
      </c>
      <c r="V359" s="45">
        <f t="shared" si="5"/>
        <v>1</v>
      </c>
      <c r="W359" s="45" t="s">
        <v>3735</v>
      </c>
    </row>
    <row r="360" spans="1:23" hidden="1">
      <c r="A360" s="2">
        <v>45903</v>
      </c>
      <c r="B360" s="1" t="s">
        <v>3736</v>
      </c>
      <c r="C360" s="1" t="s">
        <v>3737</v>
      </c>
      <c r="D360" s="1" t="s">
        <v>2513</v>
      </c>
      <c r="E360" s="1">
        <v>85259</v>
      </c>
      <c r="F360" s="1" t="s">
        <v>2406</v>
      </c>
      <c r="G360" s="1" t="s">
        <v>2952</v>
      </c>
      <c r="H360" s="4" t="s">
        <v>2613</v>
      </c>
      <c r="V360" s="45">
        <f t="shared" si="5"/>
        <v>1</v>
      </c>
      <c r="W360" s="45" t="s">
        <v>3738</v>
      </c>
    </row>
    <row r="361" spans="1:23" hidden="1">
      <c r="A361" s="2">
        <v>45903</v>
      </c>
      <c r="B361" s="1" t="s">
        <v>3739</v>
      </c>
      <c r="C361" s="1" t="s">
        <v>3733</v>
      </c>
      <c r="D361" s="1" t="s">
        <v>2439</v>
      </c>
      <c r="E361" s="1">
        <v>85050</v>
      </c>
      <c r="F361" s="1" t="s">
        <v>2406</v>
      </c>
      <c r="G361" s="1" t="s">
        <v>2952</v>
      </c>
      <c r="H361" s="4" t="s">
        <v>2401</v>
      </c>
      <c r="V361" s="45">
        <f t="shared" si="5"/>
        <v>1</v>
      </c>
      <c r="W361" s="45" t="s">
        <v>3740</v>
      </c>
    </row>
    <row r="362" spans="1:23" hidden="1">
      <c r="A362" s="2">
        <v>45903</v>
      </c>
      <c r="B362" s="1" t="s">
        <v>3741</v>
      </c>
      <c r="C362" s="1" t="s">
        <v>3742</v>
      </c>
      <c r="D362" s="1" t="s">
        <v>2564</v>
      </c>
      <c r="E362" s="1">
        <v>85338</v>
      </c>
      <c r="F362" s="1" t="s">
        <v>3743</v>
      </c>
      <c r="G362" s="1" t="s">
        <v>2952</v>
      </c>
      <c r="H362" s="4" t="s">
        <v>2471</v>
      </c>
      <c r="V362" s="45">
        <f t="shared" si="5"/>
        <v>1</v>
      </c>
      <c r="W362" s="45" t="s">
        <v>3744</v>
      </c>
    </row>
    <row r="363" spans="1:23" hidden="1">
      <c r="A363" s="2">
        <v>45903</v>
      </c>
      <c r="B363" s="1" t="s">
        <v>3745</v>
      </c>
      <c r="C363" s="1" t="s">
        <v>3746</v>
      </c>
      <c r="D363" s="1" t="s">
        <v>2605</v>
      </c>
      <c r="E363" s="1">
        <v>85383</v>
      </c>
      <c r="F363" s="1" t="s">
        <v>2730</v>
      </c>
      <c r="G363" s="1" t="s">
        <v>2952</v>
      </c>
      <c r="H363" s="21" t="s">
        <v>937</v>
      </c>
      <c r="I363" s="5" t="s">
        <v>2988</v>
      </c>
      <c r="J363" s="5" t="s">
        <v>24</v>
      </c>
      <c r="K363" s="5" t="s">
        <v>24</v>
      </c>
      <c r="L363" s="5" t="s">
        <v>2819</v>
      </c>
      <c r="M363" s="5" t="s">
        <v>24</v>
      </c>
      <c r="N363" s="5" t="s">
        <v>24</v>
      </c>
      <c r="O363" s="5" t="s">
        <v>75</v>
      </c>
      <c r="P363" s="5" t="s">
        <v>2413</v>
      </c>
      <c r="Q363" s="2">
        <v>45967</v>
      </c>
      <c r="V363" s="45">
        <f t="shared" si="5"/>
        <v>1</v>
      </c>
      <c r="W363" s="45" t="s">
        <v>3747</v>
      </c>
    </row>
    <row r="364" spans="1:23" hidden="1">
      <c r="A364" s="2">
        <v>45903</v>
      </c>
      <c r="B364" s="1" t="s">
        <v>3748</v>
      </c>
      <c r="C364" s="1" t="s">
        <v>3749</v>
      </c>
      <c r="D364" s="1" t="s">
        <v>2439</v>
      </c>
      <c r="E364" s="1">
        <v>85024</v>
      </c>
      <c r="F364" s="1" t="s">
        <v>3750</v>
      </c>
      <c r="G364" s="1" t="s">
        <v>2952</v>
      </c>
      <c r="H364" s="21" t="s">
        <v>3751</v>
      </c>
      <c r="I364" s="5" t="s">
        <v>2597</v>
      </c>
      <c r="J364" s="5" t="s">
        <v>24</v>
      </c>
      <c r="K364" s="5" t="s">
        <v>24</v>
      </c>
      <c r="L364" s="7" t="s">
        <v>3752</v>
      </c>
      <c r="M364" s="5" t="s">
        <v>24</v>
      </c>
      <c r="N364" s="5" t="s">
        <v>24</v>
      </c>
      <c r="O364" s="5" t="s">
        <v>75</v>
      </c>
      <c r="P364" s="2">
        <v>45936</v>
      </c>
      <c r="Q364" s="2">
        <v>45967</v>
      </c>
      <c r="R364" s="1" t="s">
        <v>3753</v>
      </c>
      <c r="V364" s="45">
        <f t="shared" si="5"/>
        <v>1</v>
      </c>
      <c r="W364" s="45" t="s">
        <v>3754</v>
      </c>
    </row>
    <row r="365" spans="1:23" hidden="1">
      <c r="A365" s="2">
        <v>45903</v>
      </c>
      <c r="B365" s="1" t="s">
        <v>3755</v>
      </c>
      <c r="C365" s="1" t="s">
        <v>3756</v>
      </c>
      <c r="D365" s="1" t="s">
        <v>2605</v>
      </c>
      <c r="E365" s="1">
        <v>85383</v>
      </c>
      <c r="F365" s="1" t="s">
        <v>2730</v>
      </c>
      <c r="G365" s="1" t="s">
        <v>2952</v>
      </c>
      <c r="H365" s="21" t="s">
        <v>3757</v>
      </c>
      <c r="I365" s="5" t="s">
        <v>2412</v>
      </c>
      <c r="J365" s="5" t="s">
        <v>24</v>
      </c>
      <c r="K365" s="5" t="s">
        <v>24</v>
      </c>
      <c r="L365" s="5" t="s">
        <v>75</v>
      </c>
      <c r="M365" s="5" t="s">
        <v>24</v>
      </c>
      <c r="N365" s="5" t="s">
        <v>24</v>
      </c>
      <c r="O365" s="5" t="s">
        <v>75</v>
      </c>
      <c r="P365" s="5" t="s">
        <v>2413</v>
      </c>
      <c r="Q365" s="2">
        <v>45967</v>
      </c>
      <c r="V365" s="45">
        <f t="shared" si="5"/>
        <v>1</v>
      </c>
      <c r="W365" s="45" t="s">
        <v>3758</v>
      </c>
    </row>
    <row r="366" spans="1:23" hidden="1">
      <c r="A366" s="2">
        <v>45903</v>
      </c>
      <c r="B366" s="1" t="s">
        <v>3759</v>
      </c>
      <c r="C366" s="1" t="s">
        <v>3760</v>
      </c>
      <c r="D366" s="1" t="s">
        <v>2439</v>
      </c>
      <c r="E366" s="1">
        <v>85085</v>
      </c>
      <c r="F366" s="1" t="s">
        <v>2730</v>
      </c>
      <c r="G366" s="1" t="s">
        <v>2952</v>
      </c>
      <c r="H366" s="21" t="s">
        <v>3761</v>
      </c>
      <c r="I366" s="5" t="s">
        <v>2412</v>
      </c>
      <c r="J366" s="5" t="s">
        <v>24</v>
      </c>
      <c r="K366" s="5" t="s">
        <v>24</v>
      </c>
      <c r="L366" s="5" t="s">
        <v>75</v>
      </c>
      <c r="M366" s="5" t="s">
        <v>24</v>
      </c>
      <c r="N366" s="5" t="s">
        <v>24</v>
      </c>
      <c r="O366" s="5" t="s">
        <v>75</v>
      </c>
      <c r="P366" s="5" t="s">
        <v>2413</v>
      </c>
      <c r="Q366" s="2">
        <v>45967</v>
      </c>
      <c r="V366" s="45">
        <f t="shared" si="5"/>
        <v>1</v>
      </c>
      <c r="W366" s="45" t="s">
        <v>3762</v>
      </c>
    </row>
    <row r="367" spans="1:23" hidden="1">
      <c r="A367" s="2">
        <v>45903</v>
      </c>
      <c r="B367" s="1" t="s">
        <v>3763</v>
      </c>
      <c r="C367" s="1" t="s">
        <v>3764</v>
      </c>
      <c r="D367" s="1" t="s">
        <v>2650</v>
      </c>
      <c r="E367" s="1">
        <v>85340</v>
      </c>
      <c r="F367" s="1" t="s">
        <v>3765</v>
      </c>
      <c r="G367" s="1" t="s">
        <v>2952</v>
      </c>
      <c r="H367" s="21" t="s">
        <v>3766</v>
      </c>
      <c r="I367" s="5" t="s">
        <v>2514</v>
      </c>
      <c r="J367" s="5" t="s">
        <v>75</v>
      </c>
      <c r="K367" s="5" t="s">
        <v>24</v>
      </c>
      <c r="L367" s="5" t="s">
        <v>3767</v>
      </c>
      <c r="M367" s="5" t="s">
        <v>24</v>
      </c>
      <c r="N367" s="5" t="s">
        <v>24</v>
      </c>
      <c r="O367" s="5" t="s">
        <v>75</v>
      </c>
      <c r="P367" s="5" t="s">
        <v>2413</v>
      </c>
      <c r="Q367" s="2">
        <v>45967</v>
      </c>
      <c r="V367" s="45">
        <f t="shared" si="5"/>
        <v>1</v>
      </c>
      <c r="W367" s="45" t="s">
        <v>3768</v>
      </c>
    </row>
    <row r="368" spans="1:23" hidden="1">
      <c r="A368" s="2">
        <v>45903</v>
      </c>
      <c r="B368" s="1" t="s">
        <v>3769</v>
      </c>
      <c r="C368" s="1" t="s">
        <v>3770</v>
      </c>
      <c r="D368" s="1" t="s">
        <v>2439</v>
      </c>
      <c r="E368" s="1">
        <v>85050</v>
      </c>
      <c r="F368" s="1" t="s">
        <v>3771</v>
      </c>
      <c r="G368" s="1" t="s">
        <v>2952</v>
      </c>
      <c r="H368" s="21" t="s">
        <v>3772</v>
      </c>
      <c r="I368" s="5" t="s">
        <v>3596</v>
      </c>
      <c r="J368" s="5" t="s">
        <v>24</v>
      </c>
      <c r="K368" s="5" t="s">
        <v>24</v>
      </c>
      <c r="L368" s="7" t="s">
        <v>3773</v>
      </c>
      <c r="M368" s="5" t="s">
        <v>24</v>
      </c>
      <c r="N368" s="5" t="s">
        <v>24</v>
      </c>
      <c r="O368" s="5" t="s">
        <v>75</v>
      </c>
      <c r="P368" s="2">
        <v>45936</v>
      </c>
      <c r="Q368" s="2">
        <v>45967</v>
      </c>
      <c r="R368" s="1" t="s">
        <v>3774</v>
      </c>
      <c r="V368" s="45">
        <f t="shared" si="5"/>
        <v>1</v>
      </c>
      <c r="W368" s="45" t="s">
        <v>3775</v>
      </c>
    </row>
    <row r="369" spans="1:23" hidden="1">
      <c r="A369" s="2">
        <v>45903</v>
      </c>
      <c r="B369" s="1" t="s">
        <v>3776</v>
      </c>
      <c r="C369" s="1" t="s">
        <v>3777</v>
      </c>
      <c r="D369" s="1" t="s">
        <v>2969</v>
      </c>
      <c r="E369" s="1">
        <v>85392</v>
      </c>
      <c r="F369" s="1" t="s">
        <v>2406</v>
      </c>
      <c r="G369" s="1" t="s">
        <v>2952</v>
      </c>
      <c r="H369" s="4" t="s">
        <v>2401</v>
      </c>
      <c r="V369" s="45">
        <f t="shared" si="5"/>
        <v>1</v>
      </c>
      <c r="W369" s="45" t="s">
        <v>3778</v>
      </c>
    </row>
    <row r="370" spans="1:23" hidden="1">
      <c r="A370" s="2">
        <v>45903</v>
      </c>
      <c r="B370" s="1" t="s">
        <v>3779</v>
      </c>
      <c r="C370" s="1" t="s">
        <v>3780</v>
      </c>
      <c r="D370" s="1" t="s">
        <v>2405</v>
      </c>
      <c r="E370" s="1">
        <v>85085</v>
      </c>
      <c r="F370" s="1" t="s">
        <v>2730</v>
      </c>
      <c r="G370" s="1" t="s">
        <v>2952</v>
      </c>
      <c r="H370" s="21" t="s">
        <v>3781</v>
      </c>
      <c r="I370" s="5" t="s">
        <v>2597</v>
      </c>
      <c r="J370" s="5" t="s">
        <v>24</v>
      </c>
      <c r="K370" s="5" t="s">
        <v>24</v>
      </c>
      <c r="L370" s="5" t="s">
        <v>3782</v>
      </c>
      <c r="M370" s="5" t="s">
        <v>24</v>
      </c>
      <c r="N370" s="5" t="s">
        <v>24</v>
      </c>
      <c r="O370" s="5" t="s">
        <v>75</v>
      </c>
      <c r="P370" s="5" t="s">
        <v>2413</v>
      </c>
      <c r="Q370" s="2">
        <v>45967</v>
      </c>
      <c r="V370" s="45">
        <f t="shared" si="5"/>
        <v>1</v>
      </c>
      <c r="W370" s="45" t="s">
        <v>3783</v>
      </c>
    </row>
    <row r="371" spans="1:23" hidden="1">
      <c r="A371" s="2">
        <v>45903</v>
      </c>
      <c r="B371" s="1" t="s">
        <v>3784</v>
      </c>
      <c r="C371" s="1" t="s">
        <v>3785</v>
      </c>
      <c r="D371" s="1" t="s">
        <v>2605</v>
      </c>
      <c r="E371" s="1">
        <v>85383</v>
      </c>
      <c r="F371" s="1" t="s">
        <v>3786</v>
      </c>
      <c r="G371" s="1" t="s">
        <v>2952</v>
      </c>
      <c r="H371" s="4" t="s">
        <v>2401</v>
      </c>
      <c r="V371" s="45">
        <f t="shared" si="5"/>
        <v>1</v>
      </c>
      <c r="W371" s="45" t="s">
        <v>3787</v>
      </c>
    </row>
    <row r="372" spans="1:23" hidden="1">
      <c r="A372" s="2">
        <v>45903</v>
      </c>
      <c r="B372" s="1" t="s">
        <v>3788</v>
      </c>
      <c r="C372" s="1" t="s">
        <v>2733</v>
      </c>
      <c r="D372" s="1" t="s">
        <v>2969</v>
      </c>
      <c r="E372" s="1">
        <v>85323</v>
      </c>
      <c r="F372" s="1" t="s">
        <v>3789</v>
      </c>
      <c r="G372" s="1" t="s">
        <v>2952</v>
      </c>
      <c r="H372" s="21" t="s">
        <v>3790</v>
      </c>
      <c r="I372" s="5" t="s">
        <v>2451</v>
      </c>
      <c r="J372" s="5" t="s">
        <v>24</v>
      </c>
      <c r="K372" s="5" t="s">
        <v>24</v>
      </c>
      <c r="L372" s="5" t="s">
        <v>75</v>
      </c>
      <c r="M372" s="5" t="s">
        <v>24</v>
      </c>
      <c r="N372" s="5" t="s">
        <v>24</v>
      </c>
      <c r="O372" s="5" t="s">
        <v>75</v>
      </c>
      <c r="P372" s="5" t="s">
        <v>2413</v>
      </c>
      <c r="Q372" s="2">
        <v>45967</v>
      </c>
      <c r="V372" s="45">
        <f t="shared" si="5"/>
        <v>1</v>
      </c>
      <c r="W372" s="45" t="s">
        <v>3791</v>
      </c>
    </row>
    <row r="373" spans="1:23" hidden="1">
      <c r="A373" s="2">
        <v>45903</v>
      </c>
      <c r="B373" s="1" t="s">
        <v>2573</v>
      </c>
      <c r="C373" s="1" t="s">
        <v>2699</v>
      </c>
      <c r="D373" s="1" t="s">
        <v>2439</v>
      </c>
      <c r="E373" s="1">
        <v>85024</v>
      </c>
      <c r="F373" s="1" t="s">
        <v>2730</v>
      </c>
      <c r="G373" s="1" t="s">
        <v>2952</v>
      </c>
      <c r="H373" s="4" t="s">
        <v>2613</v>
      </c>
      <c r="V373" s="45">
        <f t="shared" si="5"/>
        <v>1</v>
      </c>
      <c r="W373" s="45" t="s">
        <v>3792</v>
      </c>
    </row>
    <row r="374" spans="1:23" hidden="1">
      <c r="A374" s="2">
        <v>45903</v>
      </c>
      <c r="B374" s="1" t="s">
        <v>3793</v>
      </c>
      <c r="C374" s="1" t="s">
        <v>3794</v>
      </c>
      <c r="D374" s="1" t="s">
        <v>2439</v>
      </c>
      <c r="E374" s="1">
        <v>85032</v>
      </c>
      <c r="F374" s="1" t="s">
        <v>2730</v>
      </c>
      <c r="G374" s="1" t="s">
        <v>2952</v>
      </c>
      <c r="H374" s="4" t="s">
        <v>2401</v>
      </c>
      <c r="V374" s="45">
        <f t="shared" si="5"/>
        <v>1</v>
      </c>
      <c r="W374" s="45" t="s">
        <v>3795</v>
      </c>
    </row>
    <row r="375" spans="1:23" hidden="1">
      <c r="A375" s="2">
        <v>45903</v>
      </c>
      <c r="B375" s="1" t="s">
        <v>3796</v>
      </c>
      <c r="C375" s="1" t="s">
        <v>3797</v>
      </c>
      <c r="D375" s="1" t="s">
        <v>2969</v>
      </c>
      <c r="E375" s="1">
        <v>85392</v>
      </c>
      <c r="F375" s="1" t="s">
        <v>3789</v>
      </c>
      <c r="G375" s="1" t="s">
        <v>2952</v>
      </c>
      <c r="H375" s="21" t="s">
        <v>3798</v>
      </c>
      <c r="I375" s="5" t="s">
        <v>2597</v>
      </c>
      <c r="J375" s="5" t="s">
        <v>24</v>
      </c>
      <c r="K375" s="5" t="s">
        <v>24</v>
      </c>
      <c r="L375" s="5" t="s">
        <v>75</v>
      </c>
      <c r="M375" s="5" t="s">
        <v>24</v>
      </c>
      <c r="N375" s="5" t="s">
        <v>24</v>
      </c>
      <c r="O375" s="5" t="s">
        <v>75</v>
      </c>
      <c r="P375" s="5" t="s">
        <v>2413</v>
      </c>
      <c r="Q375" s="2">
        <v>45967</v>
      </c>
      <c r="V375" s="45">
        <f t="shared" si="5"/>
        <v>1</v>
      </c>
      <c r="W375" s="45" t="s">
        <v>3799</v>
      </c>
    </row>
    <row r="376" spans="1:23" hidden="1">
      <c r="A376" s="2">
        <v>45903</v>
      </c>
      <c r="B376" s="1" t="s">
        <v>3800</v>
      </c>
      <c r="C376" s="1" t="s">
        <v>3801</v>
      </c>
      <c r="D376" s="1" t="s">
        <v>2439</v>
      </c>
      <c r="E376" s="1">
        <v>85024</v>
      </c>
      <c r="F376" s="1" t="s">
        <v>2730</v>
      </c>
      <c r="G376" s="1" t="s">
        <v>2952</v>
      </c>
      <c r="H376" s="4" t="s">
        <v>2613</v>
      </c>
      <c r="V376" s="45">
        <f t="shared" si="5"/>
        <v>1</v>
      </c>
      <c r="W376" s="45" t="s">
        <v>3802</v>
      </c>
    </row>
    <row r="377" spans="1:23" hidden="1">
      <c r="A377" s="2">
        <v>45903</v>
      </c>
      <c r="B377" s="1" t="s">
        <v>3803</v>
      </c>
      <c r="C377" s="1" t="s">
        <v>3009</v>
      </c>
      <c r="D377" s="1" t="s">
        <v>2439</v>
      </c>
      <c r="E377" s="1">
        <v>85050</v>
      </c>
      <c r="F377" s="1" t="s">
        <v>2730</v>
      </c>
      <c r="G377" s="1" t="s">
        <v>2952</v>
      </c>
      <c r="H377" s="21" t="s">
        <v>3804</v>
      </c>
      <c r="I377" s="5" t="s">
        <v>2412</v>
      </c>
      <c r="J377" s="5" t="s">
        <v>24</v>
      </c>
      <c r="K377" s="5" t="s">
        <v>24</v>
      </c>
      <c r="L377" s="5" t="s">
        <v>75</v>
      </c>
      <c r="M377" s="5" t="s">
        <v>24</v>
      </c>
      <c r="N377" s="5" t="s">
        <v>24</v>
      </c>
      <c r="O377" s="5" t="s">
        <v>75</v>
      </c>
      <c r="P377" s="5" t="s">
        <v>2413</v>
      </c>
      <c r="Q377" s="2">
        <v>45967</v>
      </c>
      <c r="V377" s="45">
        <f t="shared" si="5"/>
        <v>1</v>
      </c>
      <c r="W377" s="45" t="s">
        <v>3805</v>
      </c>
    </row>
    <row r="378" spans="1:23" hidden="1">
      <c r="A378" s="2">
        <v>45903</v>
      </c>
      <c r="B378" s="1" t="s">
        <v>3806</v>
      </c>
      <c r="C378" s="1" t="s">
        <v>3807</v>
      </c>
      <c r="D378" s="1" t="s">
        <v>2439</v>
      </c>
      <c r="E378" s="1">
        <v>85050</v>
      </c>
      <c r="F378" s="1" t="s">
        <v>3808</v>
      </c>
      <c r="G378" s="1" t="s">
        <v>2952</v>
      </c>
      <c r="H378" s="21" t="s">
        <v>3809</v>
      </c>
      <c r="I378" s="5" t="s">
        <v>2597</v>
      </c>
      <c r="J378" s="5" t="s">
        <v>24</v>
      </c>
      <c r="K378" s="5" t="s">
        <v>24</v>
      </c>
      <c r="L378" s="5" t="s">
        <v>75</v>
      </c>
      <c r="M378" s="5" t="s">
        <v>24</v>
      </c>
      <c r="N378" s="5" t="s">
        <v>24</v>
      </c>
      <c r="O378" s="5" t="s">
        <v>75</v>
      </c>
      <c r="P378" s="5" t="s">
        <v>2413</v>
      </c>
      <c r="Q378" s="2">
        <v>45967</v>
      </c>
      <c r="V378" s="45">
        <f t="shared" si="5"/>
        <v>1</v>
      </c>
      <c r="W378" s="45" t="s">
        <v>3810</v>
      </c>
    </row>
    <row r="379" spans="1:23" hidden="1">
      <c r="A379" s="2">
        <v>45903</v>
      </c>
      <c r="B379" s="1" t="s">
        <v>3811</v>
      </c>
      <c r="C379" s="1" t="s">
        <v>2912</v>
      </c>
      <c r="D379" s="1" t="s">
        <v>2439</v>
      </c>
      <c r="E379" s="1">
        <v>85042</v>
      </c>
      <c r="F379" s="1" t="s">
        <v>2730</v>
      </c>
      <c r="G379" s="1" t="s">
        <v>2952</v>
      </c>
      <c r="H379" s="4" t="s">
        <v>2471</v>
      </c>
      <c r="V379" s="45">
        <f t="shared" si="5"/>
        <v>1</v>
      </c>
      <c r="W379" s="45" t="s">
        <v>3812</v>
      </c>
    </row>
    <row r="380" spans="1:23" hidden="1">
      <c r="A380" s="2">
        <v>45903</v>
      </c>
      <c r="B380" s="1" t="s">
        <v>3813</v>
      </c>
      <c r="C380" s="1" t="s">
        <v>3814</v>
      </c>
      <c r="D380" s="1" t="s">
        <v>3815</v>
      </c>
      <c r="E380" s="1">
        <v>85355</v>
      </c>
      <c r="F380" s="1" t="s">
        <v>3816</v>
      </c>
      <c r="G380" s="1" t="s">
        <v>2952</v>
      </c>
      <c r="H380" s="21" t="s">
        <v>3817</v>
      </c>
      <c r="I380" s="5" t="s">
        <v>2412</v>
      </c>
      <c r="J380" s="5" t="s">
        <v>24</v>
      </c>
      <c r="K380" s="5" t="s">
        <v>24</v>
      </c>
      <c r="L380" s="5" t="s">
        <v>75</v>
      </c>
      <c r="M380" s="5" t="s">
        <v>24</v>
      </c>
      <c r="N380" s="5" t="s">
        <v>24</v>
      </c>
      <c r="O380" s="5" t="s">
        <v>75</v>
      </c>
      <c r="P380" s="5" t="s">
        <v>2413</v>
      </c>
      <c r="Q380" s="2">
        <v>45967</v>
      </c>
      <c r="V380" s="45">
        <f t="shared" si="5"/>
        <v>1</v>
      </c>
      <c r="W380" s="45" t="s">
        <v>3818</v>
      </c>
    </row>
    <row r="381" spans="1:23" hidden="1">
      <c r="A381" s="2">
        <v>45903</v>
      </c>
      <c r="B381" s="1" t="s">
        <v>3313</v>
      </c>
      <c r="C381" s="1" t="s">
        <v>2754</v>
      </c>
      <c r="D381" s="1" t="s">
        <v>2498</v>
      </c>
      <c r="E381" s="1">
        <v>85379</v>
      </c>
      <c r="F381" s="1" t="s">
        <v>2730</v>
      </c>
      <c r="G381" s="1" t="s">
        <v>2952</v>
      </c>
      <c r="H381" s="21" t="s">
        <v>3819</v>
      </c>
      <c r="I381" s="5" t="s">
        <v>2412</v>
      </c>
      <c r="J381" s="5" t="s">
        <v>24</v>
      </c>
      <c r="K381" s="5" t="s">
        <v>24</v>
      </c>
      <c r="L381" s="5" t="s">
        <v>75</v>
      </c>
      <c r="M381" s="5" t="s">
        <v>24</v>
      </c>
      <c r="N381" s="5" t="s">
        <v>24</v>
      </c>
      <c r="O381" s="5" t="s">
        <v>75</v>
      </c>
      <c r="P381" s="5" t="s">
        <v>2413</v>
      </c>
      <c r="Q381" s="2">
        <v>45967</v>
      </c>
      <c r="V381" s="45">
        <f t="shared" si="5"/>
        <v>1</v>
      </c>
      <c r="W381" s="45" t="s">
        <v>3820</v>
      </c>
    </row>
    <row r="382" spans="1:23" hidden="1">
      <c r="A382" s="2">
        <v>45903</v>
      </c>
      <c r="B382" s="1" t="s">
        <v>3821</v>
      </c>
      <c r="C382" s="1" t="s">
        <v>3822</v>
      </c>
      <c r="D382" s="1" t="s">
        <v>2605</v>
      </c>
      <c r="E382" s="1">
        <v>85383</v>
      </c>
      <c r="F382" s="1" t="s">
        <v>2730</v>
      </c>
      <c r="G382" s="1" t="s">
        <v>2952</v>
      </c>
      <c r="H382" s="4" t="s">
        <v>2471</v>
      </c>
      <c r="V382" s="45">
        <f t="shared" si="5"/>
        <v>1</v>
      </c>
      <c r="W382" s="45" t="s">
        <v>3823</v>
      </c>
    </row>
    <row r="383" spans="1:23" hidden="1">
      <c r="A383" s="2">
        <v>45903</v>
      </c>
      <c r="B383" s="1" t="s">
        <v>3824</v>
      </c>
      <c r="C383" s="1" t="s">
        <v>2502</v>
      </c>
      <c r="D383" s="1" t="s">
        <v>2564</v>
      </c>
      <c r="E383" s="1">
        <v>85338</v>
      </c>
      <c r="F383" s="1" t="s">
        <v>3825</v>
      </c>
      <c r="G383" s="1" t="s">
        <v>2952</v>
      </c>
      <c r="H383" s="21" t="s">
        <v>3826</v>
      </c>
      <c r="I383" s="5" t="s">
        <v>2412</v>
      </c>
      <c r="J383" s="5" t="s">
        <v>24</v>
      </c>
      <c r="K383" s="5" t="s">
        <v>24</v>
      </c>
      <c r="L383" s="5" t="s">
        <v>75</v>
      </c>
      <c r="M383" s="5" t="s">
        <v>24</v>
      </c>
      <c r="N383" s="5" t="s">
        <v>24</v>
      </c>
      <c r="O383" s="5" t="s">
        <v>75</v>
      </c>
      <c r="P383" s="5" t="s">
        <v>2413</v>
      </c>
      <c r="Q383" s="2">
        <v>45967</v>
      </c>
      <c r="V383" s="45">
        <f t="shared" si="5"/>
        <v>1</v>
      </c>
      <c r="W383" s="45" t="s">
        <v>3827</v>
      </c>
    </row>
    <row r="384" spans="1:23" hidden="1">
      <c r="A384" s="2">
        <v>45903</v>
      </c>
      <c r="B384" s="1" t="s">
        <v>3828</v>
      </c>
      <c r="C384" s="1" t="s">
        <v>3829</v>
      </c>
      <c r="D384" s="1" t="s">
        <v>2564</v>
      </c>
      <c r="E384" s="1">
        <v>85338</v>
      </c>
      <c r="F384" s="1" t="s">
        <v>3830</v>
      </c>
      <c r="G384" s="1" t="s">
        <v>2952</v>
      </c>
      <c r="H384" s="21" t="s">
        <v>3831</v>
      </c>
      <c r="I384" s="5" t="s">
        <v>2420</v>
      </c>
      <c r="J384" s="5" t="s">
        <v>24</v>
      </c>
      <c r="K384" s="5" t="s">
        <v>24</v>
      </c>
      <c r="L384" s="7" t="s">
        <v>3832</v>
      </c>
      <c r="M384" s="5" t="s">
        <v>24</v>
      </c>
      <c r="N384" s="5" t="s">
        <v>24</v>
      </c>
      <c r="O384" s="5" t="s">
        <v>75</v>
      </c>
      <c r="P384" s="2">
        <v>46301</v>
      </c>
      <c r="Q384" s="2">
        <v>45967</v>
      </c>
      <c r="R384" s="1" t="s">
        <v>3833</v>
      </c>
      <c r="V384" s="45">
        <f t="shared" si="5"/>
        <v>1</v>
      </c>
      <c r="W384" s="45" t="s">
        <v>3834</v>
      </c>
    </row>
    <row r="385" spans="1:23" hidden="1">
      <c r="A385" s="2">
        <v>45903</v>
      </c>
      <c r="B385" s="1" t="s">
        <v>3835</v>
      </c>
      <c r="C385" s="1" t="s">
        <v>3836</v>
      </c>
      <c r="D385" s="1" t="s">
        <v>2650</v>
      </c>
      <c r="E385" s="1">
        <v>85340</v>
      </c>
      <c r="F385" s="1" t="s">
        <v>2406</v>
      </c>
      <c r="G385" s="1" t="s">
        <v>2952</v>
      </c>
      <c r="H385" s="21" t="s">
        <v>3837</v>
      </c>
      <c r="I385" s="5" t="s">
        <v>2412</v>
      </c>
      <c r="J385" s="5" t="s">
        <v>24</v>
      </c>
      <c r="K385" s="5" t="s">
        <v>24</v>
      </c>
      <c r="L385" s="5" t="s">
        <v>75</v>
      </c>
      <c r="M385" s="5" t="s">
        <v>24</v>
      </c>
      <c r="N385" s="5" t="s">
        <v>24</v>
      </c>
      <c r="O385" s="5" t="s">
        <v>75</v>
      </c>
      <c r="P385" s="5" t="s">
        <v>2413</v>
      </c>
      <c r="Q385" s="2">
        <v>45967</v>
      </c>
      <c r="V385" s="45">
        <f t="shared" si="5"/>
        <v>1</v>
      </c>
      <c r="W385" s="45" t="s">
        <v>3838</v>
      </c>
    </row>
    <row r="386" spans="1:23" hidden="1">
      <c r="A386" s="2">
        <v>45903</v>
      </c>
      <c r="B386" s="1" t="s">
        <v>3839</v>
      </c>
      <c r="C386" s="1" t="s">
        <v>3840</v>
      </c>
      <c r="D386" s="1" t="s">
        <v>2564</v>
      </c>
      <c r="E386" s="1">
        <v>85395</v>
      </c>
      <c r="F386" s="1" t="s">
        <v>3841</v>
      </c>
      <c r="G386" s="1" t="s">
        <v>2952</v>
      </c>
      <c r="H386" s="21" t="s">
        <v>3842</v>
      </c>
      <c r="I386" s="5" t="s">
        <v>2420</v>
      </c>
      <c r="J386" s="5" t="s">
        <v>24</v>
      </c>
      <c r="K386" s="5" t="s">
        <v>24</v>
      </c>
      <c r="L386" s="5" t="s">
        <v>75</v>
      </c>
      <c r="M386" s="5" t="s">
        <v>24</v>
      </c>
      <c r="N386" s="5" t="s">
        <v>24</v>
      </c>
      <c r="O386" s="5" t="s">
        <v>75</v>
      </c>
      <c r="P386" s="5" t="s">
        <v>2413</v>
      </c>
      <c r="Q386" s="2">
        <v>45967</v>
      </c>
      <c r="V386" s="45">
        <f t="shared" ref="V386:V449" si="6">IF(OR(ISNUMBER(SEARCH("unable to locate acct",G386)),ISNUMBER(SEARCH("unknown",G386)),ISNUMBER(SEARCH("inactive",G386)),H386=""),0,1)</f>
        <v>1</v>
      </c>
      <c r="W386" s="45" t="s">
        <v>3843</v>
      </c>
    </row>
    <row r="387" spans="1:23" hidden="1">
      <c r="A387" s="2">
        <v>45903</v>
      </c>
      <c r="B387" s="1" t="s">
        <v>3844</v>
      </c>
      <c r="C387" s="1" t="s">
        <v>3845</v>
      </c>
      <c r="D387" s="1" t="s">
        <v>2498</v>
      </c>
      <c r="E387" s="1">
        <v>85387</v>
      </c>
      <c r="F387" s="1" t="s">
        <v>2406</v>
      </c>
      <c r="G387" s="1" t="s">
        <v>2952</v>
      </c>
      <c r="H387" s="21" t="s">
        <v>3846</v>
      </c>
      <c r="I387" s="5" t="s">
        <v>2597</v>
      </c>
      <c r="J387" s="5" t="s">
        <v>24</v>
      </c>
      <c r="K387" s="5" t="s">
        <v>24</v>
      </c>
      <c r="L387" s="5" t="s">
        <v>3847</v>
      </c>
      <c r="M387" s="5" t="s">
        <v>24</v>
      </c>
      <c r="N387" s="5" t="s">
        <v>24</v>
      </c>
      <c r="O387" s="5" t="s">
        <v>75</v>
      </c>
      <c r="P387" s="5" t="s">
        <v>2413</v>
      </c>
      <c r="Q387" s="2">
        <v>45967</v>
      </c>
      <c r="R387" s="1" t="s">
        <v>3848</v>
      </c>
      <c r="V387" s="45">
        <f t="shared" si="6"/>
        <v>1</v>
      </c>
      <c r="W387" s="45" t="s">
        <v>3849</v>
      </c>
    </row>
    <row r="388" spans="1:23" hidden="1">
      <c r="A388" s="2">
        <v>45903</v>
      </c>
      <c r="B388" s="1" t="s">
        <v>3850</v>
      </c>
      <c r="C388" s="1" t="s">
        <v>3851</v>
      </c>
      <c r="D388" s="1" t="s">
        <v>2570</v>
      </c>
      <c r="E388" s="1">
        <v>85326</v>
      </c>
      <c r="F388" s="1" t="s">
        <v>2730</v>
      </c>
      <c r="G388" s="1" t="s">
        <v>2952</v>
      </c>
      <c r="H388" s="4" t="s">
        <v>2471</v>
      </c>
      <c r="V388" s="45">
        <f t="shared" si="6"/>
        <v>1</v>
      </c>
      <c r="W388" s="45" t="s">
        <v>3852</v>
      </c>
    </row>
    <row r="389" spans="1:23" hidden="1">
      <c r="A389" s="2">
        <v>45903</v>
      </c>
      <c r="B389" s="1" t="s">
        <v>3853</v>
      </c>
      <c r="C389" s="1" t="s">
        <v>2788</v>
      </c>
      <c r="D389" s="1" t="s">
        <v>2564</v>
      </c>
      <c r="E389" s="1">
        <v>85338</v>
      </c>
      <c r="F389" s="1" t="s">
        <v>2730</v>
      </c>
      <c r="G389" s="1" t="s">
        <v>2952</v>
      </c>
      <c r="H389" s="21" t="s">
        <v>3854</v>
      </c>
      <c r="I389" s="5" t="s">
        <v>2597</v>
      </c>
      <c r="J389" s="5" t="s">
        <v>24</v>
      </c>
      <c r="K389" s="5" t="s">
        <v>24</v>
      </c>
      <c r="L389" s="7" t="s">
        <v>3855</v>
      </c>
      <c r="M389" s="5" t="s">
        <v>24</v>
      </c>
      <c r="N389" s="5" t="s">
        <v>24</v>
      </c>
      <c r="O389" s="5" t="s">
        <v>75</v>
      </c>
      <c r="P389" s="2">
        <v>45936</v>
      </c>
      <c r="Q389" s="2">
        <v>45967</v>
      </c>
      <c r="R389" s="1" t="s">
        <v>3856</v>
      </c>
      <c r="V389" s="45">
        <f t="shared" si="6"/>
        <v>1</v>
      </c>
      <c r="W389" s="45" t="s">
        <v>3857</v>
      </c>
    </row>
    <row r="390" spans="1:23" hidden="1">
      <c r="A390" s="2">
        <v>45903</v>
      </c>
      <c r="B390" s="1" t="s">
        <v>3858</v>
      </c>
      <c r="C390" s="1" t="s">
        <v>3859</v>
      </c>
      <c r="D390" s="1" t="s">
        <v>2564</v>
      </c>
      <c r="E390" s="1">
        <v>85338</v>
      </c>
      <c r="F390" s="1" t="s">
        <v>3860</v>
      </c>
      <c r="G390" s="1" t="s">
        <v>2952</v>
      </c>
      <c r="H390" s="21" t="s">
        <v>3861</v>
      </c>
      <c r="I390" s="5" t="s">
        <v>2652</v>
      </c>
      <c r="J390" s="5" t="s">
        <v>75</v>
      </c>
      <c r="K390" s="5" t="s">
        <v>24</v>
      </c>
      <c r="L390" s="5" t="s">
        <v>2819</v>
      </c>
      <c r="M390" s="5" t="s">
        <v>75</v>
      </c>
      <c r="N390" s="15">
        <v>520.65</v>
      </c>
      <c r="O390" s="5" t="s">
        <v>75</v>
      </c>
      <c r="P390" s="7"/>
      <c r="Q390" s="2">
        <v>45967</v>
      </c>
      <c r="R390" s="1" t="s">
        <v>2938</v>
      </c>
      <c r="V390" s="45">
        <f t="shared" si="6"/>
        <v>1</v>
      </c>
      <c r="W390" s="45" t="s">
        <v>3862</v>
      </c>
    </row>
    <row r="391" spans="1:23" hidden="1">
      <c r="A391" s="2">
        <v>45903</v>
      </c>
      <c r="B391" s="1" t="s">
        <v>3863</v>
      </c>
      <c r="C391" s="1" t="s">
        <v>3864</v>
      </c>
      <c r="D391" s="1" t="s">
        <v>2564</v>
      </c>
      <c r="E391" s="1">
        <v>85338</v>
      </c>
      <c r="F391" s="1" t="s">
        <v>2406</v>
      </c>
      <c r="G391" s="1" t="s">
        <v>2952</v>
      </c>
      <c r="H391" s="21" t="s">
        <v>3865</v>
      </c>
      <c r="I391" s="5" t="s">
        <v>2597</v>
      </c>
      <c r="J391" s="5" t="s">
        <v>24</v>
      </c>
      <c r="K391" s="5" t="s">
        <v>24</v>
      </c>
      <c r="L391" s="7" t="s">
        <v>3866</v>
      </c>
      <c r="M391" s="5" t="s">
        <v>24</v>
      </c>
      <c r="N391" s="5" t="s">
        <v>24</v>
      </c>
      <c r="O391" s="5" t="s">
        <v>75</v>
      </c>
      <c r="P391" s="2">
        <v>45936</v>
      </c>
      <c r="Q391" s="2">
        <v>45967</v>
      </c>
      <c r="R391" s="1" t="s">
        <v>3867</v>
      </c>
      <c r="V391" s="45">
        <f t="shared" si="6"/>
        <v>1</v>
      </c>
      <c r="W391" s="45" t="s">
        <v>3868</v>
      </c>
    </row>
    <row r="392" spans="1:23" hidden="1">
      <c r="A392" s="2">
        <v>45903</v>
      </c>
      <c r="B392" s="1" t="s">
        <v>3869</v>
      </c>
      <c r="C392" s="1" t="s">
        <v>3245</v>
      </c>
      <c r="D392" s="1" t="s">
        <v>2605</v>
      </c>
      <c r="E392" s="1">
        <v>85383</v>
      </c>
      <c r="F392" s="1" t="s">
        <v>2730</v>
      </c>
      <c r="G392" s="1" t="s">
        <v>2952</v>
      </c>
      <c r="H392" s="4" t="s">
        <v>2401</v>
      </c>
      <c r="V392" s="45">
        <f t="shared" si="6"/>
        <v>1</v>
      </c>
      <c r="W392" s="45" t="s">
        <v>3870</v>
      </c>
    </row>
    <row r="393" spans="1:23" hidden="1">
      <c r="A393" s="2">
        <v>45903</v>
      </c>
      <c r="B393" s="1" t="s">
        <v>3871</v>
      </c>
      <c r="C393" s="1" t="s">
        <v>3872</v>
      </c>
      <c r="D393" s="1" t="s">
        <v>2800</v>
      </c>
      <c r="E393" s="1">
        <v>85225</v>
      </c>
      <c r="F393" s="1" t="s">
        <v>2730</v>
      </c>
      <c r="G393" s="1" t="s">
        <v>2952</v>
      </c>
      <c r="H393" s="21" t="s">
        <v>3873</v>
      </c>
      <c r="I393" s="5" t="s">
        <v>2412</v>
      </c>
      <c r="J393" s="5" t="s">
        <v>24</v>
      </c>
      <c r="K393" s="5" t="s">
        <v>24</v>
      </c>
      <c r="L393" s="5" t="s">
        <v>75</v>
      </c>
      <c r="M393" s="5" t="s">
        <v>24</v>
      </c>
      <c r="N393" s="5" t="s">
        <v>24</v>
      </c>
      <c r="O393" s="5" t="s">
        <v>75</v>
      </c>
      <c r="P393" s="5" t="s">
        <v>2413</v>
      </c>
      <c r="Q393" s="2">
        <v>45967</v>
      </c>
      <c r="V393" s="45">
        <f t="shared" si="6"/>
        <v>1</v>
      </c>
      <c r="W393" s="45" t="s">
        <v>3874</v>
      </c>
    </row>
    <row r="394" spans="1:23" hidden="1">
      <c r="A394" s="2">
        <v>45903</v>
      </c>
      <c r="B394" s="1" t="s">
        <v>3875</v>
      </c>
      <c r="C394" s="1" t="s">
        <v>2550</v>
      </c>
      <c r="D394" s="1" t="s">
        <v>2439</v>
      </c>
      <c r="E394" s="1">
        <v>85032</v>
      </c>
      <c r="F394" s="1" t="s">
        <v>2730</v>
      </c>
      <c r="G394" s="1" t="s">
        <v>2952</v>
      </c>
      <c r="H394" s="21" t="s">
        <v>3876</v>
      </c>
      <c r="I394" s="5" t="s">
        <v>2597</v>
      </c>
      <c r="J394" s="5" t="s">
        <v>24</v>
      </c>
      <c r="K394" s="5" t="s">
        <v>24</v>
      </c>
      <c r="L394" s="7" t="s">
        <v>3877</v>
      </c>
      <c r="M394" s="5" t="s">
        <v>24</v>
      </c>
      <c r="N394" s="5" t="s">
        <v>24</v>
      </c>
      <c r="O394" s="5" t="s">
        <v>75</v>
      </c>
      <c r="P394" s="2">
        <v>45936</v>
      </c>
      <c r="Q394" s="2">
        <v>45967</v>
      </c>
      <c r="R394" s="1" t="s">
        <v>3867</v>
      </c>
      <c r="V394" s="45">
        <f t="shared" si="6"/>
        <v>1</v>
      </c>
      <c r="W394" s="45" t="s">
        <v>3878</v>
      </c>
    </row>
    <row r="395" spans="1:23" hidden="1">
      <c r="A395" s="2">
        <v>45903</v>
      </c>
      <c r="B395" s="1" t="s">
        <v>2526</v>
      </c>
      <c r="C395" s="1" t="s">
        <v>2896</v>
      </c>
      <c r="D395" s="1" t="s">
        <v>2398</v>
      </c>
      <c r="E395" s="1">
        <v>85306</v>
      </c>
      <c r="F395" s="1" t="s">
        <v>2730</v>
      </c>
      <c r="G395" s="1" t="s">
        <v>2952</v>
      </c>
      <c r="H395" s="21" t="s">
        <v>3879</v>
      </c>
      <c r="I395" s="5" t="s">
        <v>2597</v>
      </c>
      <c r="J395" s="5" t="s">
        <v>24</v>
      </c>
      <c r="K395" s="5" t="s">
        <v>24</v>
      </c>
      <c r="L395" s="5" t="s">
        <v>3880</v>
      </c>
      <c r="M395" s="5" t="s">
        <v>24</v>
      </c>
      <c r="N395" s="5" t="s">
        <v>24</v>
      </c>
      <c r="O395" s="5" t="s">
        <v>75</v>
      </c>
      <c r="P395" s="5" t="s">
        <v>2413</v>
      </c>
      <c r="Q395" s="2">
        <v>45967</v>
      </c>
      <c r="V395" s="45">
        <f t="shared" si="6"/>
        <v>1</v>
      </c>
      <c r="W395" s="45" t="s">
        <v>3881</v>
      </c>
    </row>
    <row r="396" spans="1:23" hidden="1">
      <c r="A396" s="2">
        <v>45903</v>
      </c>
      <c r="B396" s="1" t="s">
        <v>3882</v>
      </c>
      <c r="C396" s="1" t="s">
        <v>3665</v>
      </c>
      <c r="D396" s="1" t="s">
        <v>2564</v>
      </c>
      <c r="E396" s="1">
        <v>85338</v>
      </c>
      <c r="F396" s="1" t="s">
        <v>3237</v>
      </c>
      <c r="G396" s="1" t="s">
        <v>2952</v>
      </c>
      <c r="H396" s="21" t="s">
        <v>3883</v>
      </c>
      <c r="I396" s="5" t="s">
        <v>2597</v>
      </c>
      <c r="J396" s="5" t="s">
        <v>24</v>
      </c>
      <c r="K396" s="5" t="s">
        <v>24</v>
      </c>
      <c r="L396" s="5" t="s">
        <v>3884</v>
      </c>
      <c r="M396" s="5" t="s">
        <v>24</v>
      </c>
      <c r="N396" s="5" t="s">
        <v>24</v>
      </c>
      <c r="O396" s="5" t="s">
        <v>75</v>
      </c>
      <c r="P396" s="5" t="s">
        <v>2413</v>
      </c>
      <c r="Q396" s="2">
        <v>45967</v>
      </c>
      <c r="V396" s="45">
        <f t="shared" si="6"/>
        <v>1</v>
      </c>
      <c r="W396" s="45" t="s">
        <v>3885</v>
      </c>
    </row>
    <row r="397" spans="1:23" hidden="1">
      <c r="A397" s="2">
        <v>45903</v>
      </c>
      <c r="B397" s="1" t="s">
        <v>3886</v>
      </c>
      <c r="C397" s="1" t="s">
        <v>3887</v>
      </c>
      <c r="D397" s="1" t="s">
        <v>2528</v>
      </c>
      <c r="E397" s="1">
        <v>85377</v>
      </c>
      <c r="F397" s="1" t="s">
        <v>3888</v>
      </c>
      <c r="G397" s="1" t="s">
        <v>2952</v>
      </c>
      <c r="H397" s="21" t="s">
        <v>3889</v>
      </c>
      <c r="I397" s="5" t="s">
        <v>2412</v>
      </c>
      <c r="J397" s="5" t="s">
        <v>24</v>
      </c>
      <c r="K397" s="5" t="s">
        <v>24</v>
      </c>
      <c r="L397" s="5" t="s">
        <v>75</v>
      </c>
      <c r="M397" s="5" t="s">
        <v>24</v>
      </c>
      <c r="N397" s="5" t="s">
        <v>24</v>
      </c>
      <c r="O397" s="5" t="s">
        <v>75</v>
      </c>
      <c r="P397" s="5" t="s">
        <v>2413</v>
      </c>
      <c r="Q397" s="2">
        <v>45967</v>
      </c>
      <c r="R397" s="1" t="s">
        <v>3890</v>
      </c>
      <c r="V397" s="45">
        <f t="shared" si="6"/>
        <v>1</v>
      </c>
      <c r="W397" s="45" t="s">
        <v>3891</v>
      </c>
    </row>
    <row r="398" spans="1:23" hidden="1">
      <c r="A398" s="2">
        <v>45903</v>
      </c>
      <c r="B398" s="1" t="s">
        <v>3892</v>
      </c>
      <c r="C398" s="1" t="s">
        <v>2760</v>
      </c>
      <c r="D398" s="1" t="s">
        <v>3090</v>
      </c>
      <c r="E398" s="1">
        <v>85281</v>
      </c>
      <c r="F398" s="1" t="s">
        <v>2406</v>
      </c>
      <c r="G398" s="1" t="s">
        <v>2952</v>
      </c>
      <c r="H398" s="4" t="s">
        <v>2401</v>
      </c>
      <c r="V398" s="45">
        <f t="shared" si="6"/>
        <v>1</v>
      </c>
      <c r="W398" s="45" t="s">
        <v>3893</v>
      </c>
    </row>
    <row r="399" spans="1:23" hidden="1">
      <c r="A399" s="2">
        <v>45903</v>
      </c>
      <c r="B399" s="1" t="s">
        <v>3894</v>
      </c>
      <c r="C399" s="1" t="s">
        <v>3895</v>
      </c>
      <c r="D399" s="1" t="s">
        <v>2605</v>
      </c>
      <c r="E399" s="1">
        <v>85383</v>
      </c>
      <c r="F399" s="1" t="s">
        <v>2406</v>
      </c>
      <c r="G399" s="1" t="s">
        <v>2952</v>
      </c>
      <c r="H399" s="4" t="s">
        <v>2401</v>
      </c>
      <c r="V399" s="45">
        <f t="shared" si="6"/>
        <v>1</v>
      </c>
      <c r="W399" s="45" t="s">
        <v>3896</v>
      </c>
    </row>
    <row r="400" spans="1:23" hidden="1">
      <c r="A400" s="2">
        <v>45903</v>
      </c>
      <c r="B400" s="1" t="s">
        <v>3897</v>
      </c>
      <c r="C400" s="1" t="s">
        <v>3898</v>
      </c>
      <c r="D400" s="1" t="s">
        <v>2439</v>
      </c>
      <c r="E400" s="1">
        <v>85007</v>
      </c>
      <c r="F400" s="1" t="s">
        <v>2730</v>
      </c>
      <c r="G400" s="1" t="s">
        <v>2952</v>
      </c>
      <c r="H400" s="4" t="s">
        <v>2471</v>
      </c>
      <c r="V400" s="45">
        <f t="shared" si="6"/>
        <v>1</v>
      </c>
      <c r="W400" s="45" t="s">
        <v>3899</v>
      </c>
    </row>
    <row r="401" spans="1:23" hidden="1">
      <c r="A401" s="2">
        <v>45903</v>
      </c>
      <c r="B401" s="1" t="s">
        <v>3788</v>
      </c>
      <c r="C401" s="1" t="s">
        <v>3900</v>
      </c>
      <c r="D401" s="1" t="s">
        <v>2564</v>
      </c>
      <c r="E401" s="1">
        <v>85338</v>
      </c>
      <c r="F401" s="1" t="s">
        <v>3901</v>
      </c>
      <c r="G401" s="1" t="s">
        <v>2952</v>
      </c>
      <c r="H401" s="21" t="s">
        <v>3902</v>
      </c>
      <c r="I401" s="5" t="s">
        <v>2848</v>
      </c>
      <c r="J401" s="5" t="s">
        <v>24</v>
      </c>
      <c r="K401" s="5" t="s">
        <v>24</v>
      </c>
      <c r="L401" s="5" t="s">
        <v>2819</v>
      </c>
      <c r="M401" s="5" t="s">
        <v>24</v>
      </c>
      <c r="N401" s="5" t="s">
        <v>24</v>
      </c>
      <c r="O401" s="5" t="s">
        <v>75</v>
      </c>
      <c r="P401" s="5" t="s">
        <v>2413</v>
      </c>
      <c r="Q401" s="2">
        <v>45967</v>
      </c>
      <c r="V401" s="45">
        <f t="shared" si="6"/>
        <v>1</v>
      </c>
      <c r="W401" s="45" t="s">
        <v>3903</v>
      </c>
    </row>
    <row r="402" spans="1:23" hidden="1">
      <c r="A402" s="2">
        <v>45903</v>
      </c>
      <c r="B402" s="1" t="s">
        <v>3904</v>
      </c>
      <c r="C402" s="1" t="s">
        <v>2454</v>
      </c>
      <c r="D402" s="1" t="s">
        <v>2564</v>
      </c>
      <c r="E402" s="1">
        <v>85338</v>
      </c>
      <c r="F402" s="1" t="s">
        <v>3905</v>
      </c>
      <c r="G402" s="1" t="s">
        <v>2952</v>
      </c>
      <c r="H402" s="21" t="s">
        <v>3906</v>
      </c>
      <c r="I402" s="5" t="s">
        <v>2412</v>
      </c>
      <c r="J402" s="5" t="s">
        <v>24</v>
      </c>
      <c r="K402" s="5" t="s">
        <v>24</v>
      </c>
      <c r="L402" s="5" t="s">
        <v>75</v>
      </c>
      <c r="M402" s="5" t="s">
        <v>24</v>
      </c>
      <c r="N402" s="5" t="s">
        <v>24</v>
      </c>
      <c r="O402" s="5" t="s">
        <v>75</v>
      </c>
      <c r="P402" s="5" t="s">
        <v>2413</v>
      </c>
      <c r="Q402" s="2">
        <v>45967</v>
      </c>
      <c r="V402" s="45">
        <f t="shared" si="6"/>
        <v>1</v>
      </c>
      <c r="W402" s="45" t="s">
        <v>3907</v>
      </c>
    </row>
    <row r="403" spans="1:23" hidden="1">
      <c r="A403" s="2">
        <v>45903</v>
      </c>
      <c r="B403" s="1" t="s">
        <v>3908</v>
      </c>
      <c r="C403" s="1" t="s">
        <v>3909</v>
      </c>
      <c r="D403" s="1" t="s">
        <v>2513</v>
      </c>
      <c r="E403" s="1">
        <v>85260</v>
      </c>
      <c r="F403" s="1" t="s">
        <v>2730</v>
      </c>
      <c r="G403" s="1" t="s">
        <v>2952</v>
      </c>
      <c r="H403" s="21" t="s">
        <v>3910</v>
      </c>
      <c r="I403" s="5" t="s">
        <v>2412</v>
      </c>
      <c r="J403" s="5" t="s">
        <v>24</v>
      </c>
      <c r="K403" s="5" t="s">
        <v>24</v>
      </c>
      <c r="L403" s="5" t="s">
        <v>75</v>
      </c>
      <c r="M403" s="5" t="s">
        <v>24</v>
      </c>
      <c r="N403" s="5" t="s">
        <v>24</v>
      </c>
      <c r="O403" s="5" t="s">
        <v>75</v>
      </c>
      <c r="P403" s="5" t="s">
        <v>2413</v>
      </c>
      <c r="Q403" s="2">
        <v>45967</v>
      </c>
      <c r="V403" s="45">
        <f t="shared" si="6"/>
        <v>1</v>
      </c>
      <c r="W403" s="45" t="s">
        <v>3911</v>
      </c>
    </row>
    <row r="404" spans="1:23" hidden="1">
      <c r="A404" s="2">
        <v>45903</v>
      </c>
      <c r="B404" s="1" t="s">
        <v>3912</v>
      </c>
      <c r="C404" s="1" t="s">
        <v>3913</v>
      </c>
      <c r="D404" s="1" t="s">
        <v>2969</v>
      </c>
      <c r="E404" s="1">
        <v>85392</v>
      </c>
      <c r="F404" s="1" t="s">
        <v>3914</v>
      </c>
      <c r="G404" s="1" t="s">
        <v>2952</v>
      </c>
      <c r="H404" s="4" t="s">
        <v>2401</v>
      </c>
      <c r="V404" s="45">
        <f t="shared" si="6"/>
        <v>1</v>
      </c>
      <c r="W404" s="45" t="s">
        <v>3915</v>
      </c>
    </row>
    <row r="405" spans="1:23" hidden="1">
      <c r="A405" s="2">
        <v>45903</v>
      </c>
      <c r="B405" s="1" t="s">
        <v>3916</v>
      </c>
      <c r="C405" s="1" t="s">
        <v>3423</v>
      </c>
      <c r="D405" s="1" t="s">
        <v>2498</v>
      </c>
      <c r="E405" s="1">
        <v>85374</v>
      </c>
      <c r="F405" s="1" t="s">
        <v>2406</v>
      </c>
      <c r="G405" s="1" t="s">
        <v>2952</v>
      </c>
      <c r="H405" s="21" t="s">
        <v>3917</v>
      </c>
      <c r="I405" s="5" t="s">
        <v>2412</v>
      </c>
      <c r="J405" s="5" t="s">
        <v>24</v>
      </c>
      <c r="K405" s="5" t="s">
        <v>24</v>
      </c>
      <c r="L405" s="5" t="s">
        <v>75</v>
      </c>
      <c r="M405" s="5" t="s">
        <v>24</v>
      </c>
      <c r="N405" s="5" t="s">
        <v>24</v>
      </c>
      <c r="O405" s="5" t="s">
        <v>75</v>
      </c>
      <c r="P405" s="5" t="s">
        <v>2413</v>
      </c>
      <c r="Q405" s="2">
        <v>45967</v>
      </c>
      <c r="V405" s="45">
        <f t="shared" si="6"/>
        <v>1</v>
      </c>
      <c r="W405" s="45" t="s">
        <v>3918</v>
      </c>
    </row>
    <row r="406" spans="1:23" hidden="1">
      <c r="A406" s="2">
        <v>45903</v>
      </c>
      <c r="B406" s="1" t="s">
        <v>3919</v>
      </c>
      <c r="C406" s="1" t="s">
        <v>2912</v>
      </c>
      <c r="D406" s="1" t="s">
        <v>3073</v>
      </c>
      <c r="E406" s="1">
        <v>85365</v>
      </c>
      <c r="F406" s="1" t="s">
        <v>3920</v>
      </c>
      <c r="G406" s="1" t="s">
        <v>2952</v>
      </c>
      <c r="H406" s="21" t="s">
        <v>3921</v>
      </c>
      <c r="I406" s="5" t="s">
        <v>2412</v>
      </c>
      <c r="J406" s="5" t="s">
        <v>24</v>
      </c>
      <c r="K406" s="5" t="s">
        <v>24</v>
      </c>
      <c r="L406" s="5" t="s">
        <v>75</v>
      </c>
      <c r="M406" s="5" t="s">
        <v>24</v>
      </c>
      <c r="N406" s="5" t="s">
        <v>24</v>
      </c>
      <c r="O406" s="5" t="s">
        <v>75</v>
      </c>
      <c r="P406" s="5" t="s">
        <v>2413</v>
      </c>
      <c r="Q406" s="2">
        <v>45967</v>
      </c>
      <c r="V406" s="45">
        <f t="shared" si="6"/>
        <v>1</v>
      </c>
      <c r="W406" s="45" t="s">
        <v>3922</v>
      </c>
    </row>
    <row r="407" spans="1:23" hidden="1">
      <c r="A407" s="2">
        <v>45903</v>
      </c>
      <c r="B407" s="1" t="s">
        <v>3923</v>
      </c>
      <c r="C407" s="1" t="s">
        <v>3050</v>
      </c>
      <c r="D407" s="1" t="s">
        <v>2969</v>
      </c>
      <c r="E407" s="1">
        <v>85323</v>
      </c>
      <c r="F407" s="1" t="s">
        <v>3924</v>
      </c>
      <c r="G407" s="1" t="s">
        <v>2952</v>
      </c>
      <c r="H407" s="21" t="s">
        <v>3925</v>
      </c>
      <c r="I407" s="5" t="s">
        <v>2597</v>
      </c>
      <c r="J407" s="5" t="s">
        <v>24</v>
      </c>
      <c r="K407" s="5" t="s">
        <v>24</v>
      </c>
      <c r="L407" s="5" t="s">
        <v>75</v>
      </c>
      <c r="M407" s="5" t="s">
        <v>24</v>
      </c>
      <c r="N407" s="5" t="s">
        <v>24</v>
      </c>
      <c r="O407" s="5" t="s">
        <v>75</v>
      </c>
      <c r="P407" s="5" t="s">
        <v>2413</v>
      </c>
      <c r="Q407" s="2">
        <v>45967</v>
      </c>
      <c r="V407" s="45">
        <f t="shared" si="6"/>
        <v>1</v>
      </c>
      <c r="W407" s="45" t="s">
        <v>3926</v>
      </c>
    </row>
    <row r="408" spans="1:23" hidden="1">
      <c r="A408" s="2">
        <v>45903</v>
      </c>
      <c r="B408" s="1" t="s">
        <v>3927</v>
      </c>
      <c r="C408" s="1" t="s">
        <v>3928</v>
      </c>
      <c r="D408" s="1" t="s">
        <v>2439</v>
      </c>
      <c r="E408" s="1">
        <v>85022</v>
      </c>
      <c r="F408" s="1" t="s">
        <v>2406</v>
      </c>
      <c r="G408" s="1" t="s">
        <v>2952</v>
      </c>
      <c r="H408" s="4" t="s">
        <v>2401</v>
      </c>
      <c r="V408" s="45">
        <f t="shared" si="6"/>
        <v>1</v>
      </c>
      <c r="W408" s="45" t="s">
        <v>3929</v>
      </c>
    </row>
    <row r="409" spans="1:23" hidden="1">
      <c r="A409" s="2">
        <v>45903</v>
      </c>
      <c r="B409" s="1" t="s">
        <v>3930</v>
      </c>
      <c r="C409" s="1" t="s">
        <v>2733</v>
      </c>
      <c r="D409" s="1" t="s">
        <v>2564</v>
      </c>
      <c r="E409" s="1">
        <v>85338</v>
      </c>
      <c r="F409" s="1" t="s">
        <v>2406</v>
      </c>
      <c r="G409" s="1" t="s">
        <v>2952</v>
      </c>
      <c r="H409" s="21" t="s">
        <v>3931</v>
      </c>
      <c r="I409" s="5" t="s">
        <v>2659</v>
      </c>
      <c r="J409" s="5" t="s">
        <v>24</v>
      </c>
      <c r="K409" s="5" t="s">
        <v>24</v>
      </c>
      <c r="L409" s="5" t="s">
        <v>75</v>
      </c>
      <c r="M409" s="5" t="s">
        <v>24</v>
      </c>
      <c r="N409" s="5" t="s">
        <v>24</v>
      </c>
      <c r="O409" s="5" t="s">
        <v>75</v>
      </c>
      <c r="P409" s="5" t="s">
        <v>2413</v>
      </c>
      <c r="Q409" s="2">
        <v>45967</v>
      </c>
      <c r="V409" s="45">
        <f t="shared" si="6"/>
        <v>1</v>
      </c>
      <c r="W409" s="45" t="s">
        <v>3932</v>
      </c>
    </row>
    <row r="410" spans="1:23" hidden="1">
      <c r="A410" s="2">
        <v>45903</v>
      </c>
      <c r="B410" s="1" t="s">
        <v>3933</v>
      </c>
      <c r="C410" s="1" t="s">
        <v>3934</v>
      </c>
      <c r="D410" s="1" t="s">
        <v>2439</v>
      </c>
      <c r="E410" s="1">
        <v>85085</v>
      </c>
      <c r="F410" s="1" t="s">
        <v>2730</v>
      </c>
      <c r="G410" s="1" t="s">
        <v>2952</v>
      </c>
      <c r="H410" s="21" t="s">
        <v>3935</v>
      </c>
      <c r="I410" s="5" t="s">
        <v>2597</v>
      </c>
      <c r="J410" s="5" t="s">
        <v>24</v>
      </c>
      <c r="K410" s="5" t="s">
        <v>24</v>
      </c>
      <c r="L410" s="7" t="s">
        <v>3936</v>
      </c>
      <c r="M410" s="5" t="s">
        <v>24</v>
      </c>
      <c r="N410" s="5" t="s">
        <v>24</v>
      </c>
      <c r="O410" s="5" t="s">
        <v>75</v>
      </c>
      <c r="P410" s="2">
        <v>45936</v>
      </c>
      <c r="Q410" s="2">
        <v>45967</v>
      </c>
      <c r="R410" s="1" t="s">
        <v>3937</v>
      </c>
      <c r="V410" s="45">
        <f t="shared" si="6"/>
        <v>1</v>
      </c>
      <c r="W410" s="45" t="s">
        <v>3938</v>
      </c>
    </row>
    <row r="411" spans="1:23" hidden="1">
      <c r="A411" s="2">
        <v>45903</v>
      </c>
      <c r="B411" s="1" t="s">
        <v>3939</v>
      </c>
      <c r="C411" s="1" t="s">
        <v>3940</v>
      </c>
      <c r="D411" s="1" t="s">
        <v>3941</v>
      </c>
      <c r="E411" s="1">
        <v>85349</v>
      </c>
      <c r="F411" s="1" t="s">
        <v>2406</v>
      </c>
      <c r="G411" s="1" t="s">
        <v>2952</v>
      </c>
      <c r="H411" s="4" t="s">
        <v>2401</v>
      </c>
      <c r="V411" s="45">
        <f t="shared" si="6"/>
        <v>1</v>
      </c>
      <c r="W411" s="45" t="s">
        <v>3942</v>
      </c>
    </row>
    <row r="412" spans="1:23" hidden="1">
      <c r="A412" s="2">
        <v>45903</v>
      </c>
      <c r="B412" s="1" t="s">
        <v>3943</v>
      </c>
      <c r="C412" s="1" t="s">
        <v>3944</v>
      </c>
      <c r="D412" s="1" t="s">
        <v>3945</v>
      </c>
      <c r="E412" s="1">
        <v>85390</v>
      </c>
      <c r="F412" s="1" t="s">
        <v>2406</v>
      </c>
      <c r="G412" s="1" t="s">
        <v>2952</v>
      </c>
      <c r="H412" s="21" t="s">
        <v>3946</v>
      </c>
      <c r="I412" s="5" t="s">
        <v>2597</v>
      </c>
      <c r="J412" s="5" t="s">
        <v>24</v>
      </c>
      <c r="K412" s="5" t="s">
        <v>24</v>
      </c>
      <c r="L412" s="5" t="s">
        <v>75</v>
      </c>
      <c r="M412" s="5" t="s">
        <v>24</v>
      </c>
      <c r="N412" s="5" t="s">
        <v>24</v>
      </c>
      <c r="O412" s="5" t="s">
        <v>75</v>
      </c>
      <c r="P412" s="5" t="s">
        <v>2413</v>
      </c>
      <c r="Q412" s="2">
        <v>45967</v>
      </c>
      <c r="R412" s="1" t="s">
        <v>2938</v>
      </c>
      <c r="V412" s="45">
        <f t="shared" si="6"/>
        <v>1</v>
      </c>
      <c r="W412" s="45" t="s">
        <v>3947</v>
      </c>
    </row>
    <row r="413" spans="1:23" hidden="1">
      <c r="A413" s="2">
        <v>45903</v>
      </c>
      <c r="B413" s="1" t="s">
        <v>3948</v>
      </c>
      <c r="C413" s="1" t="s">
        <v>2924</v>
      </c>
      <c r="D413" s="1" t="s">
        <v>2564</v>
      </c>
      <c r="E413" s="1">
        <v>85338</v>
      </c>
      <c r="F413" s="1" t="s">
        <v>3765</v>
      </c>
      <c r="G413" s="1" t="s">
        <v>2952</v>
      </c>
      <c r="H413" s="4" t="s">
        <v>2401</v>
      </c>
      <c r="V413" s="45">
        <f t="shared" si="6"/>
        <v>1</v>
      </c>
      <c r="W413" s="45" t="s">
        <v>3949</v>
      </c>
    </row>
    <row r="414" spans="1:23" hidden="1">
      <c r="A414" s="2">
        <v>45903</v>
      </c>
      <c r="B414" s="1" t="s">
        <v>3950</v>
      </c>
      <c r="C414" s="1" t="s">
        <v>3951</v>
      </c>
      <c r="D414" s="1" t="s">
        <v>2862</v>
      </c>
      <c r="E414" s="1">
        <v>85335</v>
      </c>
      <c r="F414" s="1" t="s">
        <v>2406</v>
      </c>
      <c r="G414" s="1" t="s">
        <v>2952</v>
      </c>
      <c r="H414" s="21" t="s">
        <v>3952</v>
      </c>
      <c r="I414" s="5" t="s">
        <v>2412</v>
      </c>
      <c r="J414" s="5" t="s">
        <v>24</v>
      </c>
      <c r="K414" s="5" t="s">
        <v>24</v>
      </c>
      <c r="L414" s="5" t="s">
        <v>75</v>
      </c>
      <c r="M414" s="5" t="s">
        <v>75</v>
      </c>
      <c r="N414" s="15">
        <v>1191.03</v>
      </c>
      <c r="O414" s="5" t="s">
        <v>75</v>
      </c>
      <c r="P414" s="7"/>
      <c r="Q414" s="2">
        <v>45967</v>
      </c>
      <c r="R414" s="1" t="s">
        <v>2938</v>
      </c>
      <c r="U414" s="1" t="s">
        <v>3953</v>
      </c>
      <c r="V414" s="45">
        <f t="shared" si="6"/>
        <v>1</v>
      </c>
      <c r="W414" s="45" t="s">
        <v>3954</v>
      </c>
    </row>
    <row r="415" spans="1:23" hidden="1">
      <c r="A415" s="2">
        <v>45903</v>
      </c>
      <c r="B415" s="1" t="s">
        <v>3955</v>
      </c>
      <c r="C415" s="1" t="s">
        <v>3956</v>
      </c>
      <c r="D415" s="1" t="s">
        <v>2439</v>
      </c>
      <c r="E415" s="1">
        <v>85015</v>
      </c>
      <c r="F415" s="1" t="s">
        <v>2406</v>
      </c>
      <c r="G415" s="1" t="s">
        <v>2952</v>
      </c>
      <c r="H415" s="4" t="s">
        <v>2401</v>
      </c>
      <c r="V415" s="45">
        <f t="shared" si="6"/>
        <v>1</v>
      </c>
      <c r="W415" s="45" t="s">
        <v>3957</v>
      </c>
    </row>
    <row r="416" spans="1:23" hidden="1">
      <c r="A416" s="2">
        <v>45903</v>
      </c>
      <c r="B416" s="1" t="s">
        <v>2976</v>
      </c>
      <c r="C416" s="1" t="s">
        <v>3958</v>
      </c>
      <c r="D416" s="1" t="s">
        <v>2439</v>
      </c>
      <c r="E416" s="1">
        <v>85014</v>
      </c>
      <c r="F416" s="1" t="s">
        <v>2730</v>
      </c>
      <c r="G416" s="1" t="s">
        <v>2952</v>
      </c>
      <c r="H416" s="21" t="s">
        <v>3959</v>
      </c>
      <c r="I416" s="5" t="s">
        <v>2432</v>
      </c>
      <c r="J416" s="5" t="s">
        <v>24</v>
      </c>
      <c r="K416" s="5" t="s">
        <v>24</v>
      </c>
      <c r="L416" s="5" t="s">
        <v>3960</v>
      </c>
      <c r="M416" s="5" t="s">
        <v>24</v>
      </c>
      <c r="N416" s="5" t="s">
        <v>24</v>
      </c>
      <c r="O416" s="5" t="s">
        <v>75</v>
      </c>
      <c r="P416" s="5" t="s">
        <v>2413</v>
      </c>
      <c r="Q416" s="2">
        <v>45967</v>
      </c>
      <c r="V416" s="45">
        <f t="shared" si="6"/>
        <v>1</v>
      </c>
      <c r="W416" s="125" t="s">
        <v>3961</v>
      </c>
    </row>
    <row r="417" spans="1:23" hidden="1">
      <c r="A417" s="2">
        <v>45903</v>
      </c>
      <c r="B417" s="1" t="s">
        <v>3962</v>
      </c>
      <c r="C417" s="1" t="s">
        <v>2632</v>
      </c>
      <c r="D417" s="1" t="s">
        <v>2564</v>
      </c>
      <c r="E417" s="1">
        <v>85395</v>
      </c>
      <c r="F417" s="1" t="s">
        <v>3963</v>
      </c>
      <c r="G417" s="1" t="s">
        <v>2952</v>
      </c>
      <c r="H417" s="21" t="s">
        <v>3964</v>
      </c>
      <c r="I417" s="5" t="s">
        <v>2451</v>
      </c>
      <c r="J417" s="5" t="s">
        <v>24</v>
      </c>
      <c r="K417" s="5" t="s">
        <v>24</v>
      </c>
      <c r="L417" s="5" t="s">
        <v>75</v>
      </c>
      <c r="M417" s="5" t="s">
        <v>24</v>
      </c>
      <c r="N417" s="5" t="s">
        <v>24</v>
      </c>
      <c r="O417" s="5" t="s">
        <v>75</v>
      </c>
      <c r="P417" s="5" t="s">
        <v>2413</v>
      </c>
      <c r="Q417" s="2">
        <v>45967</v>
      </c>
      <c r="V417" s="45">
        <f t="shared" si="6"/>
        <v>1</v>
      </c>
      <c r="W417" s="45" t="s">
        <v>3965</v>
      </c>
    </row>
    <row r="418" spans="1:23" hidden="1">
      <c r="A418" s="2">
        <v>45903</v>
      </c>
      <c r="B418" s="1" t="s">
        <v>3966</v>
      </c>
      <c r="C418" s="1" t="s">
        <v>2997</v>
      </c>
      <c r="D418" s="1" t="s">
        <v>2498</v>
      </c>
      <c r="E418" s="1">
        <v>85388</v>
      </c>
      <c r="F418" s="1" t="s">
        <v>2730</v>
      </c>
      <c r="G418" s="1" t="s">
        <v>2952</v>
      </c>
      <c r="H418" s="21" t="s">
        <v>3967</v>
      </c>
      <c r="I418" s="5" t="s">
        <v>2420</v>
      </c>
      <c r="J418" s="5" t="s">
        <v>24</v>
      </c>
      <c r="K418" s="5" t="s">
        <v>24</v>
      </c>
      <c r="L418" s="5" t="s">
        <v>75</v>
      </c>
      <c r="M418" s="5" t="s">
        <v>24</v>
      </c>
      <c r="N418" s="5" t="s">
        <v>24</v>
      </c>
      <c r="O418" s="5" t="s">
        <v>75</v>
      </c>
      <c r="P418" s="5" t="s">
        <v>2413</v>
      </c>
      <c r="Q418" s="2">
        <v>45967</v>
      </c>
      <c r="R418" s="1" t="s">
        <v>3968</v>
      </c>
      <c r="V418" s="45">
        <f t="shared" si="6"/>
        <v>1</v>
      </c>
      <c r="W418" s="45" t="s">
        <v>3969</v>
      </c>
    </row>
    <row r="419" spans="1:23" hidden="1">
      <c r="A419" s="2">
        <v>45903</v>
      </c>
      <c r="B419" s="1" t="s">
        <v>3970</v>
      </c>
      <c r="C419" s="1" t="s">
        <v>3971</v>
      </c>
      <c r="D419" s="1" t="s">
        <v>2498</v>
      </c>
      <c r="E419" s="1">
        <v>85387</v>
      </c>
      <c r="F419" s="1" t="s">
        <v>2730</v>
      </c>
      <c r="G419" s="1" t="s">
        <v>2952</v>
      </c>
      <c r="H419" s="4" t="s">
        <v>2401</v>
      </c>
      <c r="V419" s="45">
        <f t="shared" si="6"/>
        <v>1</v>
      </c>
      <c r="W419" s="45" t="s">
        <v>3972</v>
      </c>
    </row>
    <row r="420" spans="1:23" hidden="1">
      <c r="A420" s="2">
        <v>45903</v>
      </c>
      <c r="B420" s="1" t="s">
        <v>3973</v>
      </c>
      <c r="C420" s="1" t="s">
        <v>3974</v>
      </c>
      <c r="D420" s="1" t="s">
        <v>2439</v>
      </c>
      <c r="E420" s="1">
        <v>85013</v>
      </c>
      <c r="F420" s="1" t="s">
        <v>3975</v>
      </c>
      <c r="G420" s="1" t="s">
        <v>2952</v>
      </c>
      <c r="H420" s="21" t="s">
        <v>3976</v>
      </c>
      <c r="I420" s="5" t="s">
        <v>2988</v>
      </c>
      <c r="J420" s="5" t="s">
        <v>75</v>
      </c>
      <c r="K420" s="5" t="s">
        <v>24</v>
      </c>
      <c r="L420" s="5" t="s">
        <v>2819</v>
      </c>
      <c r="M420" s="5" t="s">
        <v>24</v>
      </c>
      <c r="N420" s="5" t="s">
        <v>24</v>
      </c>
      <c r="O420" s="5" t="s">
        <v>75</v>
      </c>
      <c r="P420" s="5" t="s">
        <v>2413</v>
      </c>
      <c r="Q420" s="2">
        <v>45967</v>
      </c>
      <c r="V420" s="45">
        <f t="shared" si="6"/>
        <v>1</v>
      </c>
      <c r="W420" s="45" t="s">
        <v>3977</v>
      </c>
    </row>
    <row r="421" spans="1:23" hidden="1">
      <c r="A421" s="2">
        <v>45903</v>
      </c>
      <c r="B421" s="1" t="s">
        <v>3978</v>
      </c>
      <c r="C421" s="1" t="s">
        <v>3979</v>
      </c>
      <c r="D421" s="1" t="s">
        <v>3383</v>
      </c>
      <c r="E421" s="1">
        <v>85086</v>
      </c>
      <c r="F421" s="1" t="s">
        <v>2406</v>
      </c>
      <c r="G421" s="1" t="s">
        <v>2952</v>
      </c>
      <c r="H421" s="21" t="s">
        <v>3980</v>
      </c>
      <c r="I421" s="5" t="s">
        <v>2988</v>
      </c>
      <c r="J421" s="5" t="s">
        <v>24</v>
      </c>
      <c r="K421" s="5" t="s">
        <v>24</v>
      </c>
      <c r="L421" s="5" t="s">
        <v>2819</v>
      </c>
      <c r="M421" s="5" t="s">
        <v>24</v>
      </c>
      <c r="N421" s="5" t="s">
        <v>24</v>
      </c>
      <c r="O421" s="5" t="s">
        <v>75</v>
      </c>
      <c r="P421" s="5" t="s">
        <v>2413</v>
      </c>
      <c r="Q421" s="2">
        <v>45967</v>
      </c>
      <c r="V421" s="45">
        <f t="shared" si="6"/>
        <v>1</v>
      </c>
      <c r="W421" s="45" t="s">
        <v>3981</v>
      </c>
    </row>
    <row r="422" spans="1:23" hidden="1">
      <c r="A422" s="2">
        <v>45903</v>
      </c>
      <c r="B422" s="1" t="s">
        <v>3522</v>
      </c>
      <c r="C422" s="1" t="s">
        <v>2677</v>
      </c>
      <c r="D422" s="1" t="s">
        <v>2564</v>
      </c>
      <c r="E422" s="1">
        <v>85395</v>
      </c>
      <c r="F422" s="1" t="s">
        <v>3523</v>
      </c>
      <c r="G422" s="1" t="s">
        <v>3982</v>
      </c>
      <c r="H422" s="4" t="s">
        <v>939</v>
      </c>
      <c r="I422" s="5" t="s">
        <v>2420</v>
      </c>
      <c r="J422" s="5" t="s">
        <v>24</v>
      </c>
      <c r="K422" s="5" t="s">
        <v>24</v>
      </c>
      <c r="L422" s="5" t="s">
        <v>75</v>
      </c>
      <c r="M422" s="5" t="s">
        <v>24</v>
      </c>
      <c r="N422" s="5" t="s">
        <v>24</v>
      </c>
      <c r="O422" s="5" t="s">
        <v>75</v>
      </c>
      <c r="P422" s="5" t="s">
        <v>2413</v>
      </c>
      <c r="Q422" s="2">
        <v>45967</v>
      </c>
      <c r="V422" s="45">
        <f t="shared" si="6"/>
        <v>1</v>
      </c>
      <c r="W422" s="45" t="s">
        <v>3983</v>
      </c>
    </row>
    <row r="423" spans="1:23" hidden="1">
      <c r="A423" s="2">
        <v>45903</v>
      </c>
      <c r="B423" s="1" t="s">
        <v>3984</v>
      </c>
      <c r="C423" s="1" t="s">
        <v>3985</v>
      </c>
      <c r="D423" s="1" t="s">
        <v>2439</v>
      </c>
      <c r="E423" s="1">
        <v>86032</v>
      </c>
      <c r="F423" s="1" t="s">
        <v>2406</v>
      </c>
      <c r="G423" s="1" t="s">
        <v>3982</v>
      </c>
      <c r="H423" s="4" t="s">
        <v>2401</v>
      </c>
      <c r="V423" s="45">
        <f t="shared" si="6"/>
        <v>1</v>
      </c>
      <c r="W423" s="45" t="s">
        <v>3986</v>
      </c>
    </row>
    <row r="424" spans="1:23" hidden="1">
      <c r="A424" s="2">
        <v>45903</v>
      </c>
      <c r="B424" s="1" t="s">
        <v>3987</v>
      </c>
      <c r="C424" s="1" t="s">
        <v>3988</v>
      </c>
      <c r="D424" s="1" t="s">
        <v>2969</v>
      </c>
      <c r="E424" s="1">
        <v>85392</v>
      </c>
      <c r="F424" s="1" t="s">
        <v>3989</v>
      </c>
      <c r="G424" s="1" t="s">
        <v>3982</v>
      </c>
      <c r="H424" s="4" t="s">
        <v>941</v>
      </c>
      <c r="I424" s="5" t="s">
        <v>2848</v>
      </c>
      <c r="J424" s="5" t="s">
        <v>24</v>
      </c>
      <c r="K424" s="5" t="s">
        <v>24</v>
      </c>
      <c r="L424" s="5" t="s">
        <v>2819</v>
      </c>
      <c r="M424" s="5" t="s">
        <v>24</v>
      </c>
      <c r="N424" s="5" t="s">
        <v>24</v>
      </c>
      <c r="O424" s="5" t="s">
        <v>75</v>
      </c>
      <c r="P424" s="5" t="s">
        <v>2413</v>
      </c>
      <c r="Q424" s="2">
        <v>45967</v>
      </c>
      <c r="V424" s="45">
        <f t="shared" si="6"/>
        <v>1</v>
      </c>
      <c r="W424" s="45" t="s">
        <v>3990</v>
      </c>
    </row>
    <row r="425" spans="1:23" hidden="1">
      <c r="A425" s="2">
        <v>45903</v>
      </c>
      <c r="B425" s="1" t="s">
        <v>3991</v>
      </c>
      <c r="C425" s="1" t="s">
        <v>2788</v>
      </c>
      <c r="D425" s="1" t="s">
        <v>2498</v>
      </c>
      <c r="E425" s="1">
        <v>85379</v>
      </c>
      <c r="F425" s="1" t="s">
        <v>2406</v>
      </c>
      <c r="G425" s="1" t="s">
        <v>3982</v>
      </c>
      <c r="H425" s="4" t="s">
        <v>617</v>
      </c>
      <c r="I425" s="5" t="s">
        <v>2988</v>
      </c>
      <c r="J425" s="5" t="s">
        <v>24</v>
      </c>
      <c r="K425" s="5" t="s">
        <v>24</v>
      </c>
      <c r="L425" s="5" t="s">
        <v>2819</v>
      </c>
      <c r="M425" s="5" t="s">
        <v>75</v>
      </c>
      <c r="N425" s="15">
        <v>1773.15</v>
      </c>
      <c r="O425" s="5" t="s">
        <v>75</v>
      </c>
      <c r="P425" s="7"/>
      <c r="Q425" s="2">
        <v>45967</v>
      </c>
      <c r="R425" s="1" t="s">
        <v>2938</v>
      </c>
      <c r="V425" s="45">
        <f t="shared" si="6"/>
        <v>1</v>
      </c>
      <c r="W425" s="45" t="s">
        <v>3992</v>
      </c>
    </row>
    <row r="426" spans="1:23" hidden="1">
      <c r="A426" s="2">
        <v>45903</v>
      </c>
      <c r="B426" s="1" t="s">
        <v>3993</v>
      </c>
      <c r="C426" s="1" t="s">
        <v>3254</v>
      </c>
      <c r="D426" s="1" t="s">
        <v>2564</v>
      </c>
      <c r="E426" s="1">
        <v>85338</v>
      </c>
      <c r="F426" s="1" t="s">
        <v>2406</v>
      </c>
      <c r="G426" s="1" t="s">
        <v>3982</v>
      </c>
      <c r="H426" s="4" t="s">
        <v>619</v>
      </c>
      <c r="I426" s="5" t="s">
        <v>2988</v>
      </c>
      <c r="J426" s="5" t="s">
        <v>75</v>
      </c>
      <c r="K426" s="5" t="s">
        <v>24</v>
      </c>
      <c r="L426" s="5" t="s">
        <v>2819</v>
      </c>
      <c r="M426" s="5" t="s">
        <v>75</v>
      </c>
      <c r="N426" s="15">
        <v>3130.07</v>
      </c>
      <c r="O426" s="5" t="s">
        <v>75</v>
      </c>
      <c r="P426" s="7"/>
      <c r="Q426" s="2">
        <v>45967</v>
      </c>
      <c r="R426" s="1" t="s">
        <v>2938</v>
      </c>
      <c r="V426" s="45">
        <f t="shared" si="6"/>
        <v>1</v>
      </c>
      <c r="W426" s="45" t="s">
        <v>3994</v>
      </c>
    </row>
    <row r="427" spans="1:23" hidden="1">
      <c r="A427" s="2">
        <v>45903</v>
      </c>
      <c r="B427" s="1" t="s">
        <v>3995</v>
      </c>
      <c r="C427" s="1" t="s">
        <v>3996</v>
      </c>
      <c r="D427" s="1" t="s">
        <v>2398</v>
      </c>
      <c r="E427" s="1">
        <v>85310</v>
      </c>
      <c r="F427" s="1" t="s">
        <v>2406</v>
      </c>
      <c r="G427" s="1" t="s">
        <v>3982</v>
      </c>
      <c r="H427" s="4" t="s">
        <v>943</v>
      </c>
      <c r="I427" s="5" t="s">
        <v>2412</v>
      </c>
      <c r="J427" s="5" t="s">
        <v>75</v>
      </c>
      <c r="K427" s="5" t="s">
        <v>24</v>
      </c>
      <c r="L427" s="5" t="s">
        <v>75</v>
      </c>
      <c r="M427" s="5" t="s">
        <v>24</v>
      </c>
      <c r="N427" s="5" t="s">
        <v>24</v>
      </c>
      <c r="O427" s="5" t="s">
        <v>75</v>
      </c>
      <c r="P427" s="5" t="s">
        <v>2413</v>
      </c>
      <c r="Q427" s="2">
        <v>45967</v>
      </c>
      <c r="V427" s="45">
        <f t="shared" si="6"/>
        <v>1</v>
      </c>
      <c r="W427" s="45" t="s">
        <v>3997</v>
      </c>
    </row>
    <row r="428" spans="1:23" hidden="1">
      <c r="A428" s="2">
        <v>45903</v>
      </c>
      <c r="B428" s="1" t="s">
        <v>3998</v>
      </c>
      <c r="C428" s="1" t="s">
        <v>3999</v>
      </c>
      <c r="D428" s="1" t="s">
        <v>2439</v>
      </c>
      <c r="E428" s="1">
        <v>85053</v>
      </c>
      <c r="F428" s="1" t="s">
        <v>4000</v>
      </c>
      <c r="G428" s="1" t="s">
        <v>3982</v>
      </c>
      <c r="H428" s="4" t="s">
        <v>945</v>
      </c>
      <c r="I428" s="5" t="s">
        <v>2412</v>
      </c>
      <c r="J428" s="5" t="s">
        <v>24</v>
      </c>
      <c r="K428" s="5" t="s">
        <v>24</v>
      </c>
      <c r="L428" s="5" t="s">
        <v>75</v>
      </c>
      <c r="M428" s="5" t="s">
        <v>24</v>
      </c>
      <c r="N428" s="5" t="s">
        <v>24</v>
      </c>
      <c r="O428" s="5" t="s">
        <v>75</v>
      </c>
      <c r="P428" s="5" t="s">
        <v>2413</v>
      </c>
      <c r="Q428" s="2">
        <v>45967</v>
      </c>
      <c r="V428" s="45">
        <f t="shared" si="6"/>
        <v>1</v>
      </c>
      <c r="W428" s="45" t="s">
        <v>4001</v>
      </c>
    </row>
    <row r="429" spans="1:23" hidden="1">
      <c r="A429" s="2">
        <v>45903</v>
      </c>
      <c r="B429" s="1" t="s">
        <v>4002</v>
      </c>
      <c r="C429" s="1" t="s">
        <v>3807</v>
      </c>
      <c r="D429" s="1" t="s">
        <v>2470</v>
      </c>
      <c r="E429" s="1">
        <v>86336</v>
      </c>
      <c r="F429" s="1" t="s">
        <v>2406</v>
      </c>
      <c r="G429" s="1" t="s">
        <v>3982</v>
      </c>
      <c r="H429" s="4" t="s">
        <v>948</v>
      </c>
      <c r="I429" s="5" t="s">
        <v>2451</v>
      </c>
      <c r="J429" s="5" t="s">
        <v>24</v>
      </c>
      <c r="K429" s="5" t="s">
        <v>24</v>
      </c>
      <c r="L429" s="5" t="s">
        <v>75</v>
      </c>
      <c r="M429" s="5" t="s">
        <v>24</v>
      </c>
      <c r="N429" s="5" t="s">
        <v>24</v>
      </c>
      <c r="O429" s="5" t="s">
        <v>75</v>
      </c>
      <c r="P429" s="5" t="s">
        <v>2413</v>
      </c>
      <c r="Q429" s="2">
        <v>45967</v>
      </c>
      <c r="V429" s="45">
        <f t="shared" si="6"/>
        <v>1</v>
      </c>
      <c r="W429" s="45" t="s">
        <v>4003</v>
      </c>
    </row>
    <row r="430" spans="1:23" hidden="1">
      <c r="A430" s="2">
        <v>45903</v>
      </c>
      <c r="B430" s="1" t="s">
        <v>4004</v>
      </c>
      <c r="C430" s="1" t="s">
        <v>4005</v>
      </c>
      <c r="D430" s="1" t="s">
        <v>2650</v>
      </c>
      <c r="E430" s="1">
        <v>85340</v>
      </c>
      <c r="F430" s="1" t="s">
        <v>2406</v>
      </c>
      <c r="G430" s="1" t="s">
        <v>3982</v>
      </c>
      <c r="H430" s="4" t="s">
        <v>2401</v>
      </c>
      <c r="V430" s="45">
        <f t="shared" si="6"/>
        <v>1</v>
      </c>
      <c r="W430" s="45" t="s">
        <v>4006</v>
      </c>
    </row>
    <row r="431" spans="1:23" hidden="1">
      <c r="A431" s="2">
        <v>45903</v>
      </c>
      <c r="B431" s="1" t="s">
        <v>4007</v>
      </c>
      <c r="C431" s="1" t="s">
        <v>2823</v>
      </c>
      <c r="D431" s="1" t="s">
        <v>2513</v>
      </c>
      <c r="E431" s="1">
        <v>85255</v>
      </c>
      <c r="F431" s="1" t="s">
        <v>2406</v>
      </c>
      <c r="G431" s="1" t="s">
        <v>3982</v>
      </c>
      <c r="H431" s="4" t="s">
        <v>950</v>
      </c>
      <c r="I431" s="5" t="s">
        <v>2848</v>
      </c>
      <c r="J431" s="5" t="s">
        <v>24</v>
      </c>
      <c r="K431" s="5" t="s">
        <v>24</v>
      </c>
      <c r="L431" s="5" t="s">
        <v>2819</v>
      </c>
      <c r="M431" s="5" t="s">
        <v>24</v>
      </c>
      <c r="N431" s="5" t="s">
        <v>24</v>
      </c>
      <c r="O431" s="5" t="s">
        <v>75</v>
      </c>
      <c r="P431" s="5" t="s">
        <v>2413</v>
      </c>
      <c r="Q431" s="2">
        <v>45967</v>
      </c>
      <c r="V431" s="45">
        <f t="shared" si="6"/>
        <v>1</v>
      </c>
      <c r="W431" s="45" t="s">
        <v>4008</v>
      </c>
    </row>
    <row r="432" spans="1:23" hidden="1">
      <c r="A432" s="2">
        <v>45903</v>
      </c>
      <c r="B432" s="1" t="s">
        <v>3009</v>
      </c>
      <c r="C432" s="1" t="s">
        <v>4009</v>
      </c>
      <c r="D432" s="1" t="s">
        <v>2969</v>
      </c>
      <c r="E432" s="1">
        <v>85392</v>
      </c>
      <c r="F432" s="1" t="s">
        <v>2406</v>
      </c>
      <c r="G432" s="1" t="s">
        <v>3982</v>
      </c>
      <c r="H432" s="4" t="s">
        <v>621</v>
      </c>
      <c r="I432" s="5" t="s">
        <v>2412</v>
      </c>
      <c r="J432" s="5" t="s">
        <v>24</v>
      </c>
      <c r="K432" s="5" t="s">
        <v>24</v>
      </c>
      <c r="L432" s="5" t="s">
        <v>75</v>
      </c>
      <c r="M432" s="5" t="s">
        <v>75</v>
      </c>
      <c r="N432" s="15">
        <v>870.88</v>
      </c>
      <c r="O432" s="5" t="s">
        <v>75</v>
      </c>
      <c r="P432" s="7"/>
      <c r="Q432" s="2">
        <v>45967</v>
      </c>
      <c r="R432" s="1" t="s">
        <v>2938</v>
      </c>
      <c r="V432" s="45">
        <f t="shared" si="6"/>
        <v>1</v>
      </c>
      <c r="W432" s="45" t="s">
        <v>4010</v>
      </c>
    </row>
    <row r="433" spans="1:23" hidden="1">
      <c r="A433" s="2">
        <v>45903</v>
      </c>
      <c r="B433" s="1" t="s">
        <v>4011</v>
      </c>
      <c r="C433" s="1" t="s">
        <v>2584</v>
      </c>
      <c r="D433" s="1" t="s">
        <v>2513</v>
      </c>
      <c r="E433" s="1">
        <v>85259</v>
      </c>
      <c r="F433" s="1" t="s">
        <v>2406</v>
      </c>
      <c r="G433" s="1" t="s">
        <v>3982</v>
      </c>
      <c r="H433" s="4" t="s">
        <v>2613</v>
      </c>
      <c r="V433" s="45">
        <f t="shared" si="6"/>
        <v>1</v>
      </c>
      <c r="W433" s="45" t="s">
        <v>4012</v>
      </c>
    </row>
    <row r="434" spans="1:23" hidden="1">
      <c r="A434" s="2">
        <v>45903</v>
      </c>
      <c r="B434" s="1" t="s">
        <v>4013</v>
      </c>
      <c r="C434" s="1" t="s">
        <v>2601</v>
      </c>
      <c r="D434" s="1" t="s">
        <v>2564</v>
      </c>
      <c r="E434" s="1">
        <v>85395</v>
      </c>
      <c r="F434" s="1" t="s">
        <v>2406</v>
      </c>
      <c r="G434" s="1" t="s">
        <v>3982</v>
      </c>
      <c r="H434" s="4" t="s">
        <v>952</v>
      </c>
      <c r="I434" s="5" t="s">
        <v>2848</v>
      </c>
      <c r="J434" s="5" t="s">
        <v>24</v>
      </c>
      <c r="K434" s="5" t="s">
        <v>24</v>
      </c>
      <c r="L434" s="5" t="s">
        <v>2819</v>
      </c>
      <c r="M434" s="5" t="s">
        <v>24</v>
      </c>
      <c r="N434" s="5" t="s">
        <v>24</v>
      </c>
      <c r="O434" s="5" t="s">
        <v>75</v>
      </c>
      <c r="P434" s="5" t="s">
        <v>2413</v>
      </c>
      <c r="Q434" s="2">
        <v>45967</v>
      </c>
      <c r="V434" s="45">
        <f t="shared" si="6"/>
        <v>1</v>
      </c>
      <c r="W434" s="45" t="s">
        <v>4014</v>
      </c>
    </row>
    <row r="435" spans="1:23" hidden="1">
      <c r="A435" s="2">
        <v>45903</v>
      </c>
      <c r="B435" s="1" t="s">
        <v>4015</v>
      </c>
      <c r="C435" s="1" t="s">
        <v>3610</v>
      </c>
      <c r="D435" s="1" t="s">
        <v>2513</v>
      </c>
      <c r="E435" s="1">
        <v>85254</v>
      </c>
      <c r="F435" s="1" t="s">
        <v>2406</v>
      </c>
      <c r="G435" s="1" t="s">
        <v>3982</v>
      </c>
      <c r="H435" s="4" t="s">
        <v>954</v>
      </c>
      <c r="I435" s="5" t="s">
        <v>2412</v>
      </c>
      <c r="J435" s="5" t="s">
        <v>24</v>
      </c>
      <c r="K435" s="5" t="s">
        <v>24</v>
      </c>
      <c r="L435" s="5" t="s">
        <v>75</v>
      </c>
      <c r="M435" s="5" t="s">
        <v>24</v>
      </c>
      <c r="N435" s="5" t="s">
        <v>24</v>
      </c>
      <c r="O435" s="5" t="s">
        <v>75</v>
      </c>
      <c r="P435" s="5" t="s">
        <v>2413</v>
      </c>
      <c r="Q435" s="2">
        <v>45967</v>
      </c>
      <c r="V435" s="45">
        <f t="shared" si="6"/>
        <v>1</v>
      </c>
      <c r="W435" s="45" t="s">
        <v>4016</v>
      </c>
    </row>
    <row r="436" spans="1:23" hidden="1">
      <c r="A436" s="2">
        <v>45903</v>
      </c>
      <c r="B436" s="1" t="s">
        <v>4017</v>
      </c>
      <c r="C436" s="1" t="s">
        <v>4018</v>
      </c>
      <c r="D436" s="1" t="s">
        <v>2439</v>
      </c>
      <c r="E436" s="1">
        <v>85032</v>
      </c>
      <c r="F436" s="1" t="s">
        <v>2730</v>
      </c>
      <c r="G436" s="1" t="s">
        <v>3982</v>
      </c>
      <c r="H436" s="4" t="s">
        <v>956</v>
      </c>
      <c r="I436" s="5" t="s">
        <v>2451</v>
      </c>
      <c r="J436" s="5" t="s">
        <v>24</v>
      </c>
      <c r="K436" s="5" t="s">
        <v>24</v>
      </c>
      <c r="L436" s="5" t="s">
        <v>75</v>
      </c>
      <c r="M436" s="5" t="s">
        <v>24</v>
      </c>
      <c r="N436" s="5" t="s">
        <v>24</v>
      </c>
      <c r="O436" s="5" t="s">
        <v>75</v>
      </c>
      <c r="P436" s="5" t="s">
        <v>2413</v>
      </c>
      <c r="Q436" s="2">
        <v>45967</v>
      </c>
      <c r="V436" s="45">
        <f t="shared" si="6"/>
        <v>1</v>
      </c>
      <c r="W436" s="45" t="s">
        <v>4019</v>
      </c>
    </row>
    <row r="437" spans="1:23" hidden="1">
      <c r="A437" s="2">
        <v>45903</v>
      </c>
      <c r="B437" s="1" t="s">
        <v>4020</v>
      </c>
      <c r="C437" s="1" t="s">
        <v>3310</v>
      </c>
      <c r="D437" s="1" t="s">
        <v>2564</v>
      </c>
      <c r="E437" s="1">
        <v>85395</v>
      </c>
      <c r="F437" s="1" t="s">
        <v>2406</v>
      </c>
      <c r="G437" s="1" t="s">
        <v>3982</v>
      </c>
      <c r="H437" s="4" t="s">
        <v>958</v>
      </c>
      <c r="I437" s="5" t="s">
        <v>2988</v>
      </c>
      <c r="J437" s="5" t="s">
        <v>24</v>
      </c>
      <c r="K437" s="5" t="s">
        <v>24</v>
      </c>
      <c r="L437" s="5" t="s">
        <v>2819</v>
      </c>
      <c r="M437" s="5" t="s">
        <v>24</v>
      </c>
      <c r="N437" s="5" t="s">
        <v>24</v>
      </c>
      <c r="O437" s="5" t="s">
        <v>75</v>
      </c>
      <c r="P437" s="5" t="s">
        <v>2413</v>
      </c>
      <c r="Q437" s="2">
        <v>45967</v>
      </c>
      <c r="V437" s="45">
        <f t="shared" si="6"/>
        <v>1</v>
      </c>
      <c r="W437" s="45" t="s">
        <v>4021</v>
      </c>
    </row>
    <row r="438" spans="1:23" hidden="1">
      <c r="A438" s="2">
        <v>45903</v>
      </c>
      <c r="B438" s="1" t="s">
        <v>4022</v>
      </c>
      <c r="C438" s="1" t="s">
        <v>3050</v>
      </c>
      <c r="D438" s="1" t="s">
        <v>2564</v>
      </c>
      <c r="E438" s="1">
        <v>85395</v>
      </c>
      <c r="F438" s="1" t="s">
        <v>4023</v>
      </c>
      <c r="G438" s="1" t="s">
        <v>3982</v>
      </c>
      <c r="H438" s="4" t="s">
        <v>960</v>
      </c>
      <c r="I438" s="5" t="s">
        <v>2412</v>
      </c>
      <c r="J438" s="5" t="s">
        <v>24</v>
      </c>
      <c r="K438" s="5" t="s">
        <v>24</v>
      </c>
      <c r="L438" s="5" t="s">
        <v>75</v>
      </c>
      <c r="M438" s="5" t="s">
        <v>24</v>
      </c>
      <c r="N438" s="5" t="s">
        <v>24</v>
      </c>
      <c r="O438" s="5" t="s">
        <v>75</v>
      </c>
      <c r="P438" s="5" t="s">
        <v>2413</v>
      </c>
      <c r="Q438" s="2">
        <v>45967</v>
      </c>
      <c r="V438" s="45">
        <f t="shared" si="6"/>
        <v>1</v>
      </c>
      <c r="W438" s="125" t="s">
        <v>4024</v>
      </c>
    </row>
    <row r="439" spans="1:23" hidden="1">
      <c r="A439" s="2">
        <v>45903</v>
      </c>
      <c r="B439" s="1" t="s">
        <v>4025</v>
      </c>
      <c r="C439" s="1" t="s">
        <v>4026</v>
      </c>
      <c r="D439" s="1" t="s">
        <v>2513</v>
      </c>
      <c r="E439" s="1">
        <v>85259</v>
      </c>
      <c r="F439" s="1" t="s">
        <v>2730</v>
      </c>
      <c r="G439" s="1" t="s">
        <v>3982</v>
      </c>
      <c r="H439" s="4" t="s">
        <v>2401</v>
      </c>
      <c r="V439" s="45">
        <f t="shared" si="6"/>
        <v>1</v>
      </c>
      <c r="W439" s="45" t="s">
        <v>4027</v>
      </c>
    </row>
    <row r="440" spans="1:23" hidden="1">
      <c r="A440" s="2">
        <v>45903</v>
      </c>
      <c r="B440" s="1" t="s">
        <v>4028</v>
      </c>
      <c r="C440" s="1" t="s">
        <v>4029</v>
      </c>
      <c r="D440" s="1" t="s">
        <v>3073</v>
      </c>
      <c r="E440" s="1">
        <v>85365</v>
      </c>
      <c r="F440" s="1" t="s">
        <v>2406</v>
      </c>
      <c r="G440" s="1" t="s">
        <v>3982</v>
      </c>
      <c r="H440" s="4" t="s">
        <v>962</v>
      </c>
      <c r="I440" s="5" t="s">
        <v>2988</v>
      </c>
      <c r="J440" s="5" t="s">
        <v>24</v>
      </c>
      <c r="K440" s="5" t="s">
        <v>24</v>
      </c>
      <c r="L440" s="5" t="s">
        <v>2819</v>
      </c>
      <c r="M440" s="5" t="s">
        <v>24</v>
      </c>
      <c r="N440" s="5" t="s">
        <v>24</v>
      </c>
      <c r="O440" s="5" t="s">
        <v>75</v>
      </c>
      <c r="P440" s="5" t="s">
        <v>2413</v>
      </c>
      <c r="Q440" s="2">
        <v>45967</v>
      </c>
      <c r="V440" s="45">
        <f t="shared" si="6"/>
        <v>1</v>
      </c>
      <c r="W440" s="45" t="s">
        <v>4030</v>
      </c>
    </row>
    <row r="441" spans="1:23" hidden="1">
      <c r="A441" s="2">
        <v>45903</v>
      </c>
      <c r="B441" s="1" t="s">
        <v>4031</v>
      </c>
      <c r="C441" s="1" t="s">
        <v>4032</v>
      </c>
      <c r="D441" s="1" t="s">
        <v>2398</v>
      </c>
      <c r="E441" s="1">
        <v>85308</v>
      </c>
      <c r="F441" s="1" t="s">
        <v>2406</v>
      </c>
      <c r="G441" s="1" t="s">
        <v>3982</v>
      </c>
      <c r="H441" s="4" t="s">
        <v>2401</v>
      </c>
      <c r="V441" s="45">
        <f t="shared" si="6"/>
        <v>1</v>
      </c>
      <c r="W441" s="45" t="s">
        <v>4033</v>
      </c>
    </row>
    <row r="442" spans="1:23" hidden="1">
      <c r="A442" s="2">
        <v>45903</v>
      </c>
      <c r="B442" s="1" t="s">
        <v>4034</v>
      </c>
      <c r="C442" s="1" t="s">
        <v>4035</v>
      </c>
      <c r="D442" s="1" t="s">
        <v>2969</v>
      </c>
      <c r="E442" s="1">
        <v>85392</v>
      </c>
      <c r="F442" s="1" t="s">
        <v>2406</v>
      </c>
      <c r="G442" s="1" t="s">
        <v>3982</v>
      </c>
      <c r="H442" s="4" t="s">
        <v>2401</v>
      </c>
      <c r="V442" s="45">
        <f t="shared" si="6"/>
        <v>1</v>
      </c>
      <c r="W442" s="45" t="s">
        <v>4036</v>
      </c>
    </row>
    <row r="443" spans="1:23" hidden="1">
      <c r="A443" s="2">
        <v>45903</v>
      </c>
      <c r="B443" s="1" t="s">
        <v>4037</v>
      </c>
      <c r="C443" s="1" t="s">
        <v>2527</v>
      </c>
      <c r="D443" s="1" t="s">
        <v>4038</v>
      </c>
      <c r="E443" s="1">
        <v>85353</v>
      </c>
      <c r="F443" s="1" t="s">
        <v>2406</v>
      </c>
      <c r="G443" s="1" t="s">
        <v>3982</v>
      </c>
      <c r="H443" s="4" t="s">
        <v>2401</v>
      </c>
      <c r="V443" s="45">
        <f t="shared" si="6"/>
        <v>1</v>
      </c>
      <c r="W443" s="45" t="s">
        <v>4039</v>
      </c>
    </row>
    <row r="444" spans="1:23" hidden="1">
      <c r="A444" s="2">
        <v>45903</v>
      </c>
      <c r="B444" s="1" t="s">
        <v>4040</v>
      </c>
      <c r="C444" s="1" t="s">
        <v>2977</v>
      </c>
      <c r="D444" s="1" t="s">
        <v>2950</v>
      </c>
      <c r="E444" s="1">
        <v>86001</v>
      </c>
      <c r="F444" s="1" t="s">
        <v>2730</v>
      </c>
      <c r="G444" s="1" t="s">
        <v>3982</v>
      </c>
      <c r="H444" s="4" t="s">
        <v>2401</v>
      </c>
      <c r="V444" s="45">
        <f t="shared" si="6"/>
        <v>1</v>
      </c>
      <c r="W444" s="45" t="s">
        <v>4041</v>
      </c>
    </row>
    <row r="445" spans="1:23" hidden="1">
      <c r="A445" s="2">
        <v>45903</v>
      </c>
      <c r="B445" s="1" t="s">
        <v>4042</v>
      </c>
      <c r="C445" s="1" t="s">
        <v>4043</v>
      </c>
      <c r="D445" s="1" t="s">
        <v>2513</v>
      </c>
      <c r="E445" s="1">
        <v>85257</v>
      </c>
      <c r="F445" s="1" t="s">
        <v>2730</v>
      </c>
      <c r="G445" s="1" t="s">
        <v>3982</v>
      </c>
      <c r="H445" s="4" t="s">
        <v>2401</v>
      </c>
      <c r="V445" s="45">
        <f t="shared" si="6"/>
        <v>1</v>
      </c>
      <c r="W445" s="45" t="s">
        <v>4044</v>
      </c>
    </row>
    <row r="446" spans="1:23" hidden="1">
      <c r="A446" s="2">
        <v>45903</v>
      </c>
      <c r="B446" s="1" t="s">
        <v>4045</v>
      </c>
      <c r="C446" s="1" t="s">
        <v>4046</v>
      </c>
      <c r="D446" s="1" t="s">
        <v>2439</v>
      </c>
      <c r="E446" s="1">
        <v>85024</v>
      </c>
      <c r="F446" s="1" t="s">
        <v>2406</v>
      </c>
      <c r="G446" s="1" t="s">
        <v>3982</v>
      </c>
      <c r="H446" s="4" t="s">
        <v>128</v>
      </c>
      <c r="I446" s="5" t="s">
        <v>2659</v>
      </c>
      <c r="J446" s="5" t="s">
        <v>24</v>
      </c>
      <c r="K446" s="5" t="s">
        <v>24</v>
      </c>
      <c r="L446" s="7" t="s">
        <v>4047</v>
      </c>
      <c r="M446" s="5" t="s">
        <v>24</v>
      </c>
      <c r="N446" s="5" t="s">
        <v>24</v>
      </c>
      <c r="O446" s="5" t="s">
        <v>75</v>
      </c>
      <c r="P446" s="2">
        <v>45936</v>
      </c>
      <c r="Q446" s="2">
        <v>45967</v>
      </c>
      <c r="R446" s="1" t="s">
        <v>4048</v>
      </c>
      <c r="V446" s="45">
        <f t="shared" si="6"/>
        <v>1</v>
      </c>
      <c r="W446" s="45" t="s">
        <v>4049</v>
      </c>
    </row>
    <row r="447" spans="1:23" hidden="1">
      <c r="A447" s="2">
        <v>45903</v>
      </c>
      <c r="B447" s="1" t="s">
        <v>3769</v>
      </c>
      <c r="C447" s="1" t="s">
        <v>4050</v>
      </c>
      <c r="D447" s="1" t="s">
        <v>2398</v>
      </c>
      <c r="E447" s="1">
        <v>85306</v>
      </c>
      <c r="F447" s="1" t="s">
        <v>2730</v>
      </c>
      <c r="G447" s="1" t="s">
        <v>3982</v>
      </c>
      <c r="H447" s="4" t="s">
        <v>964</v>
      </c>
      <c r="I447" s="5" t="s">
        <v>2412</v>
      </c>
      <c r="J447" s="5" t="s">
        <v>24</v>
      </c>
      <c r="K447" s="5" t="s">
        <v>24</v>
      </c>
      <c r="L447" s="5" t="s">
        <v>75</v>
      </c>
      <c r="M447" s="5" t="s">
        <v>24</v>
      </c>
      <c r="N447" s="5" t="s">
        <v>24</v>
      </c>
      <c r="O447" s="5" t="s">
        <v>75</v>
      </c>
      <c r="P447" s="5" t="s">
        <v>2413</v>
      </c>
      <c r="Q447" s="2">
        <v>45967</v>
      </c>
      <c r="V447" s="45">
        <f t="shared" si="6"/>
        <v>1</v>
      </c>
      <c r="W447" s="45" t="s">
        <v>4051</v>
      </c>
    </row>
    <row r="448" spans="1:23" hidden="1">
      <c r="A448" s="2">
        <v>45903</v>
      </c>
      <c r="B448" s="1" t="s">
        <v>4052</v>
      </c>
      <c r="C448" s="1" t="s">
        <v>4053</v>
      </c>
      <c r="D448" s="1" t="s">
        <v>2439</v>
      </c>
      <c r="E448" s="1">
        <v>85037</v>
      </c>
      <c r="F448" s="1" t="s">
        <v>2730</v>
      </c>
      <c r="G448" s="1" t="s">
        <v>3982</v>
      </c>
      <c r="H448" s="4" t="s">
        <v>2471</v>
      </c>
      <c r="V448" s="45">
        <f t="shared" si="6"/>
        <v>1</v>
      </c>
      <c r="W448" s="45" t="s">
        <v>4054</v>
      </c>
    </row>
    <row r="449" spans="1:23" hidden="1">
      <c r="A449" s="2">
        <v>45903</v>
      </c>
      <c r="B449" s="1" t="s">
        <v>4055</v>
      </c>
      <c r="C449" s="1" t="s">
        <v>4056</v>
      </c>
      <c r="D449" s="1" t="s">
        <v>2605</v>
      </c>
      <c r="E449" s="1">
        <v>85382</v>
      </c>
      <c r="F449" s="1" t="s">
        <v>2406</v>
      </c>
      <c r="G449" s="1" t="s">
        <v>3982</v>
      </c>
      <c r="H449" s="4" t="s">
        <v>130</v>
      </c>
      <c r="I449" s="5" t="s">
        <v>3596</v>
      </c>
      <c r="J449" s="5" t="s">
        <v>24</v>
      </c>
      <c r="K449" s="5" t="s">
        <v>24</v>
      </c>
      <c r="L449" s="7" t="s">
        <v>4057</v>
      </c>
      <c r="M449" s="5" t="s">
        <v>24</v>
      </c>
      <c r="N449" s="5" t="s">
        <v>24</v>
      </c>
      <c r="O449" s="5" t="s">
        <v>75</v>
      </c>
      <c r="P449" s="7"/>
      <c r="Q449" s="2">
        <v>45967</v>
      </c>
      <c r="V449" s="45">
        <f t="shared" si="6"/>
        <v>1</v>
      </c>
      <c r="W449" s="45" t="s">
        <v>4058</v>
      </c>
    </row>
    <row r="450" spans="1:23" hidden="1">
      <c r="A450" s="2">
        <v>45903</v>
      </c>
      <c r="B450" s="1" t="s">
        <v>4059</v>
      </c>
      <c r="C450" s="1" t="s">
        <v>4060</v>
      </c>
      <c r="D450" s="1" t="s">
        <v>2439</v>
      </c>
      <c r="E450" s="1">
        <v>85085</v>
      </c>
      <c r="F450" s="1" t="s">
        <v>2730</v>
      </c>
      <c r="G450" s="1" t="s">
        <v>3982</v>
      </c>
      <c r="H450" s="4" t="s">
        <v>966</v>
      </c>
      <c r="I450" s="5" t="s">
        <v>2988</v>
      </c>
      <c r="J450" s="5" t="s">
        <v>24</v>
      </c>
      <c r="K450" s="5" t="s">
        <v>24</v>
      </c>
      <c r="L450" s="5" t="s">
        <v>2819</v>
      </c>
      <c r="M450" s="5" t="s">
        <v>24</v>
      </c>
      <c r="N450" s="5" t="s">
        <v>24</v>
      </c>
      <c r="O450" s="5" t="s">
        <v>75</v>
      </c>
      <c r="P450" s="5" t="s">
        <v>2413</v>
      </c>
      <c r="Q450" s="2">
        <v>45967</v>
      </c>
      <c r="V450" s="45">
        <f t="shared" ref="V450:V513" si="7">IF(OR(ISNUMBER(SEARCH("unable to locate acct",G450)),ISNUMBER(SEARCH("unknown",G450)),ISNUMBER(SEARCH("inactive",G450)),H450=""),0,1)</f>
        <v>1</v>
      </c>
      <c r="W450" s="45" t="s">
        <v>4061</v>
      </c>
    </row>
    <row r="451" spans="1:23" hidden="1">
      <c r="A451" s="2">
        <v>45903</v>
      </c>
      <c r="B451" s="1" t="s">
        <v>4062</v>
      </c>
      <c r="C451" s="1" t="s">
        <v>4063</v>
      </c>
      <c r="D451" s="1" t="s">
        <v>2518</v>
      </c>
      <c r="E451" s="1">
        <v>85298</v>
      </c>
      <c r="F451" s="1" t="s">
        <v>2730</v>
      </c>
      <c r="G451" s="1" t="s">
        <v>3982</v>
      </c>
      <c r="H451" s="4" t="s">
        <v>2401</v>
      </c>
      <c r="V451" s="45">
        <f t="shared" si="7"/>
        <v>1</v>
      </c>
      <c r="W451" s="125" t="s">
        <v>4064</v>
      </c>
    </row>
    <row r="452" spans="1:23" hidden="1">
      <c r="A452" s="2">
        <v>45903</v>
      </c>
      <c r="B452" s="1" t="s">
        <v>4065</v>
      </c>
      <c r="C452" s="1" t="s">
        <v>4066</v>
      </c>
      <c r="D452" s="1" t="s">
        <v>2439</v>
      </c>
      <c r="E452" s="1">
        <v>85053</v>
      </c>
      <c r="F452" s="1" t="s">
        <v>2730</v>
      </c>
      <c r="G452" s="1" t="s">
        <v>3982</v>
      </c>
      <c r="H452" s="4" t="s">
        <v>2471</v>
      </c>
      <c r="V452" s="45">
        <f t="shared" si="7"/>
        <v>1</v>
      </c>
      <c r="W452" s="45" t="s">
        <v>4067</v>
      </c>
    </row>
    <row r="453" spans="1:23" hidden="1">
      <c r="A453" s="2">
        <v>45903</v>
      </c>
      <c r="B453" s="1" t="s">
        <v>4068</v>
      </c>
      <c r="C453" s="1" t="s">
        <v>4069</v>
      </c>
      <c r="D453" s="1" t="s">
        <v>2498</v>
      </c>
      <c r="E453" s="1">
        <v>85387</v>
      </c>
      <c r="F453" s="1" t="s">
        <v>2730</v>
      </c>
      <c r="G453" s="1" t="s">
        <v>3982</v>
      </c>
      <c r="H453" s="4" t="s">
        <v>968</v>
      </c>
      <c r="I453" s="5" t="s">
        <v>2412</v>
      </c>
      <c r="J453" s="5" t="s">
        <v>24</v>
      </c>
      <c r="K453" s="5" t="s">
        <v>24</v>
      </c>
      <c r="L453" s="5" t="s">
        <v>75</v>
      </c>
      <c r="M453" s="5" t="s">
        <v>24</v>
      </c>
      <c r="N453" s="5" t="s">
        <v>24</v>
      </c>
      <c r="O453" s="5" t="s">
        <v>75</v>
      </c>
      <c r="P453" s="5" t="s">
        <v>2413</v>
      </c>
      <c r="Q453" s="2">
        <v>45967</v>
      </c>
      <c r="V453" s="45">
        <f t="shared" si="7"/>
        <v>1</v>
      </c>
      <c r="W453" s="45" t="s">
        <v>4070</v>
      </c>
    </row>
    <row r="454" spans="1:23" hidden="1">
      <c r="A454" s="2">
        <v>45903</v>
      </c>
      <c r="B454" s="1" t="s">
        <v>3447</v>
      </c>
      <c r="C454" s="1" t="s">
        <v>2754</v>
      </c>
      <c r="D454" s="1" t="s">
        <v>2513</v>
      </c>
      <c r="E454" s="1">
        <v>85251</v>
      </c>
      <c r="F454" s="1" t="s">
        <v>2406</v>
      </c>
      <c r="G454" s="1" t="s">
        <v>3982</v>
      </c>
      <c r="H454" s="4" t="s">
        <v>2401</v>
      </c>
      <c r="V454" s="45">
        <f t="shared" si="7"/>
        <v>1</v>
      </c>
      <c r="W454" s="45" t="s">
        <v>4071</v>
      </c>
    </row>
    <row r="455" spans="1:23" hidden="1">
      <c r="A455" s="2">
        <v>45903</v>
      </c>
      <c r="B455" s="1" t="s">
        <v>4072</v>
      </c>
      <c r="C455" s="1" t="s">
        <v>4073</v>
      </c>
      <c r="D455" s="1" t="s">
        <v>2605</v>
      </c>
      <c r="E455" s="1">
        <v>85383</v>
      </c>
      <c r="F455" s="1" t="s">
        <v>2730</v>
      </c>
      <c r="G455" s="1" t="s">
        <v>3982</v>
      </c>
      <c r="H455" s="4" t="s">
        <v>133</v>
      </c>
      <c r="I455" s="5" t="s">
        <v>3596</v>
      </c>
      <c r="J455" s="5" t="s">
        <v>24</v>
      </c>
      <c r="K455" s="5" t="s">
        <v>24</v>
      </c>
      <c r="L455" s="5" t="s">
        <v>4074</v>
      </c>
      <c r="M455" s="5" t="s">
        <v>24</v>
      </c>
      <c r="N455" s="5" t="s">
        <v>24</v>
      </c>
      <c r="O455" s="5" t="s">
        <v>75</v>
      </c>
      <c r="P455" s="5" t="s">
        <v>2413</v>
      </c>
      <c r="Q455" s="2">
        <v>45967</v>
      </c>
      <c r="R455" s="1" t="s">
        <v>4075</v>
      </c>
      <c r="V455" s="45">
        <f t="shared" si="7"/>
        <v>1</v>
      </c>
      <c r="W455" s="45" t="s">
        <v>4076</v>
      </c>
    </row>
    <row r="456" spans="1:23" hidden="1">
      <c r="A456" s="2">
        <v>45903</v>
      </c>
      <c r="B456" s="1" t="s">
        <v>4077</v>
      </c>
      <c r="C456" s="1" t="s">
        <v>4078</v>
      </c>
      <c r="D456" s="1" t="s">
        <v>2605</v>
      </c>
      <c r="E456" s="1">
        <v>85383</v>
      </c>
      <c r="F456" s="1" t="s">
        <v>2730</v>
      </c>
      <c r="G456" s="1" t="s">
        <v>3982</v>
      </c>
      <c r="H456" s="4" t="s">
        <v>2401</v>
      </c>
      <c r="V456" s="45">
        <f t="shared" si="7"/>
        <v>1</v>
      </c>
      <c r="W456" s="45" t="s">
        <v>4079</v>
      </c>
    </row>
    <row r="457" spans="1:23" hidden="1">
      <c r="A457" s="2">
        <v>45903</v>
      </c>
      <c r="B457" s="1" t="s">
        <v>4080</v>
      </c>
      <c r="C457" s="1" t="s">
        <v>2784</v>
      </c>
      <c r="D457" s="1" t="s">
        <v>2439</v>
      </c>
      <c r="E457" s="1">
        <v>85027</v>
      </c>
      <c r="F457" s="1" t="s">
        <v>2730</v>
      </c>
      <c r="G457" s="1" t="s">
        <v>3982</v>
      </c>
      <c r="H457" s="4" t="s">
        <v>135</v>
      </c>
      <c r="I457" s="5" t="s">
        <v>2597</v>
      </c>
      <c r="J457" s="5" t="s">
        <v>24</v>
      </c>
      <c r="K457" s="5" t="s">
        <v>24</v>
      </c>
      <c r="L457" s="5" t="s">
        <v>4081</v>
      </c>
      <c r="M457" s="5" t="s">
        <v>24</v>
      </c>
      <c r="N457" s="5" t="s">
        <v>24</v>
      </c>
      <c r="O457" s="5" t="s">
        <v>75</v>
      </c>
      <c r="P457" s="5" t="s">
        <v>2413</v>
      </c>
      <c r="Q457" s="2">
        <v>45967</v>
      </c>
      <c r="V457" s="45">
        <f t="shared" si="7"/>
        <v>1</v>
      </c>
      <c r="W457" s="45" t="s">
        <v>4082</v>
      </c>
    </row>
    <row r="458" spans="1:23" hidden="1">
      <c r="A458" s="2">
        <v>45903</v>
      </c>
      <c r="B458" s="1" t="s">
        <v>4083</v>
      </c>
      <c r="C458" s="1" t="s">
        <v>4084</v>
      </c>
      <c r="D458" s="1" t="s">
        <v>2605</v>
      </c>
      <c r="E458" s="1">
        <v>85383</v>
      </c>
      <c r="F458" s="1" t="s">
        <v>2406</v>
      </c>
      <c r="G458" s="1" t="s">
        <v>3982</v>
      </c>
      <c r="H458" s="4" t="s">
        <v>2613</v>
      </c>
      <c r="V458" s="45">
        <f t="shared" si="7"/>
        <v>1</v>
      </c>
      <c r="W458" s="125" t="s">
        <v>4085</v>
      </c>
    </row>
    <row r="459" spans="1:23" hidden="1">
      <c r="A459" s="2">
        <v>45903</v>
      </c>
      <c r="B459" s="1" t="s">
        <v>4086</v>
      </c>
      <c r="C459" s="1" t="s">
        <v>3895</v>
      </c>
      <c r="D459" s="1" t="s">
        <v>2439</v>
      </c>
      <c r="E459" s="1">
        <v>85086</v>
      </c>
      <c r="F459" s="1" t="s">
        <v>2730</v>
      </c>
      <c r="G459" s="1" t="s">
        <v>3982</v>
      </c>
      <c r="H459" s="4" t="s">
        <v>970</v>
      </c>
      <c r="I459" s="5" t="s">
        <v>2420</v>
      </c>
      <c r="J459" s="5" t="s">
        <v>24</v>
      </c>
      <c r="K459" s="5" t="s">
        <v>24</v>
      </c>
      <c r="L459" s="5" t="s">
        <v>4087</v>
      </c>
      <c r="M459" s="5" t="s">
        <v>24</v>
      </c>
      <c r="N459" s="5" t="s">
        <v>24</v>
      </c>
      <c r="O459" s="5" t="s">
        <v>75</v>
      </c>
      <c r="P459" s="5" t="s">
        <v>2413</v>
      </c>
      <c r="Q459" s="2">
        <v>45967</v>
      </c>
      <c r="R459" s="1" t="s">
        <v>4088</v>
      </c>
      <c r="V459" s="45">
        <f t="shared" si="7"/>
        <v>1</v>
      </c>
      <c r="W459" s="45" t="s">
        <v>4089</v>
      </c>
    </row>
    <row r="460" spans="1:23" hidden="1">
      <c r="A460" s="2">
        <v>45903</v>
      </c>
      <c r="B460" s="1" t="s">
        <v>4090</v>
      </c>
      <c r="C460" s="1" t="s">
        <v>4091</v>
      </c>
      <c r="D460" s="1" t="s">
        <v>2969</v>
      </c>
      <c r="E460" s="1">
        <v>85392</v>
      </c>
      <c r="F460" s="1" t="s">
        <v>2406</v>
      </c>
      <c r="G460" s="1" t="s">
        <v>3982</v>
      </c>
      <c r="H460" s="4" t="s">
        <v>972</v>
      </c>
      <c r="I460" s="5" t="s">
        <v>2848</v>
      </c>
      <c r="J460" s="5" t="s">
        <v>24</v>
      </c>
      <c r="K460" s="5" t="s">
        <v>24</v>
      </c>
      <c r="L460" s="5" t="s">
        <v>2819</v>
      </c>
      <c r="M460" s="5" t="s">
        <v>24</v>
      </c>
      <c r="N460" s="5" t="s">
        <v>24</v>
      </c>
      <c r="O460" s="5" t="s">
        <v>75</v>
      </c>
      <c r="P460" s="5" t="s">
        <v>2413</v>
      </c>
      <c r="Q460" s="2">
        <v>45967</v>
      </c>
      <c r="V460" s="45">
        <f t="shared" si="7"/>
        <v>1</v>
      </c>
      <c r="W460" s="45" t="s">
        <v>4092</v>
      </c>
    </row>
    <row r="461" spans="1:23" hidden="1">
      <c r="A461" s="2">
        <v>45903</v>
      </c>
      <c r="B461" s="1" t="s">
        <v>4093</v>
      </c>
      <c r="C461" s="1" t="s">
        <v>4094</v>
      </c>
      <c r="D461" s="1" t="s">
        <v>2439</v>
      </c>
      <c r="E461" s="1">
        <v>85021</v>
      </c>
      <c r="F461" s="1" t="s">
        <v>2730</v>
      </c>
      <c r="G461" s="1" t="s">
        <v>3982</v>
      </c>
      <c r="H461" s="4" t="s">
        <v>137</v>
      </c>
      <c r="I461" s="5" t="s">
        <v>2597</v>
      </c>
      <c r="J461" s="5" t="s">
        <v>24</v>
      </c>
      <c r="K461" s="5" t="s">
        <v>24</v>
      </c>
      <c r="L461" s="7" t="s">
        <v>4095</v>
      </c>
      <c r="M461" s="5" t="s">
        <v>24</v>
      </c>
      <c r="N461" s="5" t="s">
        <v>24</v>
      </c>
      <c r="O461" s="5" t="s">
        <v>75</v>
      </c>
      <c r="P461" s="2">
        <v>45936</v>
      </c>
      <c r="Q461" s="2">
        <v>45967</v>
      </c>
      <c r="R461" s="1" t="s">
        <v>4096</v>
      </c>
      <c r="V461" s="45">
        <f t="shared" si="7"/>
        <v>1</v>
      </c>
      <c r="W461" s="45" t="s">
        <v>4097</v>
      </c>
    </row>
    <row r="462" spans="1:23" hidden="1">
      <c r="A462" s="2">
        <v>45903</v>
      </c>
      <c r="B462" s="1" t="s">
        <v>3739</v>
      </c>
      <c r="C462" s="1" t="s">
        <v>4098</v>
      </c>
      <c r="D462" s="1" t="s">
        <v>2439</v>
      </c>
      <c r="E462" s="1">
        <v>85032</v>
      </c>
      <c r="F462" s="1" t="s">
        <v>2406</v>
      </c>
      <c r="G462" s="1" t="s">
        <v>3982</v>
      </c>
      <c r="H462" s="4" t="s">
        <v>2471</v>
      </c>
      <c r="V462" s="45">
        <f t="shared" si="7"/>
        <v>1</v>
      </c>
      <c r="W462" s="45" t="s">
        <v>4099</v>
      </c>
    </row>
    <row r="463" spans="1:23" hidden="1">
      <c r="A463" s="2">
        <v>45903</v>
      </c>
      <c r="B463" s="1" t="s">
        <v>4100</v>
      </c>
      <c r="C463" s="1" t="s">
        <v>4101</v>
      </c>
      <c r="D463" s="1" t="s">
        <v>2439</v>
      </c>
      <c r="E463" s="1">
        <v>85024</v>
      </c>
      <c r="F463" s="1" t="s">
        <v>2730</v>
      </c>
      <c r="G463" s="1" t="s">
        <v>3982</v>
      </c>
      <c r="H463" s="4" t="s">
        <v>974</v>
      </c>
      <c r="I463" s="5" t="s">
        <v>2412</v>
      </c>
      <c r="J463" s="5" t="s">
        <v>24</v>
      </c>
      <c r="K463" s="5" t="s">
        <v>24</v>
      </c>
      <c r="L463" s="5" t="s">
        <v>75</v>
      </c>
      <c r="M463" s="5" t="s">
        <v>24</v>
      </c>
      <c r="N463" s="5" t="s">
        <v>24</v>
      </c>
      <c r="O463" s="5" t="s">
        <v>75</v>
      </c>
      <c r="P463" s="5" t="s">
        <v>2413</v>
      </c>
      <c r="Q463" s="2">
        <v>45967</v>
      </c>
      <c r="V463" s="45">
        <f t="shared" si="7"/>
        <v>1</v>
      </c>
      <c r="W463" s="45" t="s">
        <v>4102</v>
      </c>
    </row>
    <row r="464" spans="1:23" hidden="1">
      <c r="A464" s="2">
        <v>45903</v>
      </c>
      <c r="B464" s="1" t="s">
        <v>4103</v>
      </c>
      <c r="C464" s="1" t="s">
        <v>4104</v>
      </c>
      <c r="D464" s="1" t="s">
        <v>2564</v>
      </c>
      <c r="E464" s="1">
        <v>85338</v>
      </c>
      <c r="F464" s="1" t="s">
        <v>2406</v>
      </c>
      <c r="G464" s="1" t="s">
        <v>3982</v>
      </c>
      <c r="H464" s="4" t="s">
        <v>139</v>
      </c>
      <c r="I464" s="5" t="s">
        <v>2514</v>
      </c>
      <c r="J464" s="5" t="s">
        <v>75</v>
      </c>
      <c r="K464" s="5" t="s">
        <v>24</v>
      </c>
      <c r="L464" s="7" t="s">
        <v>4105</v>
      </c>
      <c r="M464" s="5" t="s">
        <v>24</v>
      </c>
      <c r="N464" s="19" t="s">
        <v>24</v>
      </c>
      <c r="O464" s="5" t="s">
        <v>75</v>
      </c>
      <c r="P464" s="2">
        <v>45936</v>
      </c>
      <c r="Q464" s="2">
        <v>45967</v>
      </c>
      <c r="R464" s="1" t="s">
        <v>4096</v>
      </c>
      <c r="V464" s="45">
        <f t="shared" si="7"/>
        <v>1</v>
      </c>
      <c r="W464" s="45" t="s">
        <v>4106</v>
      </c>
    </row>
    <row r="465" spans="1:23" hidden="1">
      <c r="A465" s="2">
        <v>45903</v>
      </c>
      <c r="B465" s="1" t="s">
        <v>4107</v>
      </c>
      <c r="C465" s="1" t="s">
        <v>4108</v>
      </c>
      <c r="D465" s="1" t="s">
        <v>2498</v>
      </c>
      <c r="E465" s="1">
        <v>85379</v>
      </c>
      <c r="F465" s="1" t="s">
        <v>2406</v>
      </c>
      <c r="G465" s="1" t="s">
        <v>3982</v>
      </c>
      <c r="H465" s="4" t="s">
        <v>976</v>
      </c>
      <c r="I465" s="5" t="s">
        <v>2412</v>
      </c>
      <c r="J465" s="5" t="s">
        <v>24</v>
      </c>
      <c r="K465" s="5" t="s">
        <v>24</v>
      </c>
      <c r="L465" s="5" t="s">
        <v>75</v>
      </c>
      <c r="M465" s="5" t="s">
        <v>24</v>
      </c>
      <c r="N465" s="5" t="s">
        <v>24</v>
      </c>
      <c r="O465" s="5" t="s">
        <v>75</v>
      </c>
      <c r="P465" s="5" t="s">
        <v>2413</v>
      </c>
      <c r="Q465" s="2">
        <v>45967</v>
      </c>
      <c r="V465" s="45">
        <f t="shared" si="7"/>
        <v>1</v>
      </c>
      <c r="W465" s="45" t="s">
        <v>4109</v>
      </c>
    </row>
    <row r="466" spans="1:23" hidden="1">
      <c r="A466" s="2">
        <v>45903</v>
      </c>
      <c r="B466" s="1" t="s">
        <v>4110</v>
      </c>
      <c r="C466" s="1" t="s">
        <v>4029</v>
      </c>
      <c r="D466" s="1" t="s">
        <v>2564</v>
      </c>
      <c r="E466" s="1">
        <v>85338</v>
      </c>
      <c r="F466" s="1" t="s">
        <v>2730</v>
      </c>
      <c r="G466" s="1" t="s">
        <v>3982</v>
      </c>
      <c r="H466" s="4" t="s">
        <v>141</v>
      </c>
      <c r="I466" s="5" t="s">
        <v>2432</v>
      </c>
      <c r="J466" s="5" t="s">
        <v>24</v>
      </c>
      <c r="K466" s="5" t="s">
        <v>24</v>
      </c>
      <c r="L466" s="5" t="s">
        <v>4111</v>
      </c>
      <c r="M466" s="5" t="s">
        <v>24</v>
      </c>
      <c r="N466" s="5" t="s">
        <v>24</v>
      </c>
      <c r="O466" s="5" t="s">
        <v>75</v>
      </c>
      <c r="P466" s="5" t="s">
        <v>2413</v>
      </c>
      <c r="Q466" s="2">
        <v>45967</v>
      </c>
      <c r="V466" s="45">
        <f t="shared" si="7"/>
        <v>1</v>
      </c>
      <c r="W466" s="45" t="s">
        <v>4112</v>
      </c>
    </row>
    <row r="467" spans="1:23" hidden="1">
      <c r="A467" s="2">
        <v>45903</v>
      </c>
      <c r="B467" s="1" t="s">
        <v>2792</v>
      </c>
      <c r="C467" s="1" t="s">
        <v>4113</v>
      </c>
      <c r="D467" s="1" t="s">
        <v>2439</v>
      </c>
      <c r="E467" s="1">
        <v>85085</v>
      </c>
      <c r="F467" s="1" t="s">
        <v>2406</v>
      </c>
      <c r="G467" s="1" t="s">
        <v>3982</v>
      </c>
      <c r="H467" s="4" t="s">
        <v>978</v>
      </c>
      <c r="I467" s="5" t="s">
        <v>2659</v>
      </c>
      <c r="J467" s="5" t="s">
        <v>24</v>
      </c>
      <c r="K467" s="5" t="s">
        <v>24</v>
      </c>
      <c r="L467" s="5" t="s">
        <v>75</v>
      </c>
      <c r="M467" s="5" t="s">
        <v>24</v>
      </c>
      <c r="N467" s="5" t="s">
        <v>24</v>
      </c>
      <c r="O467" s="5" t="s">
        <v>75</v>
      </c>
      <c r="P467" s="5" t="s">
        <v>2413</v>
      </c>
      <c r="Q467" s="2">
        <v>45967</v>
      </c>
      <c r="V467" s="45">
        <f t="shared" si="7"/>
        <v>1</v>
      </c>
      <c r="W467" s="45" t="s">
        <v>4114</v>
      </c>
    </row>
    <row r="468" spans="1:23" hidden="1">
      <c r="A468" s="2">
        <v>45903</v>
      </c>
      <c r="B468" s="1" t="s">
        <v>4115</v>
      </c>
      <c r="C468" s="1" t="s">
        <v>4116</v>
      </c>
      <c r="D468" s="1" t="s">
        <v>2439</v>
      </c>
      <c r="E468" s="1">
        <v>85053</v>
      </c>
      <c r="F468" s="1" t="s">
        <v>2406</v>
      </c>
      <c r="G468" s="1" t="s">
        <v>3982</v>
      </c>
      <c r="H468" s="4" t="s">
        <v>980</v>
      </c>
      <c r="I468" s="5" t="s">
        <v>2659</v>
      </c>
      <c r="J468" s="5" t="s">
        <v>24</v>
      </c>
      <c r="K468" s="5" t="s">
        <v>24</v>
      </c>
      <c r="L468" s="5" t="s">
        <v>75</v>
      </c>
      <c r="M468" s="5" t="s">
        <v>24</v>
      </c>
      <c r="N468" s="5" t="s">
        <v>24</v>
      </c>
      <c r="O468" s="5" t="s">
        <v>75</v>
      </c>
      <c r="P468" s="5" t="s">
        <v>2413</v>
      </c>
      <c r="Q468" s="2">
        <v>45967</v>
      </c>
      <c r="V468" s="45">
        <f t="shared" si="7"/>
        <v>1</v>
      </c>
      <c r="W468" s="45" t="s">
        <v>4117</v>
      </c>
    </row>
    <row r="469" spans="1:23" hidden="1">
      <c r="A469" s="2">
        <v>45903</v>
      </c>
      <c r="B469" s="1" t="s">
        <v>4115</v>
      </c>
      <c r="C469" s="1" t="s">
        <v>2733</v>
      </c>
      <c r="D469" s="1" t="s">
        <v>2439</v>
      </c>
      <c r="E469" s="1">
        <v>85053</v>
      </c>
      <c r="F469" s="1" t="s">
        <v>2730</v>
      </c>
      <c r="G469" s="1" t="s">
        <v>3982</v>
      </c>
      <c r="H469" s="4" t="s">
        <v>2401</v>
      </c>
      <c r="V469" s="45">
        <f t="shared" si="7"/>
        <v>1</v>
      </c>
      <c r="W469" s="45" t="s">
        <v>4118</v>
      </c>
    </row>
    <row r="470" spans="1:23" hidden="1">
      <c r="A470" s="2">
        <v>45903</v>
      </c>
      <c r="B470" s="1" t="s">
        <v>4119</v>
      </c>
      <c r="C470" s="1" t="s">
        <v>4120</v>
      </c>
      <c r="D470" s="1" t="s">
        <v>2564</v>
      </c>
      <c r="E470" s="1">
        <v>85395</v>
      </c>
      <c r="F470" s="1" t="s">
        <v>2406</v>
      </c>
      <c r="G470" s="1" t="s">
        <v>3982</v>
      </c>
      <c r="H470" s="4" t="s">
        <v>982</v>
      </c>
      <c r="I470" s="5" t="s">
        <v>2652</v>
      </c>
      <c r="J470" s="5" t="s">
        <v>24</v>
      </c>
      <c r="K470" s="5" t="s">
        <v>24</v>
      </c>
      <c r="L470" s="5" t="s">
        <v>2819</v>
      </c>
      <c r="M470" s="5" t="s">
        <v>24</v>
      </c>
      <c r="N470" s="5" t="s">
        <v>24</v>
      </c>
      <c r="O470" s="5" t="s">
        <v>75</v>
      </c>
      <c r="P470" s="5" t="s">
        <v>2413</v>
      </c>
      <c r="Q470" s="2">
        <v>45967</v>
      </c>
      <c r="V470" s="45">
        <f t="shared" si="7"/>
        <v>1</v>
      </c>
      <c r="W470" s="45" t="s">
        <v>4121</v>
      </c>
    </row>
    <row r="471" spans="1:23" hidden="1">
      <c r="A471" s="2">
        <v>45903</v>
      </c>
      <c r="B471" s="1" t="s">
        <v>4122</v>
      </c>
      <c r="C471" s="1" t="s">
        <v>2609</v>
      </c>
      <c r="D471" s="1" t="s">
        <v>2987</v>
      </c>
      <c r="E471" s="1">
        <v>85123</v>
      </c>
      <c r="F471" s="1" t="s">
        <v>2406</v>
      </c>
      <c r="G471" s="1" t="s">
        <v>3982</v>
      </c>
      <c r="H471" s="4" t="s">
        <v>984</v>
      </c>
      <c r="I471" s="5" t="s">
        <v>2514</v>
      </c>
      <c r="J471" s="5" t="s">
        <v>24</v>
      </c>
      <c r="K471" s="5" t="s">
        <v>24</v>
      </c>
      <c r="L471" s="5" t="s">
        <v>75</v>
      </c>
      <c r="M471" s="5" t="s">
        <v>24</v>
      </c>
      <c r="N471" s="5" t="s">
        <v>24</v>
      </c>
      <c r="O471" s="5" t="s">
        <v>75</v>
      </c>
      <c r="P471" s="5" t="s">
        <v>2413</v>
      </c>
      <c r="Q471" s="2">
        <v>45967</v>
      </c>
      <c r="V471" s="45">
        <f t="shared" si="7"/>
        <v>1</v>
      </c>
      <c r="W471" s="45" t="s">
        <v>4123</v>
      </c>
    </row>
    <row r="472" spans="1:23" hidden="1">
      <c r="A472" s="2">
        <v>45903</v>
      </c>
      <c r="B472" s="1" t="s">
        <v>4124</v>
      </c>
      <c r="C472" s="1" t="s">
        <v>4125</v>
      </c>
      <c r="D472" s="1" t="s">
        <v>2605</v>
      </c>
      <c r="E472" s="1">
        <v>85383</v>
      </c>
      <c r="F472" s="1" t="s">
        <v>2730</v>
      </c>
      <c r="G472" s="1" t="s">
        <v>3982</v>
      </c>
      <c r="H472" s="4" t="s">
        <v>2401</v>
      </c>
      <c r="V472" s="45">
        <f t="shared" si="7"/>
        <v>1</v>
      </c>
      <c r="W472" s="45" t="s">
        <v>4126</v>
      </c>
    </row>
    <row r="473" spans="1:23" hidden="1">
      <c r="A473" s="2">
        <v>45903</v>
      </c>
      <c r="B473" s="1" t="s">
        <v>4127</v>
      </c>
      <c r="C473" s="1" t="s">
        <v>4128</v>
      </c>
      <c r="D473" s="1" t="s">
        <v>2605</v>
      </c>
      <c r="E473" s="1">
        <v>85383</v>
      </c>
      <c r="F473" s="1" t="s">
        <v>2730</v>
      </c>
      <c r="G473" s="1" t="s">
        <v>3982</v>
      </c>
      <c r="H473" s="4" t="s">
        <v>2401</v>
      </c>
      <c r="V473" s="45">
        <f t="shared" si="7"/>
        <v>1</v>
      </c>
      <c r="W473" s="45" t="s">
        <v>4129</v>
      </c>
    </row>
    <row r="474" spans="1:23" hidden="1">
      <c r="A474" s="2">
        <v>45903</v>
      </c>
      <c r="B474" s="1" t="s">
        <v>4130</v>
      </c>
      <c r="C474" s="1" t="s">
        <v>4131</v>
      </c>
      <c r="D474" s="1" t="s">
        <v>2439</v>
      </c>
      <c r="E474" s="1">
        <v>85085</v>
      </c>
      <c r="F474" s="1" t="s">
        <v>2406</v>
      </c>
      <c r="G474" s="1" t="s">
        <v>3982</v>
      </c>
      <c r="H474" s="4" t="s">
        <v>986</v>
      </c>
      <c r="I474" s="5" t="s">
        <v>2451</v>
      </c>
      <c r="J474" s="5" t="s">
        <v>24</v>
      </c>
      <c r="K474" s="5" t="s">
        <v>24</v>
      </c>
      <c r="L474" s="5" t="s">
        <v>75</v>
      </c>
      <c r="M474" s="5" t="s">
        <v>24</v>
      </c>
      <c r="N474" s="5" t="s">
        <v>24</v>
      </c>
      <c r="O474" s="5" t="s">
        <v>75</v>
      </c>
      <c r="P474" s="5" t="s">
        <v>2413</v>
      </c>
      <c r="Q474" s="2">
        <v>45967</v>
      </c>
      <c r="V474" s="45">
        <f t="shared" si="7"/>
        <v>1</v>
      </c>
      <c r="W474" s="45" t="s">
        <v>4132</v>
      </c>
    </row>
    <row r="475" spans="1:23" hidden="1">
      <c r="A475" s="2">
        <v>45903</v>
      </c>
      <c r="B475" s="1" t="s">
        <v>4133</v>
      </c>
      <c r="C475" s="1" t="s">
        <v>2417</v>
      </c>
      <c r="D475" s="1" t="s">
        <v>2650</v>
      </c>
      <c r="E475" s="1">
        <v>85340</v>
      </c>
      <c r="F475" s="1" t="s">
        <v>2406</v>
      </c>
      <c r="G475" s="1" t="s">
        <v>3982</v>
      </c>
      <c r="H475" s="4" t="s">
        <v>2401</v>
      </c>
      <c r="V475" s="45">
        <f t="shared" si="7"/>
        <v>1</v>
      </c>
      <c r="W475" s="45" t="s">
        <v>4134</v>
      </c>
    </row>
    <row r="476" spans="1:23" hidden="1">
      <c r="A476" s="2">
        <v>45903</v>
      </c>
      <c r="B476" s="1" t="s">
        <v>4135</v>
      </c>
      <c r="C476" s="1" t="s">
        <v>4136</v>
      </c>
      <c r="D476" s="1" t="s">
        <v>2564</v>
      </c>
      <c r="E476" s="1">
        <v>85338</v>
      </c>
      <c r="F476" s="1" t="s">
        <v>2406</v>
      </c>
      <c r="G476" s="1" t="s">
        <v>3982</v>
      </c>
      <c r="H476" s="4" t="s">
        <v>988</v>
      </c>
      <c r="I476" s="5" t="s">
        <v>2451</v>
      </c>
      <c r="J476" s="5" t="s">
        <v>24</v>
      </c>
      <c r="K476" s="5" t="s">
        <v>24</v>
      </c>
      <c r="L476" s="5" t="s">
        <v>75</v>
      </c>
      <c r="M476" s="5" t="s">
        <v>24</v>
      </c>
      <c r="N476" s="5" t="s">
        <v>24</v>
      </c>
      <c r="O476" s="5" t="s">
        <v>75</v>
      </c>
      <c r="P476" s="5" t="s">
        <v>2413</v>
      </c>
      <c r="Q476" s="2">
        <v>45967</v>
      </c>
      <c r="V476" s="45">
        <f t="shared" si="7"/>
        <v>1</v>
      </c>
      <c r="W476" s="45" t="s">
        <v>4137</v>
      </c>
    </row>
    <row r="477" spans="1:23" hidden="1">
      <c r="A477" s="2">
        <v>45903</v>
      </c>
      <c r="B477" s="1" t="s">
        <v>4138</v>
      </c>
      <c r="C477" s="1" t="s">
        <v>2538</v>
      </c>
      <c r="D477" s="1" t="s">
        <v>2564</v>
      </c>
      <c r="E477" s="1">
        <v>85338</v>
      </c>
      <c r="F477" s="1" t="s">
        <v>2406</v>
      </c>
      <c r="G477" s="1" t="s">
        <v>3982</v>
      </c>
      <c r="H477" s="4" t="s">
        <v>2401</v>
      </c>
      <c r="V477" s="45">
        <f t="shared" si="7"/>
        <v>1</v>
      </c>
      <c r="W477" s="45" t="s">
        <v>4139</v>
      </c>
    </row>
    <row r="478" spans="1:23" hidden="1">
      <c r="A478" s="2">
        <v>45903</v>
      </c>
      <c r="B478" s="1" t="s">
        <v>4140</v>
      </c>
      <c r="C478" s="1" t="s">
        <v>2784</v>
      </c>
      <c r="D478" s="1" t="s">
        <v>2439</v>
      </c>
      <c r="E478" s="1">
        <v>85085</v>
      </c>
      <c r="F478" s="1" t="s">
        <v>2730</v>
      </c>
      <c r="G478" s="1" t="s">
        <v>3982</v>
      </c>
      <c r="H478" s="4" t="s">
        <v>2613</v>
      </c>
      <c r="V478" s="45">
        <f t="shared" si="7"/>
        <v>1</v>
      </c>
      <c r="W478" s="45" t="s">
        <v>4141</v>
      </c>
    </row>
    <row r="479" spans="1:23" hidden="1">
      <c r="A479" s="2">
        <v>45903</v>
      </c>
      <c r="B479" s="1" t="s">
        <v>4142</v>
      </c>
      <c r="C479" s="1" t="s">
        <v>2524</v>
      </c>
      <c r="D479" s="1" t="s">
        <v>2564</v>
      </c>
      <c r="E479" s="1">
        <v>85338</v>
      </c>
      <c r="F479" s="1" t="s">
        <v>2406</v>
      </c>
      <c r="G479" s="1" t="s">
        <v>3982</v>
      </c>
      <c r="H479" s="4" t="s">
        <v>2231</v>
      </c>
      <c r="I479" s="5" t="s">
        <v>2420</v>
      </c>
      <c r="J479" s="5" t="s">
        <v>24</v>
      </c>
      <c r="K479" s="5" t="s">
        <v>24</v>
      </c>
      <c r="L479" s="5" t="s">
        <v>75</v>
      </c>
      <c r="M479" s="5" t="s">
        <v>24</v>
      </c>
      <c r="N479" s="5" t="s">
        <v>24</v>
      </c>
      <c r="O479" s="5" t="s">
        <v>75</v>
      </c>
      <c r="P479" s="5" t="s">
        <v>2413</v>
      </c>
      <c r="Q479" s="2">
        <v>45967</v>
      </c>
      <c r="V479" s="45">
        <f t="shared" si="7"/>
        <v>1</v>
      </c>
      <c r="W479" s="45" t="s">
        <v>4143</v>
      </c>
    </row>
    <row r="480" spans="1:23" hidden="1">
      <c r="A480" s="2">
        <v>45903</v>
      </c>
      <c r="B480" s="1" t="s">
        <v>4144</v>
      </c>
      <c r="C480" s="1" t="s">
        <v>4145</v>
      </c>
      <c r="D480" s="1" t="s">
        <v>2605</v>
      </c>
      <c r="E480" s="1">
        <v>85382</v>
      </c>
      <c r="F480" s="1" t="s">
        <v>2406</v>
      </c>
      <c r="G480" s="1" t="s">
        <v>3982</v>
      </c>
      <c r="H480" s="4" t="s">
        <v>2401</v>
      </c>
      <c r="V480" s="45">
        <f t="shared" si="7"/>
        <v>1</v>
      </c>
      <c r="W480" s="45" t="s">
        <v>4146</v>
      </c>
    </row>
    <row r="481" spans="1:23" hidden="1">
      <c r="A481" s="2">
        <v>45903</v>
      </c>
      <c r="B481" s="1" t="s">
        <v>4147</v>
      </c>
      <c r="C481" s="1" t="s">
        <v>4148</v>
      </c>
      <c r="D481" s="1" t="s">
        <v>2564</v>
      </c>
      <c r="E481" s="1">
        <v>85395</v>
      </c>
      <c r="F481" s="1" t="s">
        <v>2406</v>
      </c>
      <c r="G481" s="1" t="s">
        <v>3982</v>
      </c>
      <c r="H481" s="4" t="s">
        <v>990</v>
      </c>
      <c r="I481" s="5" t="s">
        <v>2659</v>
      </c>
      <c r="J481" s="5" t="s">
        <v>24</v>
      </c>
      <c r="K481" s="5" t="s">
        <v>24</v>
      </c>
      <c r="L481" s="5" t="s">
        <v>75</v>
      </c>
      <c r="M481" s="5" t="s">
        <v>24</v>
      </c>
      <c r="N481" s="5" t="s">
        <v>24</v>
      </c>
      <c r="O481" s="5" t="s">
        <v>75</v>
      </c>
      <c r="P481" s="5" t="s">
        <v>2413</v>
      </c>
      <c r="Q481" s="2">
        <v>45967</v>
      </c>
      <c r="V481" s="45">
        <f t="shared" si="7"/>
        <v>1</v>
      </c>
      <c r="W481" s="45" t="s">
        <v>4149</v>
      </c>
    </row>
    <row r="482" spans="1:23" hidden="1">
      <c r="A482" s="2">
        <v>45903</v>
      </c>
      <c r="B482" s="1" t="s">
        <v>4150</v>
      </c>
      <c r="C482" s="1" t="s">
        <v>4151</v>
      </c>
      <c r="D482" s="1" t="s">
        <v>2969</v>
      </c>
      <c r="E482" s="1">
        <v>85392</v>
      </c>
      <c r="F482" s="1" t="s">
        <v>2406</v>
      </c>
      <c r="G482" s="1" t="s">
        <v>3982</v>
      </c>
      <c r="H482" s="4" t="s">
        <v>143</v>
      </c>
      <c r="I482" s="5" t="s">
        <v>2514</v>
      </c>
      <c r="J482" s="5" t="s">
        <v>24</v>
      </c>
      <c r="K482" s="5" t="s">
        <v>24</v>
      </c>
      <c r="L482" s="7" t="s">
        <v>4152</v>
      </c>
      <c r="M482" s="5" t="s">
        <v>24</v>
      </c>
      <c r="N482" s="5" t="s">
        <v>24</v>
      </c>
      <c r="O482" s="5" t="s">
        <v>75</v>
      </c>
      <c r="P482" s="2">
        <v>45936</v>
      </c>
      <c r="Q482" s="2">
        <v>45967</v>
      </c>
      <c r="R482" s="1" t="s">
        <v>4096</v>
      </c>
      <c r="V482" s="45">
        <f t="shared" si="7"/>
        <v>1</v>
      </c>
      <c r="W482" s="45" t="s">
        <v>4153</v>
      </c>
    </row>
    <row r="483" spans="1:23" hidden="1">
      <c r="A483" s="2">
        <v>45903</v>
      </c>
      <c r="B483" s="1" t="s">
        <v>4154</v>
      </c>
      <c r="C483" s="1" t="s">
        <v>4155</v>
      </c>
      <c r="D483" s="1" t="s">
        <v>2605</v>
      </c>
      <c r="E483" s="1">
        <v>85383</v>
      </c>
      <c r="F483" s="1" t="s">
        <v>2730</v>
      </c>
      <c r="G483" s="1" t="s">
        <v>3982</v>
      </c>
      <c r="H483" s="4" t="s">
        <v>992</v>
      </c>
      <c r="I483" s="5" t="s">
        <v>2412</v>
      </c>
      <c r="J483" s="5" t="s">
        <v>24</v>
      </c>
      <c r="K483" s="5" t="s">
        <v>24</v>
      </c>
      <c r="L483" s="5" t="s">
        <v>75</v>
      </c>
      <c r="M483" s="5" t="s">
        <v>24</v>
      </c>
      <c r="N483" s="5" t="s">
        <v>24</v>
      </c>
      <c r="O483" s="5" t="s">
        <v>75</v>
      </c>
      <c r="P483" s="5" t="s">
        <v>2413</v>
      </c>
      <c r="Q483" s="2">
        <v>45967</v>
      </c>
      <c r="V483" s="45">
        <f t="shared" si="7"/>
        <v>1</v>
      </c>
      <c r="W483" s="45" t="s">
        <v>4156</v>
      </c>
    </row>
    <row r="484" spans="1:23" hidden="1">
      <c r="A484" s="2">
        <v>45903</v>
      </c>
      <c r="B484" s="1" t="s">
        <v>4157</v>
      </c>
      <c r="C484" s="1" t="s">
        <v>4158</v>
      </c>
      <c r="D484" s="1" t="s">
        <v>2605</v>
      </c>
      <c r="E484" s="1">
        <v>85383</v>
      </c>
      <c r="F484" s="1" t="s">
        <v>2730</v>
      </c>
      <c r="G484" s="1" t="s">
        <v>3982</v>
      </c>
      <c r="H484" s="4" t="s">
        <v>145</v>
      </c>
      <c r="I484" s="5" t="s">
        <v>2597</v>
      </c>
      <c r="J484" s="5" t="s">
        <v>24</v>
      </c>
      <c r="K484" s="5" t="s">
        <v>24</v>
      </c>
      <c r="L484" s="5" t="s">
        <v>4159</v>
      </c>
      <c r="M484" s="5" t="s">
        <v>24</v>
      </c>
      <c r="N484" s="5" t="s">
        <v>24</v>
      </c>
      <c r="O484" s="5" t="s">
        <v>75</v>
      </c>
      <c r="P484" s="5" t="s">
        <v>2413</v>
      </c>
      <c r="Q484" s="2">
        <v>45967</v>
      </c>
      <c r="V484" s="45">
        <f t="shared" si="7"/>
        <v>1</v>
      </c>
      <c r="W484" s="45" t="s">
        <v>4160</v>
      </c>
    </row>
    <row r="485" spans="1:23" hidden="1">
      <c r="A485" s="2">
        <v>45903</v>
      </c>
      <c r="B485" s="1" t="s">
        <v>4161</v>
      </c>
      <c r="C485" s="1" t="s">
        <v>4162</v>
      </c>
      <c r="D485" s="1" t="s">
        <v>2605</v>
      </c>
      <c r="E485" s="1">
        <v>85383</v>
      </c>
      <c r="F485" s="1" t="s">
        <v>2406</v>
      </c>
      <c r="G485" s="1" t="s">
        <v>3982</v>
      </c>
      <c r="H485" s="4" t="s">
        <v>994</v>
      </c>
      <c r="I485" s="5" t="s">
        <v>4163</v>
      </c>
      <c r="J485" s="5" t="s">
        <v>24</v>
      </c>
      <c r="K485" s="5" t="s">
        <v>24</v>
      </c>
      <c r="L485" s="5" t="s">
        <v>2819</v>
      </c>
      <c r="M485" s="5" t="s">
        <v>24</v>
      </c>
      <c r="N485" s="5" t="s">
        <v>24</v>
      </c>
      <c r="O485" s="5" t="s">
        <v>75</v>
      </c>
      <c r="P485" s="5" t="s">
        <v>2413</v>
      </c>
      <c r="Q485" s="2">
        <v>45967</v>
      </c>
      <c r="V485" s="45">
        <f t="shared" si="7"/>
        <v>1</v>
      </c>
      <c r="W485" s="45" t="s">
        <v>4164</v>
      </c>
    </row>
    <row r="486" spans="1:23" hidden="1">
      <c r="A486" s="2">
        <v>45903</v>
      </c>
      <c r="B486" s="1" t="s">
        <v>4165</v>
      </c>
      <c r="C486" s="1" t="s">
        <v>4166</v>
      </c>
      <c r="D486" s="1" t="s">
        <v>2564</v>
      </c>
      <c r="E486" s="1">
        <v>85338</v>
      </c>
      <c r="F486" s="1" t="s">
        <v>2406</v>
      </c>
      <c r="G486" s="1" t="s">
        <v>3982</v>
      </c>
      <c r="H486" s="4" t="s">
        <v>2401</v>
      </c>
      <c r="V486" s="45">
        <f t="shared" si="7"/>
        <v>1</v>
      </c>
      <c r="W486" s="45" t="s">
        <v>4167</v>
      </c>
    </row>
    <row r="487" spans="1:23" hidden="1">
      <c r="A487" s="2">
        <v>45903</v>
      </c>
      <c r="B487" s="1" t="s">
        <v>2648</v>
      </c>
      <c r="C487" s="1" t="s">
        <v>2667</v>
      </c>
      <c r="D487" s="1" t="s">
        <v>2650</v>
      </c>
      <c r="E487" s="1">
        <v>85340</v>
      </c>
      <c r="F487" s="1" t="s">
        <v>2406</v>
      </c>
      <c r="G487" s="1" t="s">
        <v>3982</v>
      </c>
      <c r="H487" s="4" t="s">
        <v>147</v>
      </c>
      <c r="I487" s="5" t="s">
        <v>2432</v>
      </c>
      <c r="J487" s="5" t="s">
        <v>24</v>
      </c>
      <c r="K487" s="5" t="s">
        <v>24</v>
      </c>
      <c r="L487" s="7" t="s">
        <v>4168</v>
      </c>
      <c r="M487" s="5" t="s">
        <v>24</v>
      </c>
      <c r="N487" s="5" t="s">
        <v>24</v>
      </c>
      <c r="O487" s="5" t="s">
        <v>75</v>
      </c>
      <c r="P487" s="2">
        <v>45936</v>
      </c>
      <c r="Q487" s="2">
        <v>45967</v>
      </c>
      <c r="R487" s="1" t="s">
        <v>4096</v>
      </c>
      <c r="V487" s="45">
        <f t="shared" si="7"/>
        <v>1</v>
      </c>
      <c r="W487" s="45" t="s">
        <v>4169</v>
      </c>
    </row>
    <row r="488" spans="1:23" hidden="1">
      <c r="A488" s="2">
        <v>45903</v>
      </c>
      <c r="B488" s="1" t="s">
        <v>4170</v>
      </c>
      <c r="C488" s="1" t="s">
        <v>3050</v>
      </c>
      <c r="D488" s="1" t="s">
        <v>3815</v>
      </c>
      <c r="E488" s="1">
        <v>85355</v>
      </c>
      <c r="F488" s="1" t="s">
        <v>2406</v>
      </c>
      <c r="G488" s="1" t="s">
        <v>3982</v>
      </c>
      <c r="H488" s="4" t="s">
        <v>2340</v>
      </c>
      <c r="I488" s="5" t="s">
        <v>2420</v>
      </c>
      <c r="J488" s="5" t="s">
        <v>24</v>
      </c>
      <c r="K488" s="5" t="s">
        <v>24</v>
      </c>
      <c r="L488" s="5" t="s">
        <v>75</v>
      </c>
      <c r="M488" s="5" t="s">
        <v>24</v>
      </c>
      <c r="N488" s="5" t="s">
        <v>24</v>
      </c>
      <c r="O488" s="5" t="s">
        <v>75</v>
      </c>
      <c r="P488" s="5" t="s">
        <v>2413</v>
      </c>
      <c r="Q488" s="2">
        <v>45967</v>
      </c>
      <c r="V488" s="45">
        <f t="shared" si="7"/>
        <v>1</v>
      </c>
      <c r="W488" s="45" t="s">
        <v>4171</v>
      </c>
    </row>
    <row r="489" spans="1:23" hidden="1">
      <c r="A489" s="2">
        <v>45903</v>
      </c>
      <c r="B489" s="1" t="s">
        <v>4172</v>
      </c>
      <c r="C489" s="1" t="s">
        <v>4173</v>
      </c>
      <c r="D489" s="1" t="s">
        <v>2605</v>
      </c>
      <c r="E489" s="1">
        <v>85383</v>
      </c>
      <c r="F489" s="1" t="s">
        <v>2406</v>
      </c>
      <c r="G489" s="1" t="s">
        <v>3982</v>
      </c>
      <c r="H489" s="4" t="s">
        <v>2613</v>
      </c>
      <c r="V489" s="45">
        <f t="shared" si="7"/>
        <v>1</v>
      </c>
      <c r="W489" s="45" t="s">
        <v>4174</v>
      </c>
    </row>
    <row r="490" spans="1:23" hidden="1">
      <c r="A490" s="2">
        <v>45903</v>
      </c>
      <c r="B490" s="1" t="s">
        <v>4175</v>
      </c>
      <c r="C490" s="1" t="s">
        <v>4176</v>
      </c>
      <c r="D490" s="1" t="s">
        <v>2439</v>
      </c>
      <c r="E490" s="1">
        <v>85024</v>
      </c>
      <c r="F490" s="1" t="s">
        <v>2406</v>
      </c>
      <c r="G490" s="1" t="s">
        <v>3982</v>
      </c>
      <c r="H490" s="4" t="s">
        <v>996</v>
      </c>
      <c r="I490" s="5" t="s">
        <v>3596</v>
      </c>
      <c r="J490" s="5" t="s">
        <v>24</v>
      </c>
      <c r="K490" s="5" t="s">
        <v>24</v>
      </c>
      <c r="L490" s="5" t="s">
        <v>75</v>
      </c>
      <c r="M490" s="5" t="s">
        <v>24</v>
      </c>
      <c r="N490" s="5" t="s">
        <v>24</v>
      </c>
      <c r="O490" s="5" t="s">
        <v>75</v>
      </c>
      <c r="P490" s="5" t="s">
        <v>2413</v>
      </c>
      <c r="Q490" s="2">
        <v>45967</v>
      </c>
      <c r="V490" s="45">
        <f t="shared" si="7"/>
        <v>1</v>
      </c>
      <c r="W490" s="45" t="s">
        <v>4177</v>
      </c>
    </row>
    <row r="491" spans="1:23" hidden="1">
      <c r="A491" s="2">
        <v>45903</v>
      </c>
      <c r="B491" s="1" t="s">
        <v>4178</v>
      </c>
      <c r="C491" s="1" t="s">
        <v>4179</v>
      </c>
      <c r="D491" s="1" t="s">
        <v>2439</v>
      </c>
      <c r="E491" s="1">
        <v>85085</v>
      </c>
      <c r="F491" s="1" t="s">
        <v>2730</v>
      </c>
      <c r="G491" s="1" t="s">
        <v>3982</v>
      </c>
      <c r="H491" s="4" t="s">
        <v>998</v>
      </c>
      <c r="I491" s="5" t="s">
        <v>2412</v>
      </c>
      <c r="J491" s="5" t="s">
        <v>24</v>
      </c>
      <c r="K491" s="5" t="s">
        <v>24</v>
      </c>
      <c r="L491" s="5" t="s">
        <v>75</v>
      </c>
      <c r="M491" s="5" t="s">
        <v>24</v>
      </c>
      <c r="N491" s="5" t="s">
        <v>24</v>
      </c>
      <c r="O491" s="5" t="s">
        <v>75</v>
      </c>
      <c r="P491" s="5" t="s">
        <v>2413</v>
      </c>
      <c r="Q491" s="2">
        <v>45967</v>
      </c>
      <c r="V491" s="45">
        <f t="shared" si="7"/>
        <v>1</v>
      </c>
      <c r="W491" s="45" t="s">
        <v>4180</v>
      </c>
    </row>
    <row r="492" spans="1:23" hidden="1">
      <c r="A492" s="2">
        <v>45903</v>
      </c>
      <c r="B492" s="1" t="s">
        <v>4181</v>
      </c>
      <c r="C492" s="1" t="s">
        <v>4182</v>
      </c>
      <c r="D492" s="1" t="s">
        <v>2439</v>
      </c>
      <c r="E492" s="1">
        <v>85003</v>
      </c>
      <c r="F492" s="1" t="s">
        <v>2730</v>
      </c>
      <c r="G492" s="1" t="s">
        <v>3982</v>
      </c>
      <c r="H492" s="4" t="s">
        <v>149</v>
      </c>
      <c r="I492" s="5" t="s">
        <v>2597</v>
      </c>
      <c r="J492" s="5" t="s">
        <v>24</v>
      </c>
      <c r="K492" s="5" t="s">
        <v>24</v>
      </c>
      <c r="L492" s="7" t="s">
        <v>4183</v>
      </c>
      <c r="M492" s="5" t="s">
        <v>24</v>
      </c>
      <c r="N492" s="5" t="s">
        <v>24</v>
      </c>
      <c r="O492" s="5" t="s">
        <v>75</v>
      </c>
      <c r="P492" s="2">
        <v>45936</v>
      </c>
      <c r="Q492" s="2">
        <v>45967</v>
      </c>
      <c r="R492" s="20" t="s">
        <v>4184</v>
      </c>
      <c r="V492" s="45">
        <f t="shared" si="7"/>
        <v>1</v>
      </c>
      <c r="W492" s="45" t="s">
        <v>4185</v>
      </c>
    </row>
    <row r="493" spans="1:23" hidden="1">
      <c r="A493" s="2">
        <v>45903</v>
      </c>
      <c r="B493" s="1" t="s">
        <v>4186</v>
      </c>
      <c r="C493" s="1" t="s">
        <v>2706</v>
      </c>
      <c r="D493" s="1" t="s">
        <v>2564</v>
      </c>
      <c r="E493" s="1">
        <v>85338</v>
      </c>
      <c r="F493" s="1" t="s">
        <v>4187</v>
      </c>
      <c r="G493" s="1" t="s">
        <v>3982</v>
      </c>
      <c r="H493" s="4" t="s">
        <v>151</v>
      </c>
      <c r="I493" s="5" t="s">
        <v>2597</v>
      </c>
      <c r="J493" s="5" t="s">
        <v>24</v>
      </c>
      <c r="K493" s="5" t="s">
        <v>24</v>
      </c>
      <c r="L493" s="7" t="s">
        <v>4188</v>
      </c>
      <c r="M493" s="5" t="s">
        <v>24</v>
      </c>
      <c r="N493" s="5" t="s">
        <v>24</v>
      </c>
      <c r="O493" s="5" t="s">
        <v>75</v>
      </c>
      <c r="P493" s="2">
        <v>45936</v>
      </c>
      <c r="Q493" s="2">
        <v>45967</v>
      </c>
      <c r="R493" s="20" t="s">
        <v>4096</v>
      </c>
      <c r="V493" s="45">
        <f t="shared" si="7"/>
        <v>1</v>
      </c>
      <c r="W493" s="45" t="s">
        <v>4189</v>
      </c>
    </row>
    <row r="494" spans="1:23" hidden="1">
      <c r="A494" s="2">
        <v>45903</v>
      </c>
      <c r="B494" s="1" t="s">
        <v>4190</v>
      </c>
      <c r="C494" s="1" t="s">
        <v>2454</v>
      </c>
      <c r="D494" s="1" t="s">
        <v>2439</v>
      </c>
      <c r="E494" s="1">
        <v>85013</v>
      </c>
      <c r="F494" s="1" t="s">
        <v>2730</v>
      </c>
      <c r="G494" s="1" t="s">
        <v>3982</v>
      </c>
      <c r="H494" s="4" t="s">
        <v>2401</v>
      </c>
      <c r="V494" s="45">
        <f t="shared" si="7"/>
        <v>1</v>
      </c>
      <c r="W494" s="45" t="s">
        <v>4191</v>
      </c>
    </row>
    <row r="495" spans="1:23" hidden="1">
      <c r="A495" s="2">
        <v>45903</v>
      </c>
      <c r="B495" s="1" t="s">
        <v>4192</v>
      </c>
      <c r="C495" s="1" t="s">
        <v>4193</v>
      </c>
      <c r="D495" s="1" t="s">
        <v>2439</v>
      </c>
      <c r="E495" s="1">
        <v>85014</v>
      </c>
      <c r="F495" s="1" t="s">
        <v>2730</v>
      </c>
      <c r="G495" s="1" t="s">
        <v>3982</v>
      </c>
      <c r="H495" s="4" t="s">
        <v>2401</v>
      </c>
      <c r="R495" s="20"/>
      <c r="V495" s="45">
        <f t="shared" si="7"/>
        <v>1</v>
      </c>
      <c r="W495" s="45" t="s">
        <v>4194</v>
      </c>
    </row>
    <row r="496" spans="1:23" hidden="1">
      <c r="A496" s="2">
        <v>45903</v>
      </c>
      <c r="B496" s="1" t="s">
        <v>4195</v>
      </c>
      <c r="C496" s="1" t="s">
        <v>4196</v>
      </c>
      <c r="D496" s="1" t="s">
        <v>2605</v>
      </c>
      <c r="E496" s="1">
        <v>85383</v>
      </c>
      <c r="F496" s="1" t="s">
        <v>2730</v>
      </c>
      <c r="G496" s="1" t="s">
        <v>3982</v>
      </c>
      <c r="H496" s="4" t="s">
        <v>153</v>
      </c>
      <c r="I496" s="5" t="s">
        <v>2597</v>
      </c>
      <c r="J496" s="5" t="s">
        <v>24</v>
      </c>
      <c r="K496" s="5" t="s">
        <v>24</v>
      </c>
      <c r="L496" s="7" t="s">
        <v>4197</v>
      </c>
      <c r="M496" s="5" t="s">
        <v>24</v>
      </c>
      <c r="N496" s="5" t="s">
        <v>24</v>
      </c>
      <c r="O496" s="5" t="s">
        <v>75</v>
      </c>
      <c r="P496" s="2">
        <v>45936</v>
      </c>
      <c r="Q496" s="2">
        <v>45967</v>
      </c>
      <c r="R496" s="1" t="s">
        <v>4096</v>
      </c>
      <c r="V496" s="45">
        <f t="shared" si="7"/>
        <v>1</v>
      </c>
      <c r="W496" s="45" t="s">
        <v>4198</v>
      </c>
    </row>
    <row r="497" spans="1:23" ht="11.25" hidden="1" customHeight="1">
      <c r="A497" s="2">
        <v>45903</v>
      </c>
      <c r="B497" s="1" t="s">
        <v>4199</v>
      </c>
      <c r="C497" s="1" t="s">
        <v>4200</v>
      </c>
      <c r="D497" s="1" t="s">
        <v>2605</v>
      </c>
      <c r="E497" s="1">
        <v>85383</v>
      </c>
      <c r="F497" s="1" t="s">
        <v>2730</v>
      </c>
      <c r="G497" s="1" t="s">
        <v>3982</v>
      </c>
      <c r="H497" s="4" t="s">
        <v>1000</v>
      </c>
      <c r="I497" s="5" t="s">
        <v>2451</v>
      </c>
      <c r="J497" s="5" t="s">
        <v>24</v>
      </c>
      <c r="K497" s="5" t="s">
        <v>24</v>
      </c>
      <c r="L497" s="5" t="s">
        <v>75</v>
      </c>
      <c r="M497" s="5" t="s">
        <v>24</v>
      </c>
      <c r="N497" s="5" t="s">
        <v>24</v>
      </c>
      <c r="O497" s="5" t="s">
        <v>75</v>
      </c>
      <c r="P497" s="5" t="s">
        <v>2413</v>
      </c>
      <c r="Q497" s="2">
        <v>45967</v>
      </c>
      <c r="V497" s="45">
        <f t="shared" si="7"/>
        <v>1</v>
      </c>
      <c r="W497" s="45" t="s">
        <v>4201</v>
      </c>
    </row>
    <row r="498" spans="1:23" hidden="1">
      <c r="A498" s="2">
        <v>45903</v>
      </c>
      <c r="B498" s="1" t="s">
        <v>4202</v>
      </c>
      <c r="C498" s="1" t="s">
        <v>3065</v>
      </c>
      <c r="D498" s="1" t="s">
        <v>2564</v>
      </c>
      <c r="E498" s="1">
        <v>85338</v>
      </c>
      <c r="F498" s="1" t="s">
        <v>2406</v>
      </c>
      <c r="G498" s="1" t="s">
        <v>3982</v>
      </c>
      <c r="H498" s="4" t="s">
        <v>155</v>
      </c>
      <c r="I498" s="5" t="s">
        <v>2597</v>
      </c>
      <c r="J498" s="5" t="s">
        <v>24</v>
      </c>
      <c r="K498" s="5" t="s">
        <v>24</v>
      </c>
      <c r="L498" s="7" t="s">
        <v>4203</v>
      </c>
      <c r="M498" s="5" t="s">
        <v>24</v>
      </c>
      <c r="N498" s="5" t="s">
        <v>24</v>
      </c>
      <c r="O498" s="5" t="s">
        <v>75</v>
      </c>
      <c r="P498" s="5" t="s">
        <v>2413</v>
      </c>
      <c r="Q498" s="2">
        <v>45967</v>
      </c>
      <c r="R498" s="1" t="s">
        <v>4204</v>
      </c>
      <c r="V498" s="45">
        <f t="shared" si="7"/>
        <v>1</v>
      </c>
      <c r="W498" s="45" t="s">
        <v>4205</v>
      </c>
    </row>
    <row r="499" spans="1:23" hidden="1">
      <c r="A499" s="2">
        <v>45903</v>
      </c>
      <c r="B499" s="1" t="s">
        <v>4206</v>
      </c>
      <c r="C499" s="1" t="s">
        <v>3022</v>
      </c>
      <c r="D499" s="1" t="s">
        <v>2439</v>
      </c>
      <c r="E499" s="1">
        <v>85024</v>
      </c>
      <c r="F499" s="1" t="s">
        <v>2730</v>
      </c>
      <c r="G499" s="1" t="s">
        <v>3982</v>
      </c>
      <c r="H499" s="21" t="s">
        <v>4207</v>
      </c>
      <c r="I499" s="5" t="s">
        <v>4208</v>
      </c>
      <c r="J499" s="5" t="s">
        <v>24</v>
      </c>
      <c r="K499" s="5" t="s">
        <v>24</v>
      </c>
      <c r="L499" s="5" t="s">
        <v>75</v>
      </c>
      <c r="M499" s="5" t="s">
        <v>24</v>
      </c>
      <c r="N499" s="5" t="s">
        <v>24</v>
      </c>
      <c r="O499" s="5" t="s">
        <v>75</v>
      </c>
      <c r="P499" s="5" t="s">
        <v>2413</v>
      </c>
      <c r="Q499" s="2">
        <v>45967</v>
      </c>
      <c r="V499" s="45">
        <f t="shared" si="7"/>
        <v>1</v>
      </c>
      <c r="W499" s="125" t="s">
        <v>4209</v>
      </c>
    </row>
    <row r="500" spans="1:23" hidden="1">
      <c r="A500" s="2">
        <v>45903</v>
      </c>
      <c r="B500" s="1" t="s">
        <v>4210</v>
      </c>
      <c r="C500" s="1" t="s">
        <v>4211</v>
      </c>
      <c r="D500" s="1" t="s">
        <v>2439</v>
      </c>
      <c r="E500" s="1">
        <v>85050</v>
      </c>
      <c r="F500" s="1" t="s">
        <v>2406</v>
      </c>
      <c r="G500" s="1" t="s">
        <v>3982</v>
      </c>
      <c r="H500" s="21" t="s">
        <v>4212</v>
      </c>
      <c r="I500" s="5" t="s">
        <v>2412</v>
      </c>
      <c r="J500" s="5" t="s">
        <v>24</v>
      </c>
      <c r="K500" s="5" t="s">
        <v>24</v>
      </c>
      <c r="L500" s="5" t="s">
        <v>75</v>
      </c>
      <c r="M500" s="5" t="s">
        <v>24</v>
      </c>
      <c r="N500" s="5" t="s">
        <v>24</v>
      </c>
      <c r="O500" s="5" t="s">
        <v>75</v>
      </c>
      <c r="P500" s="5" t="s">
        <v>2413</v>
      </c>
      <c r="Q500" s="2">
        <v>45966</v>
      </c>
      <c r="V500" s="45">
        <f t="shared" si="7"/>
        <v>1</v>
      </c>
      <c r="W500" s="45" t="s">
        <v>4213</v>
      </c>
    </row>
    <row r="501" spans="1:23" hidden="1">
      <c r="A501" s="2">
        <v>45903</v>
      </c>
      <c r="B501" s="1" t="s">
        <v>4214</v>
      </c>
      <c r="C501" s="1" t="s">
        <v>4215</v>
      </c>
      <c r="D501" s="1" t="s">
        <v>2564</v>
      </c>
      <c r="E501" s="1">
        <v>85338</v>
      </c>
      <c r="F501" s="1" t="s">
        <v>4216</v>
      </c>
      <c r="G501" s="1" t="s">
        <v>3982</v>
      </c>
      <c r="H501" s="21" t="s">
        <v>4217</v>
      </c>
      <c r="I501" s="5" t="s">
        <v>2412</v>
      </c>
      <c r="J501" s="5" t="s">
        <v>24</v>
      </c>
      <c r="K501" s="5" t="s">
        <v>24</v>
      </c>
      <c r="L501" s="5" t="s">
        <v>75</v>
      </c>
      <c r="M501" s="5" t="s">
        <v>24</v>
      </c>
      <c r="N501" s="5" t="s">
        <v>24</v>
      </c>
      <c r="O501" s="5" t="s">
        <v>75</v>
      </c>
      <c r="P501" s="5" t="s">
        <v>2413</v>
      </c>
      <c r="Q501" s="2">
        <v>45966</v>
      </c>
      <c r="V501" s="45">
        <f t="shared" si="7"/>
        <v>1</v>
      </c>
      <c r="W501" s="45" t="s">
        <v>4218</v>
      </c>
    </row>
    <row r="502" spans="1:23" hidden="1">
      <c r="A502" s="2">
        <v>45903</v>
      </c>
      <c r="B502" s="1" t="s">
        <v>4219</v>
      </c>
      <c r="C502" s="1" t="s">
        <v>4220</v>
      </c>
      <c r="D502" s="1" t="s">
        <v>2439</v>
      </c>
      <c r="E502" s="1">
        <v>85013</v>
      </c>
      <c r="F502" s="1" t="s">
        <v>4221</v>
      </c>
      <c r="G502" s="1" t="s">
        <v>3982</v>
      </c>
      <c r="H502" s="21" t="s">
        <v>4222</v>
      </c>
      <c r="I502" s="5" t="s">
        <v>2451</v>
      </c>
      <c r="J502" s="5" t="s">
        <v>24</v>
      </c>
      <c r="K502" s="5" t="s">
        <v>24</v>
      </c>
      <c r="L502" s="5" t="s">
        <v>75</v>
      </c>
      <c r="M502" s="5" t="s">
        <v>24</v>
      </c>
      <c r="N502" s="5" t="s">
        <v>24</v>
      </c>
      <c r="O502" s="5" t="s">
        <v>75</v>
      </c>
      <c r="P502" s="5" t="s">
        <v>2413</v>
      </c>
      <c r="Q502" s="2">
        <v>45966</v>
      </c>
      <c r="V502" s="45">
        <f t="shared" si="7"/>
        <v>1</v>
      </c>
      <c r="W502" s="45" t="s">
        <v>4223</v>
      </c>
    </row>
    <row r="503" spans="1:23" hidden="1">
      <c r="A503" s="2">
        <v>45903</v>
      </c>
      <c r="B503" s="1" t="s">
        <v>4224</v>
      </c>
      <c r="C503" s="1" t="s">
        <v>3078</v>
      </c>
      <c r="D503" s="1" t="s">
        <v>2605</v>
      </c>
      <c r="E503" s="1">
        <v>85381</v>
      </c>
      <c r="F503" s="1" t="s">
        <v>2730</v>
      </c>
      <c r="G503" s="1" t="s">
        <v>3982</v>
      </c>
      <c r="H503" s="21" t="s">
        <v>4225</v>
      </c>
      <c r="I503" s="5" t="s">
        <v>2412</v>
      </c>
      <c r="J503" s="5" t="s">
        <v>24</v>
      </c>
      <c r="K503" s="5" t="s">
        <v>24</v>
      </c>
      <c r="L503" s="5" t="s">
        <v>75</v>
      </c>
      <c r="M503" s="5" t="s">
        <v>24</v>
      </c>
      <c r="N503" s="5" t="s">
        <v>24</v>
      </c>
      <c r="O503" s="5" t="s">
        <v>75</v>
      </c>
      <c r="P503" s="5" t="s">
        <v>2413</v>
      </c>
      <c r="Q503" s="2">
        <v>45966</v>
      </c>
      <c r="V503" s="45">
        <f t="shared" si="7"/>
        <v>1</v>
      </c>
      <c r="W503" s="45" t="s">
        <v>4226</v>
      </c>
    </row>
    <row r="504" spans="1:23" hidden="1">
      <c r="A504" s="2">
        <v>45903</v>
      </c>
      <c r="B504" s="1" t="s">
        <v>4227</v>
      </c>
      <c r="C504" s="1" t="s">
        <v>4228</v>
      </c>
      <c r="D504" s="1" t="s">
        <v>4229</v>
      </c>
      <c r="E504" s="1">
        <v>86332</v>
      </c>
      <c r="F504" s="1" t="s">
        <v>2406</v>
      </c>
      <c r="G504" s="1" t="s">
        <v>3982</v>
      </c>
      <c r="H504" s="21" t="s">
        <v>4230</v>
      </c>
      <c r="I504" s="5" t="s">
        <v>2652</v>
      </c>
      <c r="J504" s="5" t="s">
        <v>24</v>
      </c>
      <c r="K504" s="5" t="s">
        <v>24</v>
      </c>
      <c r="L504" s="5" t="s">
        <v>2819</v>
      </c>
      <c r="M504" s="5" t="s">
        <v>24</v>
      </c>
      <c r="N504" s="5" t="s">
        <v>24</v>
      </c>
      <c r="O504" s="5" t="s">
        <v>75</v>
      </c>
      <c r="P504" s="5" t="s">
        <v>2413</v>
      </c>
      <c r="Q504" s="2">
        <v>45966</v>
      </c>
      <c r="V504" s="45">
        <f t="shared" si="7"/>
        <v>1</v>
      </c>
      <c r="W504" s="45" t="s">
        <v>4231</v>
      </c>
    </row>
    <row r="505" spans="1:23" hidden="1">
      <c r="A505" s="2">
        <v>45903</v>
      </c>
      <c r="B505" s="1" t="s">
        <v>4232</v>
      </c>
      <c r="C505" s="1" t="s">
        <v>4233</v>
      </c>
      <c r="D505" s="1" t="s">
        <v>2564</v>
      </c>
      <c r="E505" s="1">
        <v>85395</v>
      </c>
      <c r="F505" s="1" t="s">
        <v>2406</v>
      </c>
      <c r="G505" s="1" t="s">
        <v>3982</v>
      </c>
      <c r="H505" s="21" t="s">
        <v>4234</v>
      </c>
      <c r="I505" s="5" t="s">
        <v>2420</v>
      </c>
      <c r="J505" s="5" t="s">
        <v>24</v>
      </c>
      <c r="K505" s="5" t="s">
        <v>24</v>
      </c>
      <c r="L505" s="5" t="s">
        <v>75</v>
      </c>
      <c r="M505" s="5" t="s">
        <v>24</v>
      </c>
      <c r="N505" s="5" t="s">
        <v>24</v>
      </c>
      <c r="O505" s="5" t="s">
        <v>75</v>
      </c>
      <c r="P505" s="5" t="s">
        <v>2413</v>
      </c>
      <c r="Q505" s="2">
        <v>45966</v>
      </c>
      <c r="V505" s="45">
        <f t="shared" si="7"/>
        <v>1</v>
      </c>
      <c r="W505" s="45" t="s">
        <v>4235</v>
      </c>
    </row>
    <row r="506" spans="1:23" hidden="1">
      <c r="A506" s="2">
        <v>45903</v>
      </c>
      <c r="B506" s="1" t="s">
        <v>4236</v>
      </c>
      <c r="C506" s="1" t="s">
        <v>3236</v>
      </c>
      <c r="D506" s="1" t="s">
        <v>2969</v>
      </c>
      <c r="E506" s="1">
        <v>85392</v>
      </c>
      <c r="F506" s="1" t="s">
        <v>4237</v>
      </c>
      <c r="G506" s="1" t="s">
        <v>3982</v>
      </c>
      <c r="H506" s="4" t="s">
        <v>2401</v>
      </c>
      <c r="V506" s="45">
        <f t="shared" si="7"/>
        <v>1</v>
      </c>
      <c r="W506" s="45" t="s">
        <v>4238</v>
      </c>
    </row>
    <row r="507" spans="1:23" hidden="1">
      <c r="A507" s="2">
        <v>45903</v>
      </c>
      <c r="B507" s="1" t="s">
        <v>4239</v>
      </c>
      <c r="C507" s="1" t="s">
        <v>4240</v>
      </c>
      <c r="D507" s="1" t="s">
        <v>3090</v>
      </c>
      <c r="E507" s="1">
        <v>85281</v>
      </c>
      <c r="F507" s="1" t="s">
        <v>4241</v>
      </c>
      <c r="G507" s="1" t="s">
        <v>3982</v>
      </c>
      <c r="H507" s="4" t="s">
        <v>2401</v>
      </c>
      <c r="V507" s="45">
        <f t="shared" si="7"/>
        <v>1</v>
      </c>
      <c r="W507" s="45" t="s">
        <v>4242</v>
      </c>
    </row>
    <row r="508" spans="1:23" hidden="1">
      <c r="A508" s="2">
        <v>45903</v>
      </c>
      <c r="B508" s="1" t="s">
        <v>4243</v>
      </c>
      <c r="C508" s="1" t="s">
        <v>4244</v>
      </c>
      <c r="D508" s="1" t="s">
        <v>2564</v>
      </c>
      <c r="E508" s="1">
        <v>85395</v>
      </c>
      <c r="F508" s="1" t="s">
        <v>4245</v>
      </c>
      <c r="G508" s="1" t="s">
        <v>3982</v>
      </c>
      <c r="H508" s="21" t="s">
        <v>4246</v>
      </c>
      <c r="I508" s="5" t="s">
        <v>2597</v>
      </c>
      <c r="J508" s="5" t="s">
        <v>24</v>
      </c>
      <c r="K508" s="5" t="s">
        <v>24</v>
      </c>
      <c r="L508" s="7" t="s">
        <v>4247</v>
      </c>
      <c r="M508" s="5" t="s">
        <v>24</v>
      </c>
      <c r="N508" s="5" t="s">
        <v>24</v>
      </c>
      <c r="O508" s="5" t="s">
        <v>75</v>
      </c>
      <c r="P508" s="2">
        <v>45936</v>
      </c>
      <c r="Q508" s="2">
        <v>45966</v>
      </c>
      <c r="R508" s="1" t="s">
        <v>4096</v>
      </c>
      <c r="V508" s="45">
        <f t="shared" si="7"/>
        <v>1</v>
      </c>
      <c r="W508" s="45" t="s">
        <v>4248</v>
      </c>
    </row>
    <row r="509" spans="1:23" hidden="1">
      <c r="A509" s="2">
        <v>45903</v>
      </c>
      <c r="B509" s="1" t="s">
        <v>4249</v>
      </c>
      <c r="C509" s="1" t="s">
        <v>2729</v>
      </c>
      <c r="D509" s="1" t="s">
        <v>2518</v>
      </c>
      <c r="E509" s="1">
        <v>85234</v>
      </c>
      <c r="F509" s="1" t="s">
        <v>2730</v>
      </c>
      <c r="G509" s="1" t="s">
        <v>3982</v>
      </c>
      <c r="H509" s="21" t="s">
        <v>4250</v>
      </c>
      <c r="I509" s="5" t="s">
        <v>2597</v>
      </c>
      <c r="J509" s="5" t="s">
        <v>24</v>
      </c>
      <c r="K509" s="5" t="s">
        <v>24</v>
      </c>
      <c r="L509" s="7" t="s">
        <v>4251</v>
      </c>
      <c r="M509" s="5" t="s">
        <v>24</v>
      </c>
      <c r="N509" s="5" t="s">
        <v>24</v>
      </c>
      <c r="O509" s="5" t="s">
        <v>75</v>
      </c>
      <c r="P509" s="2">
        <v>45936</v>
      </c>
      <c r="Q509" s="2">
        <v>45966</v>
      </c>
      <c r="R509" s="1" t="s">
        <v>4096</v>
      </c>
      <c r="V509" s="45">
        <f t="shared" si="7"/>
        <v>1</v>
      </c>
      <c r="W509" s="45" t="s">
        <v>4252</v>
      </c>
    </row>
    <row r="510" spans="1:23" hidden="1">
      <c r="A510" s="2">
        <v>45903</v>
      </c>
      <c r="B510" s="1" t="s">
        <v>4253</v>
      </c>
      <c r="C510" s="1" t="s">
        <v>4254</v>
      </c>
      <c r="D510" s="1" t="s">
        <v>3303</v>
      </c>
      <c r="E510" s="1">
        <v>86304</v>
      </c>
      <c r="F510" s="1" t="s">
        <v>2406</v>
      </c>
      <c r="G510" s="1" t="s">
        <v>3982</v>
      </c>
      <c r="H510" s="21" t="s">
        <v>4255</v>
      </c>
      <c r="I510" s="5" t="s">
        <v>2451</v>
      </c>
      <c r="J510" s="5" t="s">
        <v>24</v>
      </c>
      <c r="K510" s="5" t="s">
        <v>24</v>
      </c>
      <c r="L510" s="5" t="s">
        <v>75</v>
      </c>
      <c r="M510" s="5" t="s">
        <v>24</v>
      </c>
      <c r="N510" s="5" t="s">
        <v>24</v>
      </c>
      <c r="O510" s="5" t="s">
        <v>75</v>
      </c>
      <c r="P510" s="5" t="s">
        <v>2413</v>
      </c>
      <c r="Q510" s="2">
        <v>45966</v>
      </c>
      <c r="V510" s="45">
        <f t="shared" si="7"/>
        <v>1</v>
      </c>
      <c r="W510" s="45" t="s">
        <v>4256</v>
      </c>
    </row>
    <row r="511" spans="1:23" hidden="1">
      <c r="A511" s="2">
        <v>45903</v>
      </c>
      <c r="B511" s="1" t="s">
        <v>4257</v>
      </c>
      <c r="C511" s="1" t="s">
        <v>4258</v>
      </c>
      <c r="D511" s="1" t="s">
        <v>2564</v>
      </c>
      <c r="E511" s="1">
        <v>85395</v>
      </c>
      <c r="F511" s="1" t="s">
        <v>2406</v>
      </c>
      <c r="G511" s="1" t="s">
        <v>3982</v>
      </c>
      <c r="H511" s="21" t="s">
        <v>4259</v>
      </c>
      <c r="I511" s="5" t="s">
        <v>2451</v>
      </c>
      <c r="J511" s="5" t="s">
        <v>24</v>
      </c>
      <c r="K511" s="5" t="s">
        <v>24</v>
      </c>
      <c r="L511" s="5" t="s">
        <v>75</v>
      </c>
      <c r="M511" s="5" t="s">
        <v>24</v>
      </c>
      <c r="N511" s="5" t="s">
        <v>24</v>
      </c>
      <c r="O511" s="5" t="s">
        <v>75</v>
      </c>
      <c r="P511" s="5" t="s">
        <v>2413</v>
      </c>
      <c r="Q511" s="2">
        <v>45966</v>
      </c>
      <c r="V511" s="45">
        <f t="shared" si="7"/>
        <v>1</v>
      </c>
      <c r="W511" s="45" t="s">
        <v>4260</v>
      </c>
    </row>
    <row r="512" spans="1:23" hidden="1">
      <c r="A512" s="2">
        <v>45903</v>
      </c>
      <c r="B512" s="1" t="s">
        <v>4261</v>
      </c>
      <c r="C512" s="1" t="s">
        <v>4136</v>
      </c>
      <c r="D512" s="1" t="s">
        <v>3118</v>
      </c>
      <c r="E512" s="1">
        <v>85350</v>
      </c>
      <c r="F512" s="1" t="s">
        <v>2406</v>
      </c>
      <c r="G512" s="1" t="s">
        <v>3982</v>
      </c>
      <c r="H512" s="21" t="s">
        <v>4262</v>
      </c>
      <c r="I512" s="5" t="s">
        <v>2420</v>
      </c>
      <c r="J512" s="5" t="s">
        <v>75</v>
      </c>
      <c r="K512" s="5" t="s">
        <v>24</v>
      </c>
      <c r="L512" s="5" t="s">
        <v>75</v>
      </c>
      <c r="M512" s="5" t="s">
        <v>24</v>
      </c>
      <c r="N512" s="5" t="s">
        <v>24</v>
      </c>
      <c r="O512" s="5" t="s">
        <v>75</v>
      </c>
      <c r="P512" s="5" t="s">
        <v>2413</v>
      </c>
      <c r="Q512" s="2">
        <v>45966</v>
      </c>
      <c r="V512" s="45">
        <f t="shared" si="7"/>
        <v>1</v>
      </c>
      <c r="W512" s="45" t="s">
        <v>4263</v>
      </c>
    </row>
    <row r="513" spans="1:23" hidden="1">
      <c r="A513" s="2">
        <v>45903</v>
      </c>
      <c r="B513" s="1" t="s">
        <v>4264</v>
      </c>
      <c r="C513" s="1" t="s">
        <v>4265</v>
      </c>
      <c r="D513" s="1" t="s">
        <v>2398</v>
      </c>
      <c r="E513" s="1">
        <v>85308</v>
      </c>
      <c r="F513" s="1" t="s">
        <v>2730</v>
      </c>
      <c r="G513" s="1" t="s">
        <v>3982</v>
      </c>
      <c r="H513" s="21" t="s">
        <v>4266</v>
      </c>
      <c r="I513" s="5" t="s">
        <v>2412</v>
      </c>
      <c r="J513" s="5" t="s">
        <v>24</v>
      </c>
      <c r="K513" s="5" t="s">
        <v>24</v>
      </c>
      <c r="L513" s="7" t="s">
        <v>4267</v>
      </c>
      <c r="M513" s="5" t="s">
        <v>24</v>
      </c>
      <c r="N513" s="5" t="s">
        <v>24</v>
      </c>
      <c r="O513" s="5" t="s">
        <v>75</v>
      </c>
      <c r="P513" s="17"/>
      <c r="Q513" s="2">
        <v>45966</v>
      </c>
      <c r="V513" s="45">
        <f t="shared" si="7"/>
        <v>1</v>
      </c>
      <c r="W513" s="45" t="s">
        <v>4268</v>
      </c>
    </row>
    <row r="514" spans="1:23" hidden="1">
      <c r="A514" s="2">
        <v>45903</v>
      </c>
      <c r="B514" s="1" t="s">
        <v>2796</v>
      </c>
      <c r="C514" s="1" t="s">
        <v>4269</v>
      </c>
      <c r="D514" s="1" t="s">
        <v>2564</v>
      </c>
      <c r="E514" s="1">
        <v>85395</v>
      </c>
      <c r="F514" s="1" t="s">
        <v>2406</v>
      </c>
      <c r="G514" s="1" t="s">
        <v>3982</v>
      </c>
      <c r="H514" s="21" t="s">
        <v>4270</v>
      </c>
      <c r="I514" s="5" t="s">
        <v>4271</v>
      </c>
      <c r="J514" s="5" t="s">
        <v>24</v>
      </c>
      <c r="K514" s="5" t="s">
        <v>24</v>
      </c>
      <c r="L514" s="5" t="s">
        <v>2819</v>
      </c>
      <c r="M514" s="5" t="s">
        <v>24</v>
      </c>
      <c r="N514" s="5" t="s">
        <v>24</v>
      </c>
      <c r="O514" s="5" t="s">
        <v>75</v>
      </c>
      <c r="P514" s="5" t="s">
        <v>2413</v>
      </c>
      <c r="Q514" s="2">
        <v>45966</v>
      </c>
      <c r="V514" s="45">
        <f t="shared" ref="V514:V577" si="8">IF(OR(ISNUMBER(SEARCH("unable to locate acct",G514)),ISNUMBER(SEARCH("unknown",G514)),ISNUMBER(SEARCH("inactive",G514)),H514=""),0,1)</f>
        <v>1</v>
      </c>
      <c r="W514" s="45" t="s">
        <v>4272</v>
      </c>
    </row>
    <row r="515" spans="1:23" hidden="1">
      <c r="A515" s="2">
        <v>45903</v>
      </c>
      <c r="B515" s="1" t="s">
        <v>4273</v>
      </c>
      <c r="C515" s="1" t="s">
        <v>4274</v>
      </c>
      <c r="D515" s="1" t="s">
        <v>2678</v>
      </c>
      <c r="E515" s="1">
        <v>85541</v>
      </c>
      <c r="F515" s="1" t="s">
        <v>2730</v>
      </c>
      <c r="G515" s="1" t="s">
        <v>3982</v>
      </c>
      <c r="H515" s="21" t="s">
        <v>4275</v>
      </c>
      <c r="I515" s="5" t="s">
        <v>2412</v>
      </c>
      <c r="J515" s="5" t="s">
        <v>24</v>
      </c>
      <c r="K515" s="5" t="s">
        <v>24</v>
      </c>
      <c r="L515" s="5" t="s">
        <v>75</v>
      </c>
      <c r="M515" s="5" t="s">
        <v>24</v>
      </c>
      <c r="N515" s="5" t="s">
        <v>24</v>
      </c>
      <c r="O515" s="5" t="s">
        <v>75</v>
      </c>
      <c r="P515" s="5" t="s">
        <v>2413</v>
      </c>
      <c r="Q515" s="2">
        <v>45966</v>
      </c>
      <c r="V515" s="45">
        <f t="shared" si="8"/>
        <v>1</v>
      </c>
      <c r="W515" s="45" t="s">
        <v>4276</v>
      </c>
    </row>
    <row r="516" spans="1:23" hidden="1">
      <c r="A516" s="2">
        <v>45903</v>
      </c>
      <c r="B516" s="1" t="s">
        <v>4277</v>
      </c>
      <c r="C516" s="1" t="s">
        <v>4278</v>
      </c>
      <c r="D516" s="1" t="s">
        <v>2564</v>
      </c>
      <c r="E516" s="1">
        <v>85395</v>
      </c>
      <c r="F516" s="1" t="s">
        <v>3825</v>
      </c>
      <c r="G516" s="1" t="s">
        <v>3982</v>
      </c>
      <c r="H516" s="4" t="s">
        <v>1002</v>
      </c>
      <c r="I516" s="5" t="s">
        <v>2652</v>
      </c>
      <c r="J516" s="5" t="s">
        <v>24</v>
      </c>
      <c r="K516" s="5" t="s">
        <v>24</v>
      </c>
      <c r="L516" s="5" t="s">
        <v>2819</v>
      </c>
      <c r="M516" s="5" t="s">
        <v>24</v>
      </c>
      <c r="N516" s="5" t="s">
        <v>24</v>
      </c>
      <c r="O516" s="5" t="s">
        <v>75</v>
      </c>
      <c r="P516" s="5" t="s">
        <v>2413</v>
      </c>
      <c r="Q516" s="2">
        <v>45966</v>
      </c>
      <c r="V516" s="45">
        <f t="shared" si="8"/>
        <v>1</v>
      </c>
      <c r="W516" s="45" t="s">
        <v>4279</v>
      </c>
    </row>
    <row r="517" spans="1:23" hidden="1">
      <c r="A517" s="2">
        <v>45903</v>
      </c>
      <c r="B517" s="1" t="s">
        <v>4280</v>
      </c>
      <c r="C517" s="1" t="s">
        <v>4281</v>
      </c>
      <c r="D517" s="1" t="s">
        <v>2969</v>
      </c>
      <c r="E517" s="1">
        <v>85392</v>
      </c>
      <c r="F517" s="1" t="s">
        <v>2406</v>
      </c>
      <c r="G517" s="1" t="s">
        <v>3982</v>
      </c>
      <c r="H517" s="4" t="s">
        <v>1004</v>
      </c>
      <c r="I517" s="5" t="s">
        <v>2420</v>
      </c>
      <c r="J517" s="5" t="s">
        <v>24</v>
      </c>
      <c r="K517" s="5" t="s">
        <v>24</v>
      </c>
      <c r="L517" s="5" t="s">
        <v>4282</v>
      </c>
      <c r="M517" s="5" t="s">
        <v>24</v>
      </c>
      <c r="N517" s="5" t="s">
        <v>24</v>
      </c>
      <c r="O517" s="5" t="s">
        <v>75</v>
      </c>
      <c r="P517" s="5" t="s">
        <v>2413</v>
      </c>
      <c r="Q517" s="2">
        <v>45966</v>
      </c>
      <c r="V517" s="45">
        <f t="shared" si="8"/>
        <v>1</v>
      </c>
      <c r="W517" s="45" t="s">
        <v>4283</v>
      </c>
    </row>
    <row r="518" spans="1:23" hidden="1">
      <c r="A518" s="2">
        <v>45903</v>
      </c>
      <c r="B518" s="1" t="s">
        <v>4284</v>
      </c>
      <c r="C518" s="1" t="s">
        <v>4285</v>
      </c>
      <c r="D518" s="1" t="s">
        <v>2439</v>
      </c>
      <c r="E518" s="1">
        <v>85032</v>
      </c>
      <c r="F518" s="1" t="s">
        <v>2730</v>
      </c>
      <c r="G518" s="1" t="s">
        <v>3982</v>
      </c>
      <c r="H518" s="4" t="s">
        <v>1006</v>
      </c>
      <c r="I518" s="5" t="s">
        <v>2659</v>
      </c>
      <c r="J518" s="5" t="s">
        <v>24</v>
      </c>
      <c r="K518" s="5" t="s">
        <v>24</v>
      </c>
      <c r="L518" s="5" t="s">
        <v>4282</v>
      </c>
      <c r="M518" s="5" t="s">
        <v>24</v>
      </c>
      <c r="N518" s="5" t="s">
        <v>24</v>
      </c>
      <c r="O518" s="5" t="s">
        <v>75</v>
      </c>
      <c r="P518" s="5" t="s">
        <v>2413</v>
      </c>
      <c r="Q518" s="2">
        <v>45966</v>
      </c>
      <c r="V518" s="45">
        <f t="shared" si="8"/>
        <v>1</v>
      </c>
      <c r="W518" s="45" t="s">
        <v>4286</v>
      </c>
    </row>
    <row r="519" spans="1:23" hidden="1">
      <c r="A519" s="2">
        <v>45903</v>
      </c>
      <c r="B519" s="1" t="s">
        <v>4287</v>
      </c>
      <c r="C519" s="1" t="s">
        <v>4288</v>
      </c>
      <c r="D519" s="1" t="s">
        <v>2605</v>
      </c>
      <c r="E519" s="1">
        <v>85383</v>
      </c>
      <c r="F519" s="1" t="s">
        <v>2406</v>
      </c>
      <c r="G519" s="1" t="s">
        <v>3982</v>
      </c>
      <c r="H519" s="4" t="s">
        <v>2401</v>
      </c>
      <c r="V519" s="45">
        <f t="shared" si="8"/>
        <v>1</v>
      </c>
      <c r="W519" s="45" t="s">
        <v>4289</v>
      </c>
    </row>
    <row r="520" spans="1:23" hidden="1">
      <c r="A520" s="2">
        <v>45903</v>
      </c>
      <c r="B520" s="1" t="s">
        <v>4290</v>
      </c>
      <c r="C520" s="1" t="s">
        <v>2760</v>
      </c>
      <c r="D520" s="1" t="s">
        <v>2498</v>
      </c>
      <c r="E520" s="1">
        <v>85379</v>
      </c>
      <c r="F520" s="1" t="s">
        <v>2730</v>
      </c>
      <c r="G520" s="1" t="s">
        <v>4291</v>
      </c>
      <c r="H520" s="21" t="s">
        <v>4292</v>
      </c>
      <c r="I520" s="5" t="s">
        <v>2514</v>
      </c>
      <c r="J520" s="5" t="s">
        <v>24</v>
      </c>
      <c r="K520" s="5" t="s">
        <v>24</v>
      </c>
      <c r="L520" s="5" t="s">
        <v>75</v>
      </c>
      <c r="M520" s="5" t="s">
        <v>24</v>
      </c>
      <c r="N520" s="5" t="s">
        <v>24</v>
      </c>
      <c r="O520" s="5" t="s">
        <v>75</v>
      </c>
      <c r="P520" s="5" t="s">
        <v>2413</v>
      </c>
      <c r="Q520" s="2">
        <v>45966</v>
      </c>
      <c r="V520" s="45">
        <f t="shared" si="8"/>
        <v>1</v>
      </c>
      <c r="W520" s="45" t="s">
        <v>4293</v>
      </c>
    </row>
    <row r="521" spans="1:23" hidden="1">
      <c r="A521" s="2">
        <v>45903</v>
      </c>
      <c r="B521" s="1" t="s">
        <v>4294</v>
      </c>
      <c r="C521" s="1" t="s">
        <v>4295</v>
      </c>
      <c r="D521" s="1" t="s">
        <v>2969</v>
      </c>
      <c r="E521" s="1">
        <v>85392</v>
      </c>
      <c r="F521" s="1" t="s">
        <v>2406</v>
      </c>
      <c r="G521" s="1" t="s">
        <v>4291</v>
      </c>
      <c r="H521" s="21" t="s">
        <v>4296</v>
      </c>
      <c r="I521" s="5" t="s">
        <v>2412</v>
      </c>
      <c r="J521" s="5" t="s">
        <v>24</v>
      </c>
      <c r="K521" s="5" t="s">
        <v>24</v>
      </c>
      <c r="L521" s="5" t="s">
        <v>75</v>
      </c>
      <c r="M521" s="5" t="s">
        <v>24</v>
      </c>
      <c r="N521" s="5" t="s">
        <v>24</v>
      </c>
      <c r="O521" s="5" t="s">
        <v>75</v>
      </c>
      <c r="P521" s="5" t="s">
        <v>2413</v>
      </c>
      <c r="Q521" s="2">
        <v>45966</v>
      </c>
      <c r="V521" s="45">
        <f t="shared" si="8"/>
        <v>1</v>
      </c>
      <c r="W521" s="45" t="s">
        <v>4297</v>
      </c>
    </row>
    <row r="522" spans="1:23" hidden="1">
      <c r="A522" s="2">
        <v>45903</v>
      </c>
      <c r="B522" s="1" t="s">
        <v>3057</v>
      </c>
      <c r="C522" s="1" t="s">
        <v>2851</v>
      </c>
      <c r="D522" s="1" t="s">
        <v>2398</v>
      </c>
      <c r="E522" s="1">
        <v>85308</v>
      </c>
      <c r="F522" s="1" t="s">
        <v>2730</v>
      </c>
      <c r="G522" s="1" t="s">
        <v>4291</v>
      </c>
      <c r="H522" s="21" t="s">
        <v>612</v>
      </c>
      <c r="I522" s="5" t="s">
        <v>2451</v>
      </c>
      <c r="J522" s="5" t="s">
        <v>24</v>
      </c>
      <c r="K522" s="5" t="s">
        <v>24</v>
      </c>
      <c r="L522" s="5" t="s">
        <v>75</v>
      </c>
      <c r="M522" s="5" t="s">
        <v>24</v>
      </c>
      <c r="N522" s="5" t="s">
        <v>24</v>
      </c>
      <c r="O522" s="5" t="s">
        <v>75</v>
      </c>
      <c r="P522" s="5" t="s">
        <v>2413</v>
      </c>
      <c r="Q522" s="2">
        <v>45966</v>
      </c>
      <c r="V522" s="45">
        <f t="shared" si="8"/>
        <v>1</v>
      </c>
      <c r="W522" s="45" t="s">
        <v>4298</v>
      </c>
    </row>
    <row r="523" spans="1:23" hidden="1">
      <c r="A523" s="2">
        <v>45903</v>
      </c>
      <c r="B523" s="1" t="s">
        <v>4299</v>
      </c>
      <c r="C523" s="1" t="s">
        <v>4300</v>
      </c>
      <c r="D523" s="1" t="s">
        <v>2439</v>
      </c>
      <c r="E523" s="1">
        <v>85345</v>
      </c>
      <c r="F523" s="1" t="s">
        <v>2406</v>
      </c>
      <c r="G523" s="1" t="s">
        <v>4291</v>
      </c>
      <c r="H523" s="21" t="s">
        <v>4301</v>
      </c>
      <c r="I523" s="5" t="s">
        <v>2451</v>
      </c>
      <c r="J523" s="5" t="s">
        <v>24</v>
      </c>
      <c r="K523" s="5" t="s">
        <v>24</v>
      </c>
      <c r="L523" s="5" t="s">
        <v>4302</v>
      </c>
      <c r="M523" s="5" t="s">
        <v>24</v>
      </c>
      <c r="N523" s="5" t="s">
        <v>24</v>
      </c>
      <c r="O523" s="5" t="s">
        <v>75</v>
      </c>
      <c r="P523" s="5" t="s">
        <v>2413</v>
      </c>
      <c r="Q523" s="2">
        <v>45966</v>
      </c>
      <c r="V523" s="45">
        <f t="shared" si="8"/>
        <v>1</v>
      </c>
      <c r="W523" s="45" t="s">
        <v>4303</v>
      </c>
    </row>
    <row r="524" spans="1:23" hidden="1">
      <c r="A524" s="2">
        <v>45903</v>
      </c>
      <c r="B524" s="1" t="s">
        <v>4304</v>
      </c>
      <c r="C524" s="1" t="s">
        <v>20</v>
      </c>
      <c r="D524" s="1" t="s">
        <v>2564</v>
      </c>
      <c r="E524" s="1">
        <v>85338</v>
      </c>
      <c r="F524" s="1" t="s">
        <v>4305</v>
      </c>
      <c r="G524" s="1" t="s">
        <v>4291</v>
      </c>
      <c r="H524" s="21" t="s">
        <v>4306</v>
      </c>
      <c r="I524" s="5" t="s">
        <v>2412</v>
      </c>
      <c r="J524" s="5" t="s">
        <v>24</v>
      </c>
      <c r="K524" s="5" t="s">
        <v>24</v>
      </c>
      <c r="L524" s="5" t="s">
        <v>75</v>
      </c>
      <c r="M524" s="5" t="s">
        <v>24</v>
      </c>
      <c r="N524" s="5" t="s">
        <v>24</v>
      </c>
      <c r="O524" s="5" t="s">
        <v>75</v>
      </c>
      <c r="P524" s="5" t="s">
        <v>2413</v>
      </c>
      <c r="Q524" s="2">
        <v>45966</v>
      </c>
      <c r="V524" s="45">
        <f t="shared" si="8"/>
        <v>1</v>
      </c>
      <c r="W524" s="45" t="s">
        <v>4307</v>
      </c>
    </row>
    <row r="525" spans="1:23" hidden="1">
      <c r="A525" s="2">
        <v>45903</v>
      </c>
      <c r="B525" s="1" t="s">
        <v>3722</v>
      </c>
      <c r="C525" s="1" t="s">
        <v>4308</v>
      </c>
      <c r="D525" s="1" t="s">
        <v>3383</v>
      </c>
      <c r="E525" s="1">
        <v>85086</v>
      </c>
      <c r="F525" s="1" t="s">
        <v>2406</v>
      </c>
      <c r="G525" s="1" t="s">
        <v>4291</v>
      </c>
      <c r="H525" s="4" t="s">
        <v>2401</v>
      </c>
      <c r="V525" s="45">
        <f t="shared" si="8"/>
        <v>1</v>
      </c>
      <c r="W525" s="45" t="s">
        <v>4309</v>
      </c>
    </row>
    <row r="526" spans="1:23" hidden="1">
      <c r="A526" s="2">
        <v>45903</v>
      </c>
      <c r="B526" s="1" t="s">
        <v>4310</v>
      </c>
      <c r="C526" s="1" t="s">
        <v>4179</v>
      </c>
      <c r="D526" s="1" t="s">
        <v>2513</v>
      </c>
      <c r="E526" s="1">
        <v>85254</v>
      </c>
      <c r="F526" s="1" t="s">
        <v>4311</v>
      </c>
      <c r="G526" s="1" t="s">
        <v>4291</v>
      </c>
      <c r="H526" s="21" t="s">
        <v>4312</v>
      </c>
      <c r="I526" s="5" t="s">
        <v>2420</v>
      </c>
      <c r="J526" s="5" t="s">
        <v>24</v>
      </c>
      <c r="K526" s="5" t="s">
        <v>24</v>
      </c>
      <c r="L526" s="5" t="s">
        <v>75</v>
      </c>
      <c r="M526" s="5" t="s">
        <v>24</v>
      </c>
      <c r="N526" s="5" t="s">
        <v>24</v>
      </c>
      <c r="O526" s="5" t="s">
        <v>75</v>
      </c>
      <c r="P526" s="5" t="s">
        <v>2413</v>
      </c>
      <c r="Q526" s="2">
        <v>45966</v>
      </c>
      <c r="V526" s="45">
        <f t="shared" si="8"/>
        <v>1</v>
      </c>
      <c r="W526" s="45" t="s">
        <v>4313</v>
      </c>
    </row>
    <row r="527" spans="1:23" hidden="1">
      <c r="A527" s="2">
        <v>45903</v>
      </c>
      <c r="B527" s="1" t="s">
        <v>4314</v>
      </c>
      <c r="C527" s="1" t="s">
        <v>3712</v>
      </c>
      <c r="D527" s="1" t="s">
        <v>3303</v>
      </c>
      <c r="E527" s="1">
        <v>86305</v>
      </c>
      <c r="F527" s="1" t="s">
        <v>2406</v>
      </c>
      <c r="G527" s="1" t="s">
        <v>4291</v>
      </c>
      <c r="H527" s="21" t="s">
        <v>4315</v>
      </c>
      <c r="I527" s="5" t="s">
        <v>2597</v>
      </c>
      <c r="J527" s="5" t="s">
        <v>24</v>
      </c>
      <c r="K527" s="5" t="s">
        <v>24</v>
      </c>
      <c r="L527" s="5" t="s">
        <v>4316</v>
      </c>
      <c r="M527" s="5" t="s">
        <v>24</v>
      </c>
      <c r="N527" s="5" t="s">
        <v>24</v>
      </c>
      <c r="O527" s="5" t="s">
        <v>75</v>
      </c>
      <c r="P527" s="5" t="s">
        <v>2413</v>
      </c>
      <c r="Q527" s="2">
        <v>45966</v>
      </c>
      <c r="V527" s="45">
        <f t="shared" si="8"/>
        <v>1</v>
      </c>
      <c r="W527" s="45" t="s">
        <v>4317</v>
      </c>
    </row>
    <row r="528" spans="1:23" hidden="1">
      <c r="A528" s="2">
        <v>45903</v>
      </c>
      <c r="B528" s="1" t="s">
        <v>3627</v>
      </c>
      <c r="C528" s="1" t="s">
        <v>3078</v>
      </c>
      <c r="D528" s="1" t="s">
        <v>2605</v>
      </c>
      <c r="E528" s="1">
        <v>85345</v>
      </c>
      <c r="F528" s="1" t="s">
        <v>2730</v>
      </c>
      <c r="G528" s="1" t="s">
        <v>4291</v>
      </c>
      <c r="H528" s="4" t="s">
        <v>2401</v>
      </c>
      <c r="V528" s="45">
        <f t="shared" si="8"/>
        <v>1</v>
      </c>
      <c r="W528" s="45" t="s">
        <v>4318</v>
      </c>
    </row>
    <row r="529" spans="1:23" hidden="1">
      <c r="A529" s="2">
        <v>45903</v>
      </c>
      <c r="B529" s="1" t="s">
        <v>4319</v>
      </c>
      <c r="C529" s="1" t="s">
        <v>4320</v>
      </c>
      <c r="D529" s="1" t="s">
        <v>4321</v>
      </c>
      <c r="E529" s="1">
        <v>85131</v>
      </c>
      <c r="F529" s="1" t="s">
        <v>2406</v>
      </c>
      <c r="G529" s="1" t="s">
        <v>4291</v>
      </c>
      <c r="H529" s="4" t="s">
        <v>2401</v>
      </c>
      <c r="V529" s="45">
        <f t="shared" si="8"/>
        <v>1</v>
      </c>
      <c r="W529" s="45" t="s">
        <v>4322</v>
      </c>
    </row>
    <row r="530" spans="1:23" hidden="1">
      <c r="A530" s="2">
        <v>45903</v>
      </c>
      <c r="B530" s="1" t="s">
        <v>4323</v>
      </c>
      <c r="C530" s="1" t="s">
        <v>4324</v>
      </c>
      <c r="D530" s="1" t="s">
        <v>3303</v>
      </c>
      <c r="E530" s="1">
        <v>86303</v>
      </c>
      <c r="F530" s="1" t="s">
        <v>2730</v>
      </c>
      <c r="G530" s="1" t="s">
        <v>4291</v>
      </c>
      <c r="H530" s="21" t="s">
        <v>4325</v>
      </c>
      <c r="I530" s="5" t="s">
        <v>2451</v>
      </c>
      <c r="J530" s="5" t="s">
        <v>24</v>
      </c>
      <c r="K530" s="5" t="s">
        <v>24</v>
      </c>
      <c r="L530" s="5" t="s">
        <v>75</v>
      </c>
      <c r="M530" s="5" t="s">
        <v>24</v>
      </c>
      <c r="N530" s="5" t="s">
        <v>24</v>
      </c>
      <c r="O530" s="5" t="s">
        <v>75</v>
      </c>
      <c r="P530" s="5" t="s">
        <v>2413</v>
      </c>
      <c r="Q530" s="2">
        <v>45966</v>
      </c>
      <c r="V530" s="45">
        <f t="shared" si="8"/>
        <v>1</v>
      </c>
      <c r="W530" s="45" t="s">
        <v>4326</v>
      </c>
    </row>
    <row r="531" spans="1:23" hidden="1">
      <c r="A531" s="2">
        <v>45903</v>
      </c>
      <c r="B531" s="1" t="s">
        <v>4327</v>
      </c>
      <c r="C531" s="1" t="s">
        <v>20</v>
      </c>
      <c r="D531" s="1" t="s">
        <v>2439</v>
      </c>
      <c r="E531" s="1">
        <v>85020</v>
      </c>
      <c r="F531" s="1" t="s">
        <v>2406</v>
      </c>
      <c r="G531" s="1" t="s">
        <v>4291</v>
      </c>
      <c r="H531" s="21" t="s">
        <v>157</v>
      </c>
      <c r="I531" s="5" t="s">
        <v>2597</v>
      </c>
      <c r="J531" s="5" t="s">
        <v>24</v>
      </c>
      <c r="K531" s="5" t="s">
        <v>24</v>
      </c>
      <c r="L531" s="7" t="s">
        <v>4328</v>
      </c>
      <c r="M531" s="5" t="s">
        <v>24</v>
      </c>
      <c r="N531" s="5" t="s">
        <v>24</v>
      </c>
      <c r="O531" s="5" t="s">
        <v>75</v>
      </c>
      <c r="P531" s="2">
        <v>45940</v>
      </c>
      <c r="Q531" s="2">
        <v>45966</v>
      </c>
      <c r="R531" s="1" t="s">
        <v>4329</v>
      </c>
      <c r="V531" s="45">
        <f t="shared" si="8"/>
        <v>1</v>
      </c>
      <c r="W531" s="45" t="s">
        <v>4330</v>
      </c>
    </row>
    <row r="532" spans="1:23" hidden="1">
      <c r="A532" s="2">
        <v>45903</v>
      </c>
      <c r="B532" s="1" t="s">
        <v>4331</v>
      </c>
      <c r="C532" s="1" t="s">
        <v>4332</v>
      </c>
      <c r="D532" s="1" t="s">
        <v>2439</v>
      </c>
      <c r="E532" s="1">
        <v>85029</v>
      </c>
      <c r="F532" s="1" t="s">
        <v>4333</v>
      </c>
      <c r="G532" s="1" t="s">
        <v>4291</v>
      </c>
      <c r="H532" s="21" t="s">
        <v>4334</v>
      </c>
      <c r="I532" s="5" t="s">
        <v>2848</v>
      </c>
      <c r="J532" s="5" t="s">
        <v>24</v>
      </c>
      <c r="K532" s="5" t="s">
        <v>24</v>
      </c>
      <c r="L532" s="5" t="s">
        <v>2819</v>
      </c>
      <c r="M532" s="5" t="s">
        <v>24</v>
      </c>
      <c r="N532" s="5" t="s">
        <v>24</v>
      </c>
      <c r="O532" s="5" t="s">
        <v>75</v>
      </c>
      <c r="P532" s="5" t="s">
        <v>2413</v>
      </c>
      <c r="Q532" s="2">
        <v>45966</v>
      </c>
      <c r="V532" s="45">
        <f t="shared" si="8"/>
        <v>1</v>
      </c>
      <c r="W532" s="45" t="s">
        <v>4335</v>
      </c>
    </row>
    <row r="533" spans="1:23" hidden="1">
      <c r="A533" s="2">
        <v>45903</v>
      </c>
      <c r="B533" s="1" t="s">
        <v>4336</v>
      </c>
      <c r="C533" s="1" t="s">
        <v>3859</v>
      </c>
      <c r="D533" s="1" t="s">
        <v>2439</v>
      </c>
      <c r="E533" s="1">
        <v>85020</v>
      </c>
      <c r="F533" s="1" t="s">
        <v>2406</v>
      </c>
      <c r="G533" s="1" t="s">
        <v>4291</v>
      </c>
      <c r="H533" s="4" t="s">
        <v>2471</v>
      </c>
      <c r="V533" s="45">
        <f t="shared" si="8"/>
        <v>1</v>
      </c>
      <c r="W533" s="45" t="s">
        <v>4337</v>
      </c>
    </row>
    <row r="534" spans="1:23" hidden="1">
      <c r="A534" s="2">
        <v>45903</v>
      </c>
      <c r="B534" s="1" t="s">
        <v>4338</v>
      </c>
      <c r="C534" s="1" t="s">
        <v>4339</v>
      </c>
      <c r="D534" s="1" t="s">
        <v>2439</v>
      </c>
      <c r="E534" s="1">
        <v>85014</v>
      </c>
      <c r="F534" s="1" t="s">
        <v>2406</v>
      </c>
      <c r="G534" s="1" t="s">
        <v>4291</v>
      </c>
      <c r="H534" s="21" t="s">
        <v>1008</v>
      </c>
      <c r="I534" s="5" t="s">
        <v>2988</v>
      </c>
      <c r="J534" s="5" t="s">
        <v>24</v>
      </c>
      <c r="K534" s="5" t="s">
        <v>24</v>
      </c>
      <c r="L534" s="5" t="s">
        <v>2819</v>
      </c>
      <c r="M534" s="5" t="s">
        <v>24</v>
      </c>
      <c r="N534" s="5" t="s">
        <v>24</v>
      </c>
      <c r="O534" s="5" t="s">
        <v>75</v>
      </c>
      <c r="P534" s="5" t="s">
        <v>2413</v>
      </c>
      <c r="Q534" s="2">
        <v>45966</v>
      </c>
      <c r="V534" s="45">
        <f t="shared" si="8"/>
        <v>1</v>
      </c>
      <c r="W534" s="45" t="s">
        <v>4340</v>
      </c>
    </row>
    <row r="535" spans="1:23" hidden="1">
      <c r="A535" s="2">
        <v>45903</v>
      </c>
      <c r="B535" s="1" t="s">
        <v>4341</v>
      </c>
      <c r="C535" s="1" t="s">
        <v>3729</v>
      </c>
      <c r="D535" s="1" t="s">
        <v>2439</v>
      </c>
      <c r="E535" s="1">
        <v>85053</v>
      </c>
      <c r="F535" s="1" t="s">
        <v>4342</v>
      </c>
      <c r="G535" s="1" t="s">
        <v>4291</v>
      </c>
      <c r="H535" s="21" t="s">
        <v>4343</v>
      </c>
      <c r="I535" s="5" t="s">
        <v>2412</v>
      </c>
      <c r="J535" s="5" t="s">
        <v>24</v>
      </c>
      <c r="K535" s="5" t="s">
        <v>24</v>
      </c>
      <c r="L535" s="5" t="s">
        <v>4344</v>
      </c>
      <c r="M535" s="5" t="s">
        <v>24</v>
      </c>
      <c r="N535" s="5" t="s">
        <v>24</v>
      </c>
      <c r="O535" s="5" t="s">
        <v>75</v>
      </c>
      <c r="P535" s="5" t="s">
        <v>2413</v>
      </c>
      <c r="Q535" s="2">
        <v>45966</v>
      </c>
      <c r="V535" s="45">
        <f t="shared" si="8"/>
        <v>1</v>
      </c>
      <c r="W535" s="45" t="s">
        <v>4345</v>
      </c>
    </row>
    <row r="536" spans="1:23" hidden="1">
      <c r="A536" s="2">
        <v>45903</v>
      </c>
      <c r="B536" s="1" t="s">
        <v>4346</v>
      </c>
      <c r="C536" s="1" t="s">
        <v>4347</v>
      </c>
      <c r="D536" s="1" t="s">
        <v>2439</v>
      </c>
      <c r="E536" s="1">
        <v>85024</v>
      </c>
      <c r="F536" s="1" t="s">
        <v>4348</v>
      </c>
      <c r="G536" s="1" t="s">
        <v>4291</v>
      </c>
      <c r="H536" s="4" t="s">
        <v>2401</v>
      </c>
      <c r="V536" s="45">
        <f t="shared" si="8"/>
        <v>1</v>
      </c>
      <c r="W536" s="45" t="s">
        <v>4349</v>
      </c>
    </row>
    <row r="537" spans="1:23" hidden="1">
      <c r="A537" s="2">
        <v>45903</v>
      </c>
      <c r="B537" s="1" t="s">
        <v>4350</v>
      </c>
      <c r="C537" s="1" t="s">
        <v>4351</v>
      </c>
      <c r="D537" s="1" t="s">
        <v>2570</v>
      </c>
      <c r="E537" s="1">
        <v>85396</v>
      </c>
      <c r="F537" s="1" t="s">
        <v>2406</v>
      </c>
      <c r="G537" s="1" t="s">
        <v>4291</v>
      </c>
      <c r="H537" s="4" t="s">
        <v>2401</v>
      </c>
      <c r="V537" s="45">
        <f t="shared" si="8"/>
        <v>1</v>
      </c>
      <c r="W537" s="45" t="s">
        <v>4352</v>
      </c>
    </row>
    <row r="538" spans="1:23" hidden="1">
      <c r="A538" s="2">
        <v>45903</v>
      </c>
      <c r="B538" s="1" t="s">
        <v>4353</v>
      </c>
      <c r="C538" s="1" t="s">
        <v>4354</v>
      </c>
      <c r="D538" s="1" t="s">
        <v>2439</v>
      </c>
      <c r="E538" s="1">
        <v>85085</v>
      </c>
      <c r="F538" s="1" t="s">
        <v>2406</v>
      </c>
      <c r="G538" s="1" t="s">
        <v>4291</v>
      </c>
      <c r="H538" s="21" t="s">
        <v>4355</v>
      </c>
      <c r="I538" s="5" t="s">
        <v>2848</v>
      </c>
      <c r="J538" s="5" t="s">
        <v>24</v>
      </c>
      <c r="K538" s="5" t="s">
        <v>24</v>
      </c>
      <c r="L538" s="5" t="s">
        <v>2819</v>
      </c>
      <c r="M538" s="5" t="s">
        <v>24</v>
      </c>
      <c r="N538" s="5" t="s">
        <v>24</v>
      </c>
      <c r="O538" s="5" t="s">
        <v>75</v>
      </c>
      <c r="P538" s="5" t="s">
        <v>2413</v>
      </c>
      <c r="Q538" s="2">
        <v>45966</v>
      </c>
      <c r="V538" s="45">
        <f t="shared" si="8"/>
        <v>1</v>
      </c>
      <c r="W538" s="45" t="s">
        <v>4356</v>
      </c>
    </row>
    <row r="539" spans="1:23" hidden="1">
      <c r="A539" s="2">
        <v>45903</v>
      </c>
      <c r="B539" s="1" t="s">
        <v>2923</v>
      </c>
      <c r="C539" s="1" t="s">
        <v>2924</v>
      </c>
      <c r="D539" s="1" t="s">
        <v>2439</v>
      </c>
      <c r="E539" s="1">
        <v>85083</v>
      </c>
      <c r="F539" s="1" t="s">
        <v>2406</v>
      </c>
      <c r="G539" s="1" t="s">
        <v>4291</v>
      </c>
      <c r="H539" s="21" t="s">
        <v>2269</v>
      </c>
      <c r="I539" s="5" t="s">
        <v>2420</v>
      </c>
      <c r="J539" s="5" t="s">
        <v>24</v>
      </c>
      <c r="K539" s="5" t="s">
        <v>24</v>
      </c>
      <c r="L539" s="5" t="s">
        <v>2925</v>
      </c>
      <c r="M539" s="5" t="s">
        <v>24</v>
      </c>
      <c r="N539" s="5" t="s">
        <v>24</v>
      </c>
      <c r="O539" s="5" t="s">
        <v>75</v>
      </c>
      <c r="P539" s="5" t="s">
        <v>2413</v>
      </c>
      <c r="Q539" s="2">
        <v>45966</v>
      </c>
      <c r="V539" s="45">
        <f t="shared" si="8"/>
        <v>1</v>
      </c>
      <c r="W539" s="45" t="s">
        <v>4357</v>
      </c>
    </row>
    <row r="540" spans="1:23" hidden="1">
      <c r="A540" s="2">
        <v>45903</v>
      </c>
      <c r="B540" s="1" t="s">
        <v>3722</v>
      </c>
      <c r="C540" s="1" t="s">
        <v>4358</v>
      </c>
      <c r="D540" s="1" t="s">
        <v>2650</v>
      </c>
      <c r="E540" s="1">
        <v>85340</v>
      </c>
      <c r="F540" s="1" t="s">
        <v>3215</v>
      </c>
      <c r="G540" s="1" t="s">
        <v>4291</v>
      </c>
      <c r="H540" s="21" t="s">
        <v>4359</v>
      </c>
      <c r="I540" s="5" t="s">
        <v>2412</v>
      </c>
      <c r="J540" s="5" t="s">
        <v>24</v>
      </c>
      <c r="K540" s="5" t="s">
        <v>24</v>
      </c>
      <c r="L540" s="5" t="s">
        <v>75</v>
      </c>
      <c r="M540" s="5" t="s">
        <v>24</v>
      </c>
      <c r="N540" s="5" t="s">
        <v>24</v>
      </c>
      <c r="O540" s="5" t="s">
        <v>75</v>
      </c>
      <c r="P540" s="5" t="s">
        <v>2413</v>
      </c>
      <c r="Q540" s="2">
        <v>45966</v>
      </c>
      <c r="V540" s="45">
        <f t="shared" si="8"/>
        <v>1</v>
      </c>
      <c r="W540" s="45" t="s">
        <v>4360</v>
      </c>
    </row>
    <row r="541" spans="1:23" hidden="1">
      <c r="A541" s="2">
        <v>45903</v>
      </c>
      <c r="B541" s="1" t="s">
        <v>4361</v>
      </c>
      <c r="C541" s="1" t="s">
        <v>2527</v>
      </c>
      <c r="D541" s="1" t="s">
        <v>2564</v>
      </c>
      <c r="E541" s="1">
        <v>85338</v>
      </c>
      <c r="F541" s="1" t="s">
        <v>2406</v>
      </c>
      <c r="G541" s="1" t="s">
        <v>4291</v>
      </c>
      <c r="H541" s="21" t="s">
        <v>4362</v>
      </c>
      <c r="I541" s="5" t="s">
        <v>2848</v>
      </c>
      <c r="J541" s="5" t="s">
        <v>24</v>
      </c>
      <c r="K541" s="5" t="s">
        <v>24</v>
      </c>
      <c r="L541" s="5" t="s">
        <v>2819</v>
      </c>
      <c r="M541" s="5" t="s">
        <v>75</v>
      </c>
      <c r="N541" s="13">
        <v>102.79</v>
      </c>
      <c r="O541" s="5" t="s">
        <v>75</v>
      </c>
      <c r="P541" s="5" t="s">
        <v>2413</v>
      </c>
      <c r="Q541" s="2">
        <v>45966</v>
      </c>
      <c r="V541" s="45">
        <f t="shared" si="8"/>
        <v>1</v>
      </c>
      <c r="W541" s="45" t="s">
        <v>4363</v>
      </c>
    </row>
    <row r="542" spans="1:23" hidden="1">
      <c r="A542" s="2">
        <v>45903</v>
      </c>
      <c r="B542" s="1" t="s">
        <v>4364</v>
      </c>
      <c r="C542" s="1" t="s">
        <v>4365</v>
      </c>
      <c r="D542" s="1" t="s">
        <v>2439</v>
      </c>
      <c r="E542" s="1">
        <v>85028</v>
      </c>
      <c r="F542" s="1" t="s">
        <v>2730</v>
      </c>
      <c r="G542" s="1" t="s">
        <v>4291</v>
      </c>
      <c r="H542" s="21" t="s">
        <v>4366</v>
      </c>
      <c r="I542" s="5" t="s">
        <v>2848</v>
      </c>
      <c r="J542" s="5" t="s">
        <v>24</v>
      </c>
      <c r="K542" s="5" t="s">
        <v>24</v>
      </c>
      <c r="L542" s="5" t="s">
        <v>2819</v>
      </c>
      <c r="M542" s="5" t="s">
        <v>24</v>
      </c>
      <c r="N542" s="5" t="s">
        <v>24</v>
      </c>
      <c r="O542" s="5" t="s">
        <v>75</v>
      </c>
      <c r="P542" s="5" t="s">
        <v>2413</v>
      </c>
      <c r="Q542" s="2">
        <v>45966</v>
      </c>
      <c r="V542" s="45">
        <f t="shared" si="8"/>
        <v>1</v>
      </c>
      <c r="W542" s="45" t="s">
        <v>4367</v>
      </c>
    </row>
    <row r="543" spans="1:23" hidden="1">
      <c r="A543" s="2">
        <v>45903</v>
      </c>
      <c r="B543" s="1" t="s">
        <v>2527</v>
      </c>
      <c r="C543" s="1" t="s">
        <v>4368</v>
      </c>
      <c r="D543" s="1" t="s">
        <v>2513</v>
      </c>
      <c r="E543" s="1">
        <v>85260</v>
      </c>
      <c r="F543" s="1" t="s">
        <v>2406</v>
      </c>
      <c r="G543" s="1" t="s">
        <v>4291</v>
      </c>
      <c r="H543" s="21" t="s">
        <v>4369</v>
      </c>
      <c r="I543" s="5" t="s">
        <v>2412</v>
      </c>
      <c r="J543" s="5" t="s">
        <v>24</v>
      </c>
      <c r="K543" s="5" t="s">
        <v>24</v>
      </c>
      <c r="L543" s="5" t="s">
        <v>75</v>
      </c>
      <c r="M543" s="5" t="s">
        <v>24</v>
      </c>
      <c r="N543" s="5" t="s">
        <v>24</v>
      </c>
      <c r="O543" s="5" t="s">
        <v>75</v>
      </c>
      <c r="P543" s="5" t="s">
        <v>2413</v>
      </c>
      <c r="Q543" s="2">
        <v>45966</v>
      </c>
      <c r="V543" s="45">
        <f t="shared" si="8"/>
        <v>1</v>
      </c>
      <c r="W543" s="45" t="s">
        <v>4370</v>
      </c>
    </row>
    <row r="544" spans="1:23" hidden="1">
      <c r="A544" s="2">
        <v>45903</v>
      </c>
      <c r="B544" s="1" t="s">
        <v>4371</v>
      </c>
      <c r="C544" s="1" t="s">
        <v>4372</v>
      </c>
      <c r="D544" s="1" t="s">
        <v>2605</v>
      </c>
      <c r="E544" s="1">
        <v>85383</v>
      </c>
      <c r="F544" s="1" t="s">
        <v>2730</v>
      </c>
      <c r="G544" s="1" t="s">
        <v>4291</v>
      </c>
      <c r="H544" s="21" t="s">
        <v>4373</v>
      </c>
      <c r="I544" s="5" t="s">
        <v>2432</v>
      </c>
      <c r="J544" s="5" t="s">
        <v>24</v>
      </c>
      <c r="K544" s="5" t="s">
        <v>24</v>
      </c>
      <c r="L544" s="7" t="s">
        <v>4374</v>
      </c>
      <c r="M544" s="5" t="s">
        <v>24</v>
      </c>
      <c r="N544" s="5" t="s">
        <v>24</v>
      </c>
      <c r="O544" s="5" t="s">
        <v>75</v>
      </c>
      <c r="P544" s="5" t="s">
        <v>2413</v>
      </c>
      <c r="Q544" s="2">
        <v>45966</v>
      </c>
      <c r="R544" s="1" t="s">
        <v>4375</v>
      </c>
      <c r="V544" s="45">
        <f t="shared" si="8"/>
        <v>1</v>
      </c>
      <c r="W544" s="45" t="s">
        <v>4376</v>
      </c>
    </row>
    <row r="545" spans="1:23" hidden="1">
      <c r="A545" s="2">
        <v>45903</v>
      </c>
      <c r="B545" s="1" t="s">
        <v>4377</v>
      </c>
      <c r="C545" s="1" t="s">
        <v>2632</v>
      </c>
      <c r="D545" s="1" t="s">
        <v>2439</v>
      </c>
      <c r="E545" s="1">
        <v>85024</v>
      </c>
      <c r="F545" s="1" t="s">
        <v>2730</v>
      </c>
      <c r="G545" s="1" t="s">
        <v>4291</v>
      </c>
      <c r="H545" s="4" t="s">
        <v>2613</v>
      </c>
      <c r="V545" s="45">
        <f t="shared" si="8"/>
        <v>1</v>
      </c>
      <c r="W545" s="45" t="s">
        <v>4378</v>
      </c>
    </row>
    <row r="546" spans="1:23" hidden="1">
      <c r="A546" s="2">
        <v>45903</v>
      </c>
      <c r="B546" s="1" t="s">
        <v>3654</v>
      </c>
      <c r="C546" s="1" t="s">
        <v>2997</v>
      </c>
      <c r="D546" s="1" t="s">
        <v>2439</v>
      </c>
      <c r="E546" s="1">
        <v>85029</v>
      </c>
      <c r="F546" s="1" t="s">
        <v>2730</v>
      </c>
      <c r="G546" s="1" t="s">
        <v>4291</v>
      </c>
      <c r="H546" s="4" t="s">
        <v>2613</v>
      </c>
      <c r="V546" s="45">
        <f t="shared" si="8"/>
        <v>1</v>
      </c>
      <c r="W546" s="45" t="s">
        <v>4379</v>
      </c>
    </row>
    <row r="547" spans="1:23" hidden="1">
      <c r="A547" s="2">
        <v>45903</v>
      </c>
      <c r="B547" s="1" t="s">
        <v>4380</v>
      </c>
      <c r="C547" s="1" t="s">
        <v>4381</v>
      </c>
      <c r="D547" s="1" t="s">
        <v>2605</v>
      </c>
      <c r="E547" s="1">
        <v>85382</v>
      </c>
      <c r="F547" s="1" t="s">
        <v>2730</v>
      </c>
      <c r="G547" s="1" t="s">
        <v>4291</v>
      </c>
      <c r="H547" s="21" t="s">
        <v>4382</v>
      </c>
      <c r="I547" s="5" t="s">
        <v>2451</v>
      </c>
      <c r="J547" s="5" t="s">
        <v>24</v>
      </c>
      <c r="K547" s="5" t="s">
        <v>24</v>
      </c>
      <c r="L547" s="5" t="s">
        <v>75</v>
      </c>
      <c r="M547" s="5" t="s">
        <v>24</v>
      </c>
      <c r="N547" s="5" t="s">
        <v>24</v>
      </c>
      <c r="O547" s="5" t="s">
        <v>75</v>
      </c>
      <c r="P547" s="5" t="s">
        <v>2413</v>
      </c>
      <c r="Q547" s="2">
        <v>45966</v>
      </c>
      <c r="V547" s="45">
        <f t="shared" si="8"/>
        <v>1</v>
      </c>
      <c r="W547" s="45" t="s">
        <v>4383</v>
      </c>
    </row>
    <row r="548" spans="1:23" hidden="1">
      <c r="A548" s="2">
        <v>45903</v>
      </c>
      <c r="B548" s="1" t="s">
        <v>4384</v>
      </c>
      <c r="C548" s="1" t="s">
        <v>4385</v>
      </c>
      <c r="D548" s="1" t="s">
        <v>2605</v>
      </c>
      <c r="E548" s="1">
        <v>85345</v>
      </c>
      <c r="F548" s="1" t="s">
        <v>2406</v>
      </c>
      <c r="G548" s="1" t="s">
        <v>4291</v>
      </c>
      <c r="H548" s="21" t="s">
        <v>4386</v>
      </c>
      <c r="I548" s="5" t="s">
        <v>2412</v>
      </c>
      <c r="J548" s="5" t="s">
        <v>24</v>
      </c>
      <c r="K548" s="5" t="s">
        <v>24</v>
      </c>
      <c r="L548" s="5" t="s">
        <v>75</v>
      </c>
      <c r="M548" s="5" t="s">
        <v>24</v>
      </c>
      <c r="N548" s="5" t="s">
        <v>24</v>
      </c>
      <c r="O548" s="5" t="s">
        <v>75</v>
      </c>
      <c r="P548" s="5" t="s">
        <v>2413</v>
      </c>
      <c r="Q548" s="2">
        <v>45966</v>
      </c>
      <c r="V548" s="45">
        <f t="shared" si="8"/>
        <v>1</v>
      </c>
      <c r="W548" s="45" t="s">
        <v>4387</v>
      </c>
    </row>
    <row r="549" spans="1:23" hidden="1">
      <c r="A549" s="2">
        <v>45903</v>
      </c>
      <c r="B549" s="1" t="s">
        <v>4388</v>
      </c>
      <c r="C549" s="1" t="s">
        <v>2527</v>
      </c>
      <c r="D549" s="1" t="s">
        <v>2674</v>
      </c>
      <c r="E549" s="1">
        <v>86315</v>
      </c>
      <c r="F549" s="1" t="s">
        <v>2406</v>
      </c>
      <c r="G549" s="1" t="s">
        <v>4291</v>
      </c>
      <c r="H549" s="21" t="s">
        <v>4389</v>
      </c>
      <c r="I549" s="5" t="s">
        <v>2420</v>
      </c>
      <c r="J549" s="5" t="s">
        <v>24</v>
      </c>
      <c r="K549" s="5" t="s">
        <v>24</v>
      </c>
      <c r="L549" s="5" t="s">
        <v>75</v>
      </c>
      <c r="M549" s="5" t="s">
        <v>75</v>
      </c>
      <c r="N549" s="13">
        <v>105.18</v>
      </c>
      <c r="O549" s="5" t="s">
        <v>75</v>
      </c>
      <c r="P549" s="5" t="s">
        <v>2413</v>
      </c>
      <c r="Q549" s="2">
        <v>45966</v>
      </c>
      <c r="V549" s="45">
        <f t="shared" si="8"/>
        <v>1</v>
      </c>
      <c r="W549" s="45" t="s">
        <v>4390</v>
      </c>
    </row>
    <row r="550" spans="1:23" hidden="1">
      <c r="A550" s="2">
        <v>45904</v>
      </c>
      <c r="B550" s="1" t="s">
        <v>4391</v>
      </c>
      <c r="C550" s="1" t="s">
        <v>4392</v>
      </c>
      <c r="D550" s="1" t="s">
        <v>2513</v>
      </c>
      <c r="E550" s="1">
        <v>85251</v>
      </c>
      <c r="F550" s="1" t="s">
        <v>4305</v>
      </c>
      <c r="G550" s="1" t="s">
        <v>4291</v>
      </c>
      <c r="H550" s="21" t="s">
        <v>4393</v>
      </c>
      <c r="I550" s="5" t="s">
        <v>2451</v>
      </c>
      <c r="J550" s="5" t="s">
        <v>24</v>
      </c>
      <c r="K550" s="5" t="s">
        <v>24</v>
      </c>
      <c r="L550" s="5" t="s">
        <v>75</v>
      </c>
      <c r="M550" s="5" t="s">
        <v>24</v>
      </c>
      <c r="N550" s="5" t="s">
        <v>24</v>
      </c>
      <c r="O550" s="5" t="s">
        <v>75</v>
      </c>
      <c r="P550" s="5" t="s">
        <v>2413</v>
      </c>
      <c r="Q550" s="2">
        <v>45966</v>
      </c>
      <c r="V550" s="45">
        <f t="shared" si="8"/>
        <v>1</v>
      </c>
      <c r="W550" s="45" t="s">
        <v>4394</v>
      </c>
    </row>
    <row r="551" spans="1:23" hidden="1">
      <c r="A551" s="2">
        <v>45904</v>
      </c>
      <c r="B551" s="1" t="s">
        <v>4395</v>
      </c>
      <c r="C551" s="1" t="s">
        <v>3851</v>
      </c>
      <c r="D551" s="1" t="s">
        <v>2498</v>
      </c>
      <c r="E551" s="1">
        <v>85387</v>
      </c>
      <c r="F551" s="1" t="s">
        <v>2406</v>
      </c>
      <c r="G551" s="1" t="s">
        <v>4291</v>
      </c>
      <c r="H551" s="21" t="s">
        <v>4396</v>
      </c>
      <c r="I551" s="5" t="s">
        <v>2988</v>
      </c>
      <c r="J551" s="5" t="s">
        <v>24</v>
      </c>
      <c r="K551" s="5" t="s">
        <v>24</v>
      </c>
      <c r="L551" s="5" t="s">
        <v>2819</v>
      </c>
      <c r="M551" s="5" t="s">
        <v>24</v>
      </c>
      <c r="N551" s="5" t="s">
        <v>24</v>
      </c>
      <c r="O551" s="5" t="s">
        <v>75</v>
      </c>
      <c r="P551" s="5" t="s">
        <v>2413</v>
      </c>
      <c r="Q551" s="2">
        <v>45966</v>
      </c>
      <c r="V551" s="45">
        <f t="shared" si="8"/>
        <v>1</v>
      </c>
      <c r="W551" s="45" t="s">
        <v>4397</v>
      </c>
    </row>
    <row r="552" spans="1:23" hidden="1">
      <c r="A552" s="2">
        <v>45904</v>
      </c>
      <c r="B552" s="1" t="s">
        <v>4398</v>
      </c>
      <c r="C552" s="1" t="s">
        <v>4399</v>
      </c>
      <c r="D552" s="1" t="s">
        <v>2674</v>
      </c>
      <c r="E552" s="1">
        <v>86314</v>
      </c>
      <c r="F552" s="1" t="s">
        <v>2730</v>
      </c>
      <c r="G552" s="1" t="s">
        <v>4291</v>
      </c>
      <c r="H552" s="4" t="s">
        <v>1010</v>
      </c>
      <c r="I552" s="5" t="s">
        <v>2451</v>
      </c>
      <c r="J552" s="5" t="s">
        <v>24</v>
      </c>
      <c r="K552" s="5" t="s">
        <v>24</v>
      </c>
      <c r="L552" s="5" t="s">
        <v>75</v>
      </c>
      <c r="M552" s="5" t="s">
        <v>24</v>
      </c>
      <c r="N552" s="5" t="s">
        <v>24</v>
      </c>
      <c r="O552" s="5" t="s">
        <v>75</v>
      </c>
      <c r="P552" s="5" t="s">
        <v>2413</v>
      </c>
      <c r="Q552" s="2">
        <v>45966</v>
      </c>
      <c r="V552" s="45">
        <f t="shared" si="8"/>
        <v>1</v>
      </c>
      <c r="W552" s="45" t="s">
        <v>4400</v>
      </c>
    </row>
    <row r="553" spans="1:23" hidden="1">
      <c r="A553" s="2">
        <v>45904</v>
      </c>
      <c r="B553" s="1" t="s">
        <v>4401</v>
      </c>
      <c r="C553" s="1" t="s">
        <v>4402</v>
      </c>
      <c r="D553" s="1" t="s">
        <v>2439</v>
      </c>
      <c r="E553" s="1">
        <v>85085</v>
      </c>
      <c r="F553" s="1" t="s">
        <v>2406</v>
      </c>
      <c r="G553" s="1" t="s">
        <v>4291</v>
      </c>
      <c r="H553" s="4" t="s">
        <v>2401</v>
      </c>
      <c r="V553" s="45">
        <f t="shared" si="8"/>
        <v>1</v>
      </c>
      <c r="W553" s="45" t="s">
        <v>4403</v>
      </c>
    </row>
    <row r="554" spans="1:23" hidden="1">
      <c r="A554" s="2">
        <v>45904</v>
      </c>
      <c r="B554" s="1" t="s">
        <v>4404</v>
      </c>
      <c r="C554" s="1" t="s">
        <v>3553</v>
      </c>
      <c r="D554" s="1" t="s">
        <v>2650</v>
      </c>
      <c r="E554" s="1">
        <v>85340</v>
      </c>
      <c r="F554" s="1" t="s">
        <v>2406</v>
      </c>
      <c r="G554" s="1" t="s">
        <v>4291</v>
      </c>
      <c r="H554" s="21" t="s">
        <v>4405</v>
      </c>
      <c r="I554" s="5" t="s">
        <v>2988</v>
      </c>
      <c r="J554" s="5" t="s">
        <v>75</v>
      </c>
      <c r="K554" s="5" t="s">
        <v>24</v>
      </c>
      <c r="L554" s="5" t="s">
        <v>2819</v>
      </c>
      <c r="M554" s="5" t="s">
        <v>75</v>
      </c>
      <c r="N554" s="15">
        <v>1106.1300000000001</v>
      </c>
      <c r="O554" s="5" t="s">
        <v>75</v>
      </c>
      <c r="P554" s="7"/>
      <c r="Q554" s="2">
        <v>45966</v>
      </c>
      <c r="R554" s="1" t="s">
        <v>4406</v>
      </c>
      <c r="V554" s="45">
        <f t="shared" si="8"/>
        <v>1</v>
      </c>
      <c r="W554" s="45" t="s">
        <v>4407</v>
      </c>
    </row>
    <row r="555" spans="1:23" hidden="1">
      <c r="A555" s="2">
        <v>45904</v>
      </c>
      <c r="B555" s="1" t="s">
        <v>4408</v>
      </c>
      <c r="C555" s="1" t="s">
        <v>2851</v>
      </c>
      <c r="D555" s="1" t="s">
        <v>2398</v>
      </c>
      <c r="E555" s="1">
        <v>85310</v>
      </c>
      <c r="F555" s="1" t="s">
        <v>2406</v>
      </c>
      <c r="G555" s="1" t="s">
        <v>4291</v>
      </c>
      <c r="H555" s="4" t="s">
        <v>2401</v>
      </c>
      <c r="V555" s="45">
        <f t="shared" si="8"/>
        <v>1</v>
      </c>
      <c r="W555" s="45" t="s">
        <v>4409</v>
      </c>
    </row>
    <row r="556" spans="1:23" hidden="1">
      <c r="A556" s="2">
        <v>45904</v>
      </c>
      <c r="B556" s="1" t="s">
        <v>4410</v>
      </c>
      <c r="C556" s="1" t="s">
        <v>2596</v>
      </c>
      <c r="D556" s="1" t="s">
        <v>2800</v>
      </c>
      <c r="E556" s="1">
        <v>85225</v>
      </c>
      <c r="F556" s="1" t="s">
        <v>2730</v>
      </c>
      <c r="G556" s="1" t="s">
        <v>4291</v>
      </c>
      <c r="H556" s="4" t="s">
        <v>2323</v>
      </c>
      <c r="I556" s="5" t="s">
        <v>2412</v>
      </c>
      <c r="J556" s="5" t="s">
        <v>24</v>
      </c>
      <c r="K556" s="5" t="s">
        <v>24</v>
      </c>
      <c r="L556" s="7" t="s">
        <v>4411</v>
      </c>
      <c r="M556" s="5" t="s">
        <v>24</v>
      </c>
      <c r="N556" s="5" t="s">
        <v>24</v>
      </c>
      <c r="O556" s="5" t="s">
        <v>75</v>
      </c>
      <c r="P556" s="2">
        <v>45936</v>
      </c>
      <c r="Q556" s="2">
        <v>45966</v>
      </c>
      <c r="R556" s="1" t="s">
        <v>4096</v>
      </c>
      <c r="V556" s="45">
        <f t="shared" si="8"/>
        <v>1</v>
      </c>
      <c r="W556" s="45" t="s">
        <v>4412</v>
      </c>
    </row>
    <row r="557" spans="1:23" hidden="1">
      <c r="A557" s="2">
        <v>45904</v>
      </c>
      <c r="B557" s="1" t="s">
        <v>4413</v>
      </c>
      <c r="C557" s="1" t="s">
        <v>2949</v>
      </c>
      <c r="D557" s="1" t="s">
        <v>2513</v>
      </c>
      <c r="E557" s="1">
        <v>85260</v>
      </c>
      <c r="F557" s="1" t="s">
        <v>2406</v>
      </c>
      <c r="G557" s="1" t="s">
        <v>4291</v>
      </c>
      <c r="H557" s="4" t="s">
        <v>1012</v>
      </c>
      <c r="I557" s="5" t="s">
        <v>4414</v>
      </c>
      <c r="J557" s="5" t="s">
        <v>24</v>
      </c>
      <c r="K557" s="5" t="s">
        <v>24</v>
      </c>
      <c r="L557" s="5" t="s">
        <v>75</v>
      </c>
      <c r="M557" s="5" t="s">
        <v>24</v>
      </c>
      <c r="N557" s="5" t="s">
        <v>24</v>
      </c>
      <c r="O557" s="5" t="s">
        <v>75</v>
      </c>
      <c r="P557" s="5" t="s">
        <v>2413</v>
      </c>
      <c r="Q557" s="2">
        <v>45966</v>
      </c>
      <c r="V557" s="45">
        <f t="shared" si="8"/>
        <v>1</v>
      </c>
      <c r="W557" s="45" t="s">
        <v>4415</v>
      </c>
    </row>
    <row r="558" spans="1:23" hidden="1">
      <c r="A558" s="2">
        <v>45904</v>
      </c>
      <c r="B558" s="1" t="s">
        <v>4416</v>
      </c>
      <c r="C558" s="1" t="s">
        <v>4417</v>
      </c>
      <c r="D558" s="1" t="s">
        <v>2564</v>
      </c>
      <c r="E558" s="1">
        <v>85338</v>
      </c>
      <c r="F558" s="1" t="s">
        <v>2406</v>
      </c>
      <c r="G558" s="1" t="s">
        <v>4291</v>
      </c>
      <c r="H558" s="4" t="s">
        <v>159</v>
      </c>
      <c r="I558" s="5" t="s">
        <v>2432</v>
      </c>
      <c r="J558" s="5" t="s">
        <v>24</v>
      </c>
      <c r="K558" s="5" t="s">
        <v>24</v>
      </c>
      <c r="L558" s="5" t="s">
        <v>4418</v>
      </c>
      <c r="M558" s="5" t="s">
        <v>24</v>
      </c>
      <c r="N558" s="5" t="s">
        <v>24</v>
      </c>
      <c r="O558" s="5" t="s">
        <v>75</v>
      </c>
      <c r="P558" s="5" t="s">
        <v>2413</v>
      </c>
      <c r="Q558" s="2">
        <v>45966</v>
      </c>
      <c r="V558" s="45">
        <f t="shared" si="8"/>
        <v>1</v>
      </c>
      <c r="W558" s="45" t="s">
        <v>4419</v>
      </c>
    </row>
    <row r="559" spans="1:23" hidden="1">
      <c r="A559" s="2">
        <v>45904</v>
      </c>
      <c r="B559" s="1" t="s">
        <v>4420</v>
      </c>
      <c r="C559" s="1" t="s">
        <v>4421</v>
      </c>
      <c r="D559" s="1" t="s">
        <v>2439</v>
      </c>
      <c r="E559" s="1">
        <v>85016</v>
      </c>
      <c r="F559" s="1" t="s">
        <v>2730</v>
      </c>
      <c r="G559" s="1" t="s">
        <v>4291</v>
      </c>
      <c r="H559" s="4" t="s">
        <v>1014</v>
      </c>
      <c r="I559" s="5" t="s">
        <v>2420</v>
      </c>
      <c r="J559" s="5" t="s">
        <v>24</v>
      </c>
      <c r="K559" s="5" t="s">
        <v>75</v>
      </c>
      <c r="L559" s="5" t="s">
        <v>75</v>
      </c>
      <c r="M559" s="5" t="s">
        <v>24</v>
      </c>
      <c r="N559" s="5" t="s">
        <v>24</v>
      </c>
      <c r="O559" s="5" t="s">
        <v>75</v>
      </c>
      <c r="P559" s="5" t="s">
        <v>2413</v>
      </c>
      <c r="Q559" s="2">
        <v>45966</v>
      </c>
      <c r="V559" s="45">
        <f t="shared" si="8"/>
        <v>1</v>
      </c>
      <c r="W559" s="45" t="s">
        <v>4422</v>
      </c>
    </row>
    <row r="560" spans="1:23" hidden="1">
      <c r="A560" s="2">
        <v>45904</v>
      </c>
      <c r="B560" s="1" t="s">
        <v>4423</v>
      </c>
      <c r="C560" s="1" t="s">
        <v>4151</v>
      </c>
      <c r="D560" s="1" t="s">
        <v>4424</v>
      </c>
      <c r="E560" s="1">
        <v>85373</v>
      </c>
      <c r="F560" s="1" t="s">
        <v>2730</v>
      </c>
      <c r="G560" s="1" t="s">
        <v>4291</v>
      </c>
      <c r="H560" s="4" t="s">
        <v>2401</v>
      </c>
      <c r="V560" s="45">
        <f t="shared" si="8"/>
        <v>1</v>
      </c>
      <c r="W560" s="45" t="s">
        <v>4425</v>
      </c>
    </row>
    <row r="561" spans="1:23" hidden="1">
      <c r="A561" s="2">
        <v>45904</v>
      </c>
      <c r="B561" s="1" t="s">
        <v>4426</v>
      </c>
      <c r="C561" s="1" t="s">
        <v>4162</v>
      </c>
      <c r="D561" s="1" t="s">
        <v>2439</v>
      </c>
      <c r="E561" s="1">
        <v>85020</v>
      </c>
      <c r="F561" s="1" t="s">
        <v>2730</v>
      </c>
      <c r="G561" s="1" t="s">
        <v>4291</v>
      </c>
      <c r="H561" s="4" t="s">
        <v>1016</v>
      </c>
      <c r="I561" s="5" t="s">
        <v>2451</v>
      </c>
      <c r="J561" s="5" t="s">
        <v>24</v>
      </c>
      <c r="K561" s="5" t="s">
        <v>24</v>
      </c>
      <c r="L561" s="5" t="s">
        <v>75</v>
      </c>
      <c r="M561" s="5" t="s">
        <v>24</v>
      </c>
      <c r="N561" s="5" t="s">
        <v>24</v>
      </c>
      <c r="O561" s="5" t="s">
        <v>75</v>
      </c>
      <c r="P561" s="5" t="s">
        <v>2413</v>
      </c>
      <c r="Q561" s="2">
        <v>45966</v>
      </c>
      <c r="V561" s="45">
        <f t="shared" si="8"/>
        <v>1</v>
      </c>
      <c r="W561" s="45" t="s">
        <v>4427</v>
      </c>
    </row>
    <row r="562" spans="1:23" hidden="1">
      <c r="A562" s="2">
        <v>45904</v>
      </c>
      <c r="B562" s="1" t="s">
        <v>4428</v>
      </c>
      <c r="C562" s="1" t="s">
        <v>4417</v>
      </c>
      <c r="D562" s="1" t="s">
        <v>4424</v>
      </c>
      <c r="E562" s="1">
        <v>85373</v>
      </c>
      <c r="F562" s="1" t="s">
        <v>2730</v>
      </c>
      <c r="G562" s="1" t="s">
        <v>4291</v>
      </c>
      <c r="H562" s="4" t="s">
        <v>1018</v>
      </c>
      <c r="I562" s="5" t="s">
        <v>2848</v>
      </c>
      <c r="J562" s="5" t="s">
        <v>24</v>
      </c>
      <c r="K562" s="5" t="s">
        <v>24</v>
      </c>
      <c r="L562" s="5" t="s">
        <v>2819</v>
      </c>
      <c r="M562" s="5" t="s">
        <v>24</v>
      </c>
      <c r="N562" s="5" t="s">
        <v>24</v>
      </c>
      <c r="O562" s="5" t="s">
        <v>75</v>
      </c>
      <c r="P562" s="5" t="s">
        <v>2413</v>
      </c>
      <c r="Q562" s="2">
        <v>45966</v>
      </c>
      <c r="V562" s="45">
        <f t="shared" si="8"/>
        <v>1</v>
      </c>
      <c r="W562" s="45" t="s">
        <v>4429</v>
      </c>
    </row>
    <row r="563" spans="1:23" hidden="1">
      <c r="A563" s="2">
        <v>45904</v>
      </c>
      <c r="B563" s="1" t="s">
        <v>3803</v>
      </c>
      <c r="C563" s="1" t="s">
        <v>3270</v>
      </c>
      <c r="D563" s="1" t="s">
        <v>2398</v>
      </c>
      <c r="E563" s="1">
        <v>85306</v>
      </c>
      <c r="F563" s="1" t="s">
        <v>4430</v>
      </c>
      <c r="G563" s="1" t="s">
        <v>4291</v>
      </c>
      <c r="H563" s="4" t="s">
        <v>162</v>
      </c>
      <c r="I563" s="5" t="s">
        <v>2432</v>
      </c>
      <c r="J563" s="5" t="s">
        <v>24</v>
      </c>
      <c r="K563" s="5" t="s">
        <v>24</v>
      </c>
      <c r="L563" s="7" t="s">
        <v>4431</v>
      </c>
      <c r="M563" s="5" t="s">
        <v>24</v>
      </c>
      <c r="N563" s="5" t="s">
        <v>24</v>
      </c>
      <c r="O563" s="5" t="s">
        <v>75</v>
      </c>
      <c r="P563" s="2">
        <v>45936</v>
      </c>
      <c r="Q563" s="2">
        <v>45966</v>
      </c>
      <c r="R563" s="1" t="s">
        <v>4096</v>
      </c>
      <c r="V563" s="45">
        <f t="shared" si="8"/>
        <v>1</v>
      </c>
      <c r="W563" s="45" t="s">
        <v>4432</v>
      </c>
    </row>
    <row r="564" spans="1:23" hidden="1">
      <c r="A564" s="2">
        <v>45904</v>
      </c>
      <c r="B564" s="1" t="s">
        <v>4433</v>
      </c>
      <c r="C564" s="1" t="s">
        <v>3331</v>
      </c>
      <c r="D564" s="1" t="s">
        <v>2513</v>
      </c>
      <c r="E564" s="1">
        <v>85258</v>
      </c>
      <c r="F564" s="1" t="s">
        <v>2406</v>
      </c>
      <c r="G564" s="1" t="s">
        <v>4434</v>
      </c>
      <c r="H564" s="21" t="s">
        <v>1020</v>
      </c>
      <c r="I564" s="5" t="s">
        <v>2514</v>
      </c>
      <c r="J564" s="5" t="s">
        <v>24</v>
      </c>
      <c r="K564" s="5" t="s">
        <v>24</v>
      </c>
      <c r="L564" s="5" t="s">
        <v>75</v>
      </c>
      <c r="M564" s="5" t="s">
        <v>24</v>
      </c>
      <c r="N564" s="5" t="s">
        <v>24</v>
      </c>
      <c r="O564" s="5" t="s">
        <v>75</v>
      </c>
      <c r="P564" s="5" t="s">
        <v>2413</v>
      </c>
      <c r="Q564" s="2">
        <v>45966</v>
      </c>
      <c r="V564" s="45">
        <f t="shared" si="8"/>
        <v>1</v>
      </c>
      <c r="W564" s="45" t="s">
        <v>4435</v>
      </c>
    </row>
    <row r="565" spans="1:23" hidden="1">
      <c r="A565" s="2">
        <v>55766</v>
      </c>
      <c r="B565" s="1" t="s">
        <v>4436</v>
      </c>
      <c r="C565" s="1" t="s">
        <v>4437</v>
      </c>
      <c r="D565" s="1" t="s">
        <v>2398</v>
      </c>
      <c r="E565" s="1">
        <v>85310</v>
      </c>
      <c r="F565" s="1" t="s">
        <v>2406</v>
      </c>
      <c r="G565" s="1" t="s">
        <v>4438</v>
      </c>
      <c r="H565" s="4" t="s">
        <v>2401</v>
      </c>
      <c r="V565" s="45">
        <f t="shared" si="8"/>
        <v>1</v>
      </c>
      <c r="W565" s="45" t="s">
        <v>4439</v>
      </c>
    </row>
    <row r="566" spans="1:23" hidden="1">
      <c r="A566" s="2">
        <v>45904</v>
      </c>
      <c r="B566" s="1" t="s">
        <v>4440</v>
      </c>
      <c r="C566" s="1" t="s">
        <v>4441</v>
      </c>
      <c r="G566" s="1" t="s">
        <v>4438</v>
      </c>
      <c r="H566" s="4" t="s">
        <v>2613</v>
      </c>
      <c r="V566" s="45">
        <f t="shared" si="8"/>
        <v>1</v>
      </c>
      <c r="W566" s="45" t="s">
        <v>4442</v>
      </c>
    </row>
    <row r="567" spans="1:23" hidden="1">
      <c r="A567" s="2">
        <v>45904</v>
      </c>
      <c r="B567" s="1" t="s">
        <v>4443</v>
      </c>
      <c r="C567" s="1" t="s">
        <v>4444</v>
      </c>
      <c r="D567" s="1" t="s">
        <v>2439</v>
      </c>
      <c r="G567" s="1" t="s">
        <v>4438</v>
      </c>
      <c r="H567" s="4" t="s">
        <v>2471</v>
      </c>
      <c r="V567" s="45">
        <f t="shared" si="8"/>
        <v>1</v>
      </c>
      <c r="W567" s="45" t="s">
        <v>4445</v>
      </c>
    </row>
    <row r="568" spans="1:23" hidden="1">
      <c r="A568" s="2">
        <v>45904</v>
      </c>
      <c r="B568" s="1" t="s">
        <v>4446</v>
      </c>
      <c r="C568" s="1" t="s">
        <v>4447</v>
      </c>
      <c r="D568" s="1" t="s">
        <v>2513</v>
      </c>
      <c r="E568" s="1">
        <v>85258</v>
      </c>
      <c r="F568" s="1" t="s">
        <v>2406</v>
      </c>
      <c r="G568" s="1" t="s">
        <v>4438</v>
      </c>
      <c r="H568" s="21" t="s">
        <v>164</v>
      </c>
      <c r="I568" s="5" t="s">
        <v>2597</v>
      </c>
      <c r="J568" s="5" t="s">
        <v>24</v>
      </c>
      <c r="K568" s="5" t="s">
        <v>24</v>
      </c>
      <c r="L568" s="7" t="s">
        <v>4448</v>
      </c>
      <c r="M568" s="5" t="s">
        <v>24</v>
      </c>
      <c r="N568" s="5" t="s">
        <v>24</v>
      </c>
      <c r="O568" s="5" t="s">
        <v>75</v>
      </c>
      <c r="P568" s="2">
        <v>45936</v>
      </c>
      <c r="Q568" s="2">
        <v>45966</v>
      </c>
      <c r="R568" s="1" t="s">
        <v>4096</v>
      </c>
      <c r="V568" s="45">
        <f t="shared" si="8"/>
        <v>1</v>
      </c>
      <c r="W568" s="45" t="s">
        <v>4449</v>
      </c>
    </row>
    <row r="569" spans="1:23" hidden="1">
      <c r="A569" s="2">
        <v>45904</v>
      </c>
      <c r="B569" s="1" t="s">
        <v>4450</v>
      </c>
      <c r="C569" s="1" t="s">
        <v>4451</v>
      </c>
      <c r="F569" s="1" t="s">
        <v>2406</v>
      </c>
      <c r="G569" s="1" t="s">
        <v>4438</v>
      </c>
      <c r="H569" s="4" t="s">
        <v>2613</v>
      </c>
      <c r="V569" s="45">
        <f t="shared" si="8"/>
        <v>1</v>
      </c>
      <c r="W569" s="45" t="s">
        <v>4452</v>
      </c>
    </row>
    <row r="570" spans="1:23" hidden="1">
      <c r="A570" s="2">
        <v>45904</v>
      </c>
      <c r="B570" s="1" t="s">
        <v>4453</v>
      </c>
      <c r="C570" s="1" t="s">
        <v>4454</v>
      </c>
      <c r="G570" s="1" t="s">
        <v>4438</v>
      </c>
      <c r="H570" s="4" t="s">
        <v>2401</v>
      </c>
      <c r="U570" s="1" t="s">
        <v>4455</v>
      </c>
      <c r="V570" s="45">
        <f t="shared" si="8"/>
        <v>1</v>
      </c>
      <c r="W570" s="45" t="s">
        <v>4456</v>
      </c>
    </row>
    <row r="571" spans="1:23" hidden="1">
      <c r="A571" s="2">
        <v>45904</v>
      </c>
      <c r="B571" s="1" t="s">
        <v>4457</v>
      </c>
      <c r="C571" s="1" t="s">
        <v>3107</v>
      </c>
      <c r="D571" s="1" t="s">
        <v>4458</v>
      </c>
      <c r="E571" s="1">
        <v>85615</v>
      </c>
      <c r="F571" s="1" t="s">
        <v>2406</v>
      </c>
      <c r="G571" s="1" t="s">
        <v>4438</v>
      </c>
      <c r="H571" s="21" t="s">
        <v>1022</v>
      </c>
      <c r="I571" s="5" t="s">
        <v>2988</v>
      </c>
      <c r="J571" s="5" t="s">
        <v>75</v>
      </c>
      <c r="K571" s="5" t="s">
        <v>24</v>
      </c>
      <c r="L571" s="5" t="s">
        <v>2819</v>
      </c>
      <c r="M571" s="5" t="s">
        <v>24</v>
      </c>
      <c r="N571" s="5" t="s">
        <v>24</v>
      </c>
      <c r="O571" s="5" t="s">
        <v>75</v>
      </c>
      <c r="P571" s="5" t="s">
        <v>2413</v>
      </c>
      <c r="Q571" s="2">
        <v>45966</v>
      </c>
      <c r="V571" s="45">
        <f t="shared" si="8"/>
        <v>1</v>
      </c>
      <c r="W571" s="45" t="s">
        <v>4459</v>
      </c>
    </row>
    <row r="572" spans="1:23" hidden="1">
      <c r="A572" s="2">
        <v>45905</v>
      </c>
      <c r="B572" s="1" t="s">
        <v>4460</v>
      </c>
      <c r="C572" s="1" t="s">
        <v>4113</v>
      </c>
      <c r="G572" s="1" t="s">
        <v>4461</v>
      </c>
      <c r="H572" s="4" t="s">
        <v>2613</v>
      </c>
      <c r="V572" s="45">
        <f t="shared" si="8"/>
        <v>1</v>
      </c>
      <c r="W572" s="45" t="s">
        <v>4462</v>
      </c>
    </row>
    <row r="573" spans="1:23" hidden="1">
      <c r="A573" s="2">
        <v>45905</v>
      </c>
      <c r="B573" s="1" t="s">
        <v>4463</v>
      </c>
      <c r="C573" s="1" t="s">
        <v>2596</v>
      </c>
      <c r="D573" s="1" t="s">
        <v>2650</v>
      </c>
      <c r="E573" s="1">
        <v>85340</v>
      </c>
      <c r="F573" s="1" t="s">
        <v>2406</v>
      </c>
      <c r="G573" s="1" t="s">
        <v>4464</v>
      </c>
      <c r="H573" s="4" t="s">
        <v>921</v>
      </c>
      <c r="I573" s="5" t="s">
        <v>2451</v>
      </c>
      <c r="J573" s="5" t="s">
        <v>24</v>
      </c>
      <c r="K573" s="5" t="s">
        <v>24</v>
      </c>
      <c r="L573" s="5" t="s">
        <v>75</v>
      </c>
      <c r="M573" s="5" t="s">
        <v>24</v>
      </c>
      <c r="N573" s="5" t="s">
        <v>24</v>
      </c>
      <c r="O573" s="5" t="s">
        <v>75</v>
      </c>
      <c r="P573" s="5" t="s">
        <v>2413</v>
      </c>
      <c r="Q573" s="2">
        <v>45966</v>
      </c>
      <c r="V573" s="45">
        <f t="shared" si="8"/>
        <v>1</v>
      </c>
      <c r="W573" s="45" t="s">
        <v>4465</v>
      </c>
    </row>
    <row r="574" spans="1:23" hidden="1">
      <c r="A574" s="2">
        <v>45905</v>
      </c>
      <c r="B574" s="1" t="s">
        <v>4466</v>
      </c>
      <c r="C574" s="1" t="s">
        <v>2921</v>
      </c>
      <c r="D574" s="1" t="s">
        <v>2513</v>
      </c>
      <c r="E574" s="1">
        <v>85254</v>
      </c>
      <c r="F574" s="1" t="s">
        <v>2730</v>
      </c>
      <c r="G574" s="1" t="s">
        <v>4464</v>
      </c>
      <c r="H574" s="4" t="s">
        <v>2401</v>
      </c>
      <c r="V574" s="45">
        <f t="shared" si="8"/>
        <v>1</v>
      </c>
      <c r="W574" s="125" t="s">
        <v>4467</v>
      </c>
    </row>
    <row r="575" spans="1:23" hidden="1">
      <c r="A575" s="2">
        <v>45905</v>
      </c>
      <c r="B575" s="1" t="s">
        <v>4468</v>
      </c>
      <c r="C575" s="1" t="s">
        <v>4469</v>
      </c>
      <c r="D575" s="1" t="s">
        <v>2564</v>
      </c>
      <c r="E575" s="1">
        <v>85395</v>
      </c>
      <c r="F575" s="1" t="s">
        <v>4470</v>
      </c>
      <c r="G575" s="1" t="s">
        <v>4464</v>
      </c>
      <c r="H575" s="4" t="s">
        <v>1024</v>
      </c>
      <c r="I575" s="5" t="s">
        <v>2848</v>
      </c>
      <c r="J575" s="5" t="s">
        <v>24</v>
      </c>
      <c r="K575" s="5" t="s">
        <v>24</v>
      </c>
      <c r="L575" s="5" t="s">
        <v>2819</v>
      </c>
      <c r="M575" s="5" t="s">
        <v>24</v>
      </c>
      <c r="N575" s="5" t="s">
        <v>24</v>
      </c>
      <c r="O575" s="5" t="s">
        <v>75</v>
      </c>
      <c r="P575" s="5" t="s">
        <v>2413</v>
      </c>
      <c r="Q575" s="2">
        <v>45966</v>
      </c>
      <c r="V575" s="45">
        <f t="shared" si="8"/>
        <v>1</v>
      </c>
      <c r="W575" s="45" t="s">
        <v>4471</v>
      </c>
    </row>
    <row r="576" spans="1:23" hidden="1">
      <c r="A576" s="2">
        <v>45905</v>
      </c>
      <c r="B576" s="1" t="s">
        <v>4472</v>
      </c>
      <c r="C576" s="1" t="s">
        <v>2574</v>
      </c>
      <c r="D576" s="1" t="s">
        <v>2439</v>
      </c>
      <c r="E576" s="1">
        <v>85028</v>
      </c>
      <c r="F576" s="1" t="s">
        <v>2730</v>
      </c>
      <c r="G576" s="1" t="s">
        <v>4464</v>
      </c>
      <c r="H576" s="4" t="s">
        <v>167</v>
      </c>
      <c r="I576" s="5" t="s">
        <v>2597</v>
      </c>
      <c r="J576" s="5" t="s">
        <v>24</v>
      </c>
      <c r="K576" s="5" t="s">
        <v>24</v>
      </c>
      <c r="L576" s="7" t="s">
        <v>4473</v>
      </c>
      <c r="M576" s="5" t="s">
        <v>24</v>
      </c>
      <c r="N576" s="5" t="s">
        <v>24</v>
      </c>
      <c r="O576" s="5" t="s">
        <v>75</v>
      </c>
      <c r="P576" s="2">
        <v>45936</v>
      </c>
      <c r="Q576" s="2">
        <v>45966</v>
      </c>
      <c r="R576" s="1" t="s">
        <v>4474</v>
      </c>
      <c r="V576" s="45">
        <f t="shared" si="8"/>
        <v>1</v>
      </c>
      <c r="W576" s="45" t="s">
        <v>4475</v>
      </c>
    </row>
    <row r="577" spans="1:23" hidden="1">
      <c r="A577" s="2">
        <v>45905</v>
      </c>
      <c r="B577" s="1" t="s">
        <v>4476</v>
      </c>
      <c r="C577" s="1" t="s">
        <v>2754</v>
      </c>
      <c r="D577" s="1" t="s">
        <v>2439</v>
      </c>
      <c r="E577" s="1">
        <v>85008</v>
      </c>
      <c r="F577" s="1" t="s">
        <v>2730</v>
      </c>
      <c r="G577" s="1" t="s">
        <v>4464</v>
      </c>
      <c r="H577" s="4" t="s">
        <v>26</v>
      </c>
      <c r="I577" s="5" t="s">
        <v>2412</v>
      </c>
      <c r="J577" s="5" t="s">
        <v>75</v>
      </c>
      <c r="K577" s="5" t="s">
        <v>24</v>
      </c>
      <c r="L577" s="5" t="s">
        <v>4477</v>
      </c>
      <c r="M577" s="5" t="s">
        <v>75</v>
      </c>
      <c r="N577" s="15">
        <v>487.48</v>
      </c>
      <c r="O577" s="5" t="s">
        <v>75</v>
      </c>
      <c r="P577" s="7"/>
      <c r="Q577" s="2">
        <v>45966</v>
      </c>
      <c r="R577" s="1" t="s">
        <v>2938</v>
      </c>
      <c r="V577" s="45">
        <f t="shared" si="8"/>
        <v>1</v>
      </c>
      <c r="W577" s="45" t="s">
        <v>4478</v>
      </c>
    </row>
    <row r="578" spans="1:23" hidden="1">
      <c r="A578" s="2">
        <v>45905</v>
      </c>
      <c r="B578" s="1" t="s">
        <v>4479</v>
      </c>
      <c r="C578" s="1" t="s">
        <v>4480</v>
      </c>
      <c r="D578" s="1" t="s">
        <v>2513</v>
      </c>
      <c r="E578" s="1">
        <v>85260</v>
      </c>
      <c r="F578" s="1" t="s">
        <v>2730</v>
      </c>
      <c r="G578" s="1" t="s">
        <v>4464</v>
      </c>
      <c r="H578" s="4" t="s">
        <v>169</v>
      </c>
      <c r="I578" s="5" t="s">
        <v>2597</v>
      </c>
      <c r="J578" s="5" t="s">
        <v>24</v>
      </c>
      <c r="K578" s="5" t="s">
        <v>24</v>
      </c>
      <c r="L578" s="5" t="s">
        <v>4481</v>
      </c>
      <c r="M578" s="5" t="s">
        <v>24</v>
      </c>
      <c r="N578" s="5" t="s">
        <v>24</v>
      </c>
      <c r="O578" s="5" t="s">
        <v>75</v>
      </c>
      <c r="P578" s="5" t="s">
        <v>2413</v>
      </c>
      <c r="Q578" s="2">
        <v>45966</v>
      </c>
      <c r="V578" s="45">
        <f t="shared" ref="V578:V641" si="9">IF(OR(ISNUMBER(SEARCH("unable to locate acct",G578)),ISNUMBER(SEARCH("unknown",G578)),ISNUMBER(SEARCH("inactive",G578)),H578=""),0,1)</f>
        <v>1</v>
      </c>
      <c r="W578" s="45" t="s">
        <v>4482</v>
      </c>
    </row>
    <row r="579" spans="1:23" hidden="1">
      <c r="A579" s="2">
        <v>45905</v>
      </c>
      <c r="B579" s="1" t="s">
        <v>4483</v>
      </c>
      <c r="C579" s="1" t="s">
        <v>4484</v>
      </c>
      <c r="D579" s="1" t="s">
        <v>2439</v>
      </c>
      <c r="E579" s="1">
        <v>85013</v>
      </c>
      <c r="F579" s="1" t="s">
        <v>4485</v>
      </c>
      <c r="G579" s="1" t="s">
        <v>4464</v>
      </c>
      <c r="H579" s="4" t="s">
        <v>1026</v>
      </c>
      <c r="I579" s="5" t="s">
        <v>2412</v>
      </c>
      <c r="J579" s="5" t="s">
        <v>24</v>
      </c>
      <c r="K579" s="5" t="s">
        <v>24</v>
      </c>
      <c r="L579" s="5" t="s">
        <v>75</v>
      </c>
      <c r="M579" s="5" t="s">
        <v>24</v>
      </c>
      <c r="N579" s="5" t="s">
        <v>24</v>
      </c>
      <c r="O579" s="5" t="s">
        <v>75</v>
      </c>
      <c r="P579" s="5" t="s">
        <v>2413</v>
      </c>
      <c r="Q579" s="2">
        <v>45966</v>
      </c>
      <c r="V579" s="45">
        <f t="shared" si="9"/>
        <v>1</v>
      </c>
      <c r="W579" s="45" t="s">
        <v>4486</v>
      </c>
    </row>
    <row r="580" spans="1:23" hidden="1">
      <c r="A580" s="2">
        <v>45905</v>
      </c>
      <c r="B580" s="1" t="s">
        <v>4487</v>
      </c>
      <c r="C580" s="1" t="s">
        <v>4488</v>
      </c>
      <c r="D580" s="1" t="s">
        <v>3090</v>
      </c>
      <c r="E580" s="1">
        <v>85281</v>
      </c>
      <c r="F580" s="1" t="s">
        <v>2730</v>
      </c>
      <c r="G580" s="1" t="s">
        <v>4464</v>
      </c>
      <c r="H580" s="4" t="s">
        <v>172</v>
      </c>
      <c r="I580" s="5" t="s">
        <v>2597</v>
      </c>
      <c r="J580" s="5" t="s">
        <v>24</v>
      </c>
      <c r="K580" s="5" t="s">
        <v>24</v>
      </c>
      <c r="L580" s="5" t="s">
        <v>4489</v>
      </c>
      <c r="M580" s="5" t="s">
        <v>24</v>
      </c>
      <c r="N580" s="5" t="s">
        <v>24</v>
      </c>
      <c r="O580" s="5" t="s">
        <v>75</v>
      </c>
      <c r="P580" s="5" t="s">
        <v>2413</v>
      </c>
      <c r="Q580" s="2">
        <v>45966</v>
      </c>
      <c r="V580" s="45">
        <f t="shared" si="9"/>
        <v>1</v>
      </c>
      <c r="W580" s="45" t="s">
        <v>4490</v>
      </c>
    </row>
    <row r="581" spans="1:23" hidden="1">
      <c r="A581" s="2">
        <v>45905</v>
      </c>
      <c r="B581" s="1" t="s">
        <v>4491</v>
      </c>
      <c r="C581" s="1" t="s">
        <v>4492</v>
      </c>
      <c r="D581" s="1" t="s">
        <v>2439</v>
      </c>
      <c r="E581" s="1">
        <v>85083</v>
      </c>
      <c r="F581" s="1" t="s">
        <v>2406</v>
      </c>
      <c r="G581" s="1" t="s">
        <v>4464</v>
      </c>
      <c r="H581" s="4" t="s">
        <v>1028</v>
      </c>
      <c r="I581" s="5" t="s">
        <v>2659</v>
      </c>
      <c r="J581" s="5" t="s">
        <v>24</v>
      </c>
      <c r="K581" s="5" t="s">
        <v>24</v>
      </c>
      <c r="L581" s="5" t="s">
        <v>75</v>
      </c>
      <c r="M581" s="5" t="s">
        <v>24</v>
      </c>
      <c r="N581" s="5" t="s">
        <v>24</v>
      </c>
      <c r="O581" s="5" t="s">
        <v>75</v>
      </c>
      <c r="P581" s="5" t="s">
        <v>2413</v>
      </c>
      <c r="Q581" s="2">
        <v>45966</v>
      </c>
      <c r="V581" s="45">
        <f t="shared" si="9"/>
        <v>1</v>
      </c>
      <c r="W581" s="45" t="s">
        <v>4493</v>
      </c>
    </row>
    <row r="582" spans="1:23" hidden="1">
      <c r="A582" s="2">
        <v>45905</v>
      </c>
      <c r="B582" s="1" t="s">
        <v>4436</v>
      </c>
      <c r="C582" s="1" t="s">
        <v>3175</v>
      </c>
      <c r="D582" s="1" t="s">
        <v>2439</v>
      </c>
      <c r="E582" s="1">
        <v>85032</v>
      </c>
      <c r="F582" s="1" t="s">
        <v>2730</v>
      </c>
      <c r="G582" s="1" t="s">
        <v>4464</v>
      </c>
      <c r="H582" s="4" t="s">
        <v>1030</v>
      </c>
      <c r="I582" s="5" t="s">
        <v>2597</v>
      </c>
      <c r="J582" s="5" t="s">
        <v>24</v>
      </c>
      <c r="K582" s="5" t="s">
        <v>24</v>
      </c>
      <c r="L582" s="5" t="s">
        <v>75</v>
      </c>
      <c r="M582" s="5" t="s">
        <v>24</v>
      </c>
      <c r="N582" s="5" t="s">
        <v>24</v>
      </c>
      <c r="O582" s="5" t="s">
        <v>75</v>
      </c>
      <c r="P582" s="5" t="s">
        <v>2413</v>
      </c>
      <c r="Q582" s="2">
        <v>45966</v>
      </c>
      <c r="V582" s="45">
        <f t="shared" si="9"/>
        <v>1</v>
      </c>
      <c r="W582" s="45" t="s">
        <v>4494</v>
      </c>
    </row>
    <row r="583" spans="1:23" hidden="1">
      <c r="A583" s="2">
        <v>45905</v>
      </c>
      <c r="B583" s="1" t="s">
        <v>4495</v>
      </c>
      <c r="C583" s="1" t="s">
        <v>4496</v>
      </c>
      <c r="D583" s="1" t="s">
        <v>2564</v>
      </c>
      <c r="E583" s="1">
        <v>85395</v>
      </c>
      <c r="F583" s="1" t="s">
        <v>2399</v>
      </c>
      <c r="G583" s="1" t="s">
        <v>4464</v>
      </c>
      <c r="H583" s="4" t="s">
        <v>2401</v>
      </c>
      <c r="V583" s="45">
        <f t="shared" si="9"/>
        <v>1</v>
      </c>
      <c r="W583" s="45" t="s">
        <v>4497</v>
      </c>
    </row>
    <row r="584" spans="1:23" hidden="1">
      <c r="A584" s="2">
        <v>45905</v>
      </c>
      <c r="B584" s="1" t="s">
        <v>4498</v>
      </c>
      <c r="C584" s="1" t="s">
        <v>4499</v>
      </c>
      <c r="D584" s="1" t="s">
        <v>2498</v>
      </c>
      <c r="E584" s="1">
        <v>85388</v>
      </c>
      <c r="F584" s="1" t="s">
        <v>2730</v>
      </c>
      <c r="G584" s="1" t="s">
        <v>4464</v>
      </c>
      <c r="H584" s="4" t="s">
        <v>1032</v>
      </c>
      <c r="I584" s="5" t="s">
        <v>2412</v>
      </c>
      <c r="J584" s="5" t="s">
        <v>24</v>
      </c>
      <c r="K584" s="5" t="s">
        <v>24</v>
      </c>
      <c r="L584" s="5" t="s">
        <v>75</v>
      </c>
      <c r="M584" s="5" t="s">
        <v>24</v>
      </c>
      <c r="N584" s="5" t="s">
        <v>24</v>
      </c>
      <c r="O584" s="5" t="s">
        <v>75</v>
      </c>
      <c r="P584" s="5" t="s">
        <v>2413</v>
      </c>
      <c r="Q584" s="2">
        <v>45966</v>
      </c>
      <c r="V584" s="45">
        <f t="shared" si="9"/>
        <v>1</v>
      </c>
      <c r="W584" s="45" t="s">
        <v>4500</v>
      </c>
    </row>
    <row r="585" spans="1:23" hidden="1">
      <c r="A585" s="2">
        <v>45905</v>
      </c>
      <c r="B585" s="1" t="s">
        <v>4501</v>
      </c>
      <c r="C585" s="1" t="s">
        <v>4502</v>
      </c>
      <c r="D585" s="1" t="s">
        <v>2605</v>
      </c>
      <c r="E585" s="1">
        <v>85383</v>
      </c>
      <c r="F585" s="1" t="s">
        <v>2730</v>
      </c>
      <c r="G585" s="1" t="s">
        <v>4464</v>
      </c>
      <c r="H585" s="4" t="s">
        <v>2401</v>
      </c>
      <c r="V585" s="45">
        <f t="shared" si="9"/>
        <v>1</v>
      </c>
      <c r="W585" s="45" t="s">
        <v>4503</v>
      </c>
    </row>
    <row r="586" spans="1:23" hidden="1">
      <c r="A586" s="2">
        <v>45905</v>
      </c>
      <c r="B586" s="1" t="s">
        <v>4504</v>
      </c>
      <c r="C586" s="1" t="s">
        <v>4505</v>
      </c>
      <c r="D586" s="1" t="s">
        <v>2518</v>
      </c>
      <c r="E586" s="1">
        <v>85233</v>
      </c>
      <c r="F586" s="1" t="s">
        <v>2406</v>
      </c>
      <c r="G586" s="1" t="s">
        <v>4464</v>
      </c>
      <c r="H586" s="4" t="s">
        <v>1034</v>
      </c>
      <c r="I586" s="5" t="s">
        <v>2412</v>
      </c>
      <c r="J586" s="5" t="s">
        <v>24</v>
      </c>
      <c r="K586" s="5" t="s">
        <v>24</v>
      </c>
      <c r="L586" s="5" t="s">
        <v>75</v>
      </c>
      <c r="M586" s="5" t="s">
        <v>24</v>
      </c>
      <c r="N586" s="5" t="s">
        <v>24</v>
      </c>
      <c r="O586" s="5" t="s">
        <v>75</v>
      </c>
      <c r="P586" s="5" t="s">
        <v>2413</v>
      </c>
      <c r="Q586" s="2">
        <v>45966</v>
      </c>
      <c r="V586" s="45">
        <f t="shared" si="9"/>
        <v>1</v>
      </c>
      <c r="W586" s="45" t="s">
        <v>4506</v>
      </c>
    </row>
    <row r="587" spans="1:23" hidden="1">
      <c r="A587" s="2">
        <v>45905</v>
      </c>
      <c r="B587" s="1" t="s">
        <v>4507</v>
      </c>
      <c r="C587" s="1" t="s">
        <v>3248</v>
      </c>
      <c r="D587" s="1" t="s">
        <v>2439</v>
      </c>
      <c r="E587" s="1">
        <v>85020</v>
      </c>
      <c r="F587" s="1" t="s">
        <v>2730</v>
      </c>
      <c r="G587" s="1" t="s">
        <v>4464</v>
      </c>
      <c r="H587" s="4" t="s">
        <v>175</v>
      </c>
      <c r="I587" s="5" t="s">
        <v>2597</v>
      </c>
      <c r="J587" s="5" t="s">
        <v>24</v>
      </c>
      <c r="K587" s="5" t="s">
        <v>24</v>
      </c>
      <c r="L587" s="5" t="s">
        <v>4508</v>
      </c>
      <c r="M587" s="5" t="s">
        <v>24</v>
      </c>
      <c r="N587" s="5" t="s">
        <v>24</v>
      </c>
      <c r="O587" s="5" t="s">
        <v>75</v>
      </c>
      <c r="P587" s="5" t="s">
        <v>2413</v>
      </c>
      <c r="Q587" s="2">
        <v>45966</v>
      </c>
      <c r="V587" s="45">
        <f t="shared" si="9"/>
        <v>1</v>
      </c>
      <c r="W587" s="45" t="s">
        <v>4509</v>
      </c>
    </row>
    <row r="588" spans="1:23" hidden="1">
      <c r="A588" s="2">
        <v>45905</v>
      </c>
      <c r="B588" s="1" t="s">
        <v>4510</v>
      </c>
      <c r="C588" s="1" t="s">
        <v>2417</v>
      </c>
      <c r="D588" s="1" t="s">
        <v>2564</v>
      </c>
      <c r="E588" s="1">
        <v>85338</v>
      </c>
      <c r="F588" s="1" t="s">
        <v>2406</v>
      </c>
      <c r="G588" s="1" t="s">
        <v>4464</v>
      </c>
      <c r="H588" s="4" t="s">
        <v>2613</v>
      </c>
      <c r="V588" s="45">
        <f t="shared" si="9"/>
        <v>1</v>
      </c>
      <c r="W588" s="45" t="s">
        <v>4511</v>
      </c>
    </row>
    <row r="589" spans="1:23" hidden="1">
      <c r="A589" s="2">
        <v>45905</v>
      </c>
      <c r="B589" s="1" t="s">
        <v>4512</v>
      </c>
      <c r="C589" s="1" t="s">
        <v>3000</v>
      </c>
      <c r="D589" s="1" t="s">
        <v>2498</v>
      </c>
      <c r="E589" s="1">
        <v>85387</v>
      </c>
      <c r="F589" s="1" t="s">
        <v>2730</v>
      </c>
      <c r="G589" s="1" t="s">
        <v>4464</v>
      </c>
      <c r="H589" s="4" t="s">
        <v>177</v>
      </c>
      <c r="I589" s="5" t="s">
        <v>2597</v>
      </c>
      <c r="J589" s="5" t="s">
        <v>24</v>
      </c>
      <c r="K589" s="5" t="s">
        <v>24</v>
      </c>
      <c r="L589" s="7" t="s">
        <v>4513</v>
      </c>
      <c r="M589" s="5" t="s">
        <v>24</v>
      </c>
      <c r="N589" s="5" t="s">
        <v>24</v>
      </c>
      <c r="O589" s="5" t="s">
        <v>75</v>
      </c>
      <c r="P589" s="2">
        <v>45936</v>
      </c>
      <c r="Q589" s="2">
        <v>45966</v>
      </c>
      <c r="R589" s="1" t="s">
        <v>4514</v>
      </c>
      <c r="V589" s="45">
        <f t="shared" si="9"/>
        <v>1</v>
      </c>
      <c r="W589" s="45" t="s">
        <v>4515</v>
      </c>
    </row>
    <row r="590" spans="1:23" hidden="1">
      <c r="A590" s="2">
        <v>45905</v>
      </c>
      <c r="B590" s="1" t="s">
        <v>4516</v>
      </c>
      <c r="C590" s="1" t="s">
        <v>3437</v>
      </c>
      <c r="D590" s="1" t="s">
        <v>2439</v>
      </c>
      <c r="E590" s="1">
        <v>85024</v>
      </c>
      <c r="F590" s="1" t="s">
        <v>2730</v>
      </c>
      <c r="G590" s="1" t="s">
        <v>4464</v>
      </c>
      <c r="H590" s="4" t="s">
        <v>1036</v>
      </c>
      <c r="I590" s="5" t="s">
        <v>2412</v>
      </c>
      <c r="J590" s="5" t="s">
        <v>24</v>
      </c>
      <c r="K590" s="5" t="s">
        <v>24</v>
      </c>
      <c r="L590" s="5" t="s">
        <v>75</v>
      </c>
      <c r="M590" s="5" t="s">
        <v>24</v>
      </c>
      <c r="N590" s="5" t="s">
        <v>24</v>
      </c>
      <c r="O590" s="5" t="s">
        <v>75</v>
      </c>
      <c r="P590" s="5" t="s">
        <v>2413</v>
      </c>
      <c r="Q590" s="2">
        <v>45966</v>
      </c>
      <c r="V590" s="45">
        <f t="shared" si="9"/>
        <v>1</v>
      </c>
      <c r="W590" s="45" t="s">
        <v>4517</v>
      </c>
    </row>
    <row r="591" spans="1:23" hidden="1">
      <c r="A591" s="2">
        <v>45905</v>
      </c>
      <c r="B591" s="1" t="s">
        <v>4518</v>
      </c>
      <c r="C591" s="1" t="s">
        <v>3050</v>
      </c>
      <c r="D591" s="1" t="s">
        <v>2969</v>
      </c>
      <c r="E591" s="1">
        <v>85392</v>
      </c>
      <c r="F591" s="1" t="s">
        <v>2406</v>
      </c>
      <c r="G591" s="1" t="s">
        <v>4464</v>
      </c>
      <c r="H591" s="21" t="s">
        <v>4519</v>
      </c>
      <c r="I591" s="5" t="s">
        <v>2597</v>
      </c>
      <c r="J591" s="5" t="s">
        <v>24</v>
      </c>
      <c r="K591" s="5" t="s">
        <v>24</v>
      </c>
      <c r="L591" s="7" t="s">
        <v>4520</v>
      </c>
      <c r="M591" s="5" t="s">
        <v>24</v>
      </c>
      <c r="N591" s="5" t="s">
        <v>24</v>
      </c>
      <c r="O591" s="5" t="s">
        <v>75</v>
      </c>
      <c r="P591" s="2">
        <v>45936</v>
      </c>
      <c r="Q591" s="2">
        <v>45966</v>
      </c>
      <c r="R591" s="1" t="s">
        <v>4474</v>
      </c>
      <c r="V591" s="45">
        <f t="shared" si="9"/>
        <v>1</v>
      </c>
      <c r="W591" s="45" t="s">
        <v>4521</v>
      </c>
    </row>
    <row r="592" spans="1:23" hidden="1">
      <c r="A592" s="2">
        <v>45905</v>
      </c>
      <c r="B592" s="1" t="s">
        <v>4522</v>
      </c>
      <c r="C592" s="1" t="s">
        <v>3423</v>
      </c>
      <c r="D592" s="1" t="s">
        <v>2439</v>
      </c>
      <c r="E592" s="1">
        <v>85085</v>
      </c>
      <c r="F592" s="1" t="s">
        <v>2730</v>
      </c>
      <c r="G592" s="1" t="s">
        <v>4464</v>
      </c>
      <c r="H592" s="4" t="s">
        <v>2401</v>
      </c>
      <c r="V592" s="45">
        <f t="shared" si="9"/>
        <v>1</v>
      </c>
      <c r="W592" s="45" t="s">
        <v>4523</v>
      </c>
    </row>
    <row r="593" spans="1:23" hidden="1">
      <c r="A593" s="2">
        <v>45905</v>
      </c>
      <c r="B593" s="1" t="s">
        <v>4524</v>
      </c>
      <c r="C593" s="1" t="s">
        <v>3310</v>
      </c>
      <c r="D593" s="1" t="s">
        <v>2564</v>
      </c>
      <c r="E593" s="1">
        <v>85338</v>
      </c>
      <c r="F593" s="1" t="s">
        <v>4525</v>
      </c>
      <c r="G593" s="1" t="s">
        <v>4464</v>
      </c>
      <c r="H593" s="4" t="s">
        <v>1038</v>
      </c>
      <c r="I593" s="5" t="s">
        <v>2412</v>
      </c>
      <c r="J593" s="5" t="s">
        <v>24</v>
      </c>
      <c r="K593" s="5" t="s">
        <v>24</v>
      </c>
      <c r="L593" s="5" t="s">
        <v>75</v>
      </c>
      <c r="M593" s="5" t="s">
        <v>24</v>
      </c>
      <c r="N593" s="5" t="s">
        <v>24</v>
      </c>
      <c r="O593" s="5" t="s">
        <v>75</v>
      </c>
      <c r="P593" s="5" t="s">
        <v>2413</v>
      </c>
      <c r="Q593" s="2">
        <v>45966</v>
      </c>
      <c r="V593" s="45">
        <f t="shared" si="9"/>
        <v>1</v>
      </c>
      <c r="W593" s="125" t="s">
        <v>4526</v>
      </c>
    </row>
    <row r="594" spans="1:23" hidden="1">
      <c r="A594" s="2">
        <v>45905</v>
      </c>
      <c r="B594" s="1" t="s">
        <v>4527</v>
      </c>
      <c r="C594" s="1" t="s">
        <v>4528</v>
      </c>
      <c r="D594" s="1" t="s">
        <v>2564</v>
      </c>
      <c r="E594" s="1">
        <v>85338</v>
      </c>
      <c r="F594" s="1" t="s">
        <v>4245</v>
      </c>
      <c r="G594" s="1" t="s">
        <v>4464</v>
      </c>
      <c r="H594" s="4" t="s">
        <v>1040</v>
      </c>
      <c r="I594" s="5" t="s">
        <v>2848</v>
      </c>
      <c r="J594" s="5" t="s">
        <v>24</v>
      </c>
      <c r="K594" s="5" t="s">
        <v>24</v>
      </c>
      <c r="L594" s="5" t="s">
        <v>2819</v>
      </c>
      <c r="M594" s="5" t="s">
        <v>24</v>
      </c>
      <c r="N594" s="5" t="s">
        <v>24</v>
      </c>
      <c r="O594" s="5" t="s">
        <v>75</v>
      </c>
      <c r="P594" s="5" t="s">
        <v>2413</v>
      </c>
      <c r="Q594" s="2">
        <v>45966</v>
      </c>
      <c r="V594" s="45">
        <f t="shared" si="9"/>
        <v>1</v>
      </c>
      <c r="W594" s="125" t="s">
        <v>4529</v>
      </c>
    </row>
    <row r="595" spans="1:23" hidden="1">
      <c r="A595" s="2">
        <v>45905</v>
      </c>
      <c r="B595" s="1" t="s">
        <v>4530</v>
      </c>
      <c r="C595" s="1" t="s">
        <v>4269</v>
      </c>
      <c r="D595" s="1" t="s">
        <v>2800</v>
      </c>
      <c r="E595" s="1">
        <v>85225</v>
      </c>
      <c r="F595" s="1" t="s">
        <v>2730</v>
      </c>
      <c r="G595" s="1" t="s">
        <v>4464</v>
      </c>
      <c r="H595" s="21" t="s">
        <v>179</v>
      </c>
      <c r="I595" s="5" t="s">
        <v>2412</v>
      </c>
      <c r="J595" s="5" t="s">
        <v>75</v>
      </c>
      <c r="K595" s="5" t="s">
        <v>24</v>
      </c>
      <c r="L595" s="5" t="s">
        <v>4531</v>
      </c>
      <c r="M595" s="5" t="s">
        <v>24</v>
      </c>
      <c r="N595" s="5" t="s">
        <v>24</v>
      </c>
      <c r="O595" s="5" t="s">
        <v>75</v>
      </c>
      <c r="P595" s="5" t="s">
        <v>2413</v>
      </c>
      <c r="Q595" s="2">
        <v>45966</v>
      </c>
      <c r="V595" s="45">
        <f t="shared" si="9"/>
        <v>1</v>
      </c>
      <c r="W595" s="45" t="s">
        <v>4532</v>
      </c>
    </row>
    <row r="596" spans="1:23" hidden="1">
      <c r="A596" s="2">
        <v>45905</v>
      </c>
      <c r="B596" s="1" t="s">
        <v>3391</v>
      </c>
      <c r="C596" s="1" t="s">
        <v>4533</v>
      </c>
      <c r="D596" s="1" t="s">
        <v>2439</v>
      </c>
      <c r="E596" s="1">
        <v>85029</v>
      </c>
      <c r="F596" s="1" t="s">
        <v>2406</v>
      </c>
      <c r="G596" s="1" t="s">
        <v>4464</v>
      </c>
      <c r="H596" s="4" t="s">
        <v>2401</v>
      </c>
      <c r="V596" s="45">
        <f t="shared" si="9"/>
        <v>1</v>
      </c>
      <c r="W596" s="45" t="s">
        <v>4534</v>
      </c>
    </row>
    <row r="597" spans="1:23" hidden="1">
      <c r="A597" s="2">
        <v>45905</v>
      </c>
      <c r="B597" s="1" t="s">
        <v>4436</v>
      </c>
      <c r="C597" s="1" t="s">
        <v>4113</v>
      </c>
      <c r="D597" s="1" t="s">
        <v>2513</v>
      </c>
      <c r="E597" s="1">
        <v>85254</v>
      </c>
      <c r="F597" s="1" t="s">
        <v>2730</v>
      </c>
      <c r="G597" s="1" t="s">
        <v>4464</v>
      </c>
      <c r="H597" s="21" t="s">
        <v>4535</v>
      </c>
      <c r="I597" s="5" t="s">
        <v>2412</v>
      </c>
      <c r="J597" s="5" t="s">
        <v>24</v>
      </c>
      <c r="K597" s="5" t="s">
        <v>24</v>
      </c>
      <c r="L597" s="5" t="s">
        <v>75</v>
      </c>
      <c r="M597" s="5" t="s">
        <v>24</v>
      </c>
      <c r="N597" s="5" t="s">
        <v>24</v>
      </c>
      <c r="O597" s="5" t="s">
        <v>75</v>
      </c>
      <c r="P597" s="5" t="s">
        <v>2413</v>
      </c>
      <c r="Q597" s="2">
        <v>45966</v>
      </c>
      <c r="V597" s="45">
        <f t="shared" si="9"/>
        <v>1</v>
      </c>
      <c r="W597" s="45" t="s">
        <v>4536</v>
      </c>
    </row>
    <row r="598" spans="1:23" hidden="1">
      <c r="A598" s="2">
        <v>45905</v>
      </c>
      <c r="B598" s="1" t="s">
        <v>4537</v>
      </c>
      <c r="C598" s="1" t="s">
        <v>2935</v>
      </c>
      <c r="D598" s="1" t="s">
        <v>2564</v>
      </c>
      <c r="E598" s="1">
        <v>85395</v>
      </c>
      <c r="F598" s="1" t="s">
        <v>2406</v>
      </c>
      <c r="G598" s="1" t="s">
        <v>4464</v>
      </c>
      <c r="H598" s="4" t="s">
        <v>1042</v>
      </c>
      <c r="I598" s="5" t="s">
        <v>2451</v>
      </c>
      <c r="J598" s="5" t="s">
        <v>24</v>
      </c>
      <c r="K598" s="5" t="s">
        <v>24</v>
      </c>
      <c r="L598" s="5" t="s">
        <v>75</v>
      </c>
      <c r="M598" s="5" t="s">
        <v>24</v>
      </c>
      <c r="N598" s="5" t="s">
        <v>24</v>
      </c>
      <c r="O598" s="5" t="s">
        <v>75</v>
      </c>
      <c r="P598" s="5" t="s">
        <v>2413</v>
      </c>
      <c r="Q598" s="2">
        <v>45966</v>
      </c>
      <c r="V598" s="45">
        <f t="shared" si="9"/>
        <v>1</v>
      </c>
      <c r="W598" s="45" t="s">
        <v>4538</v>
      </c>
    </row>
    <row r="599" spans="1:23" hidden="1">
      <c r="A599" s="2">
        <v>45905</v>
      </c>
      <c r="B599" s="1" t="s">
        <v>4539</v>
      </c>
      <c r="C599" s="1" t="s">
        <v>3490</v>
      </c>
      <c r="D599" s="1" t="s">
        <v>2439</v>
      </c>
      <c r="E599" s="1">
        <v>85028</v>
      </c>
      <c r="F599" s="1" t="s">
        <v>4540</v>
      </c>
      <c r="G599" s="1" t="s">
        <v>4464</v>
      </c>
      <c r="H599" s="4" t="s">
        <v>623</v>
      </c>
      <c r="I599" s="5" t="s">
        <v>2412</v>
      </c>
      <c r="J599" s="5" t="s">
        <v>75</v>
      </c>
      <c r="K599" s="5" t="s">
        <v>24</v>
      </c>
      <c r="L599" s="5" t="s">
        <v>75</v>
      </c>
      <c r="M599" s="5" t="s">
        <v>75</v>
      </c>
      <c r="N599" s="15">
        <v>414.43</v>
      </c>
      <c r="O599" s="5" t="s">
        <v>75</v>
      </c>
      <c r="P599" s="7"/>
      <c r="Q599" s="2">
        <v>45966</v>
      </c>
      <c r="R599" s="1" t="s">
        <v>2938</v>
      </c>
      <c r="V599" s="45">
        <f t="shared" si="9"/>
        <v>1</v>
      </c>
      <c r="W599" s="45" t="s">
        <v>4541</v>
      </c>
    </row>
    <row r="600" spans="1:23" hidden="1">
      <c r="A600" s="2">
        <v>45905</v>
      </c>
      <c r="B600" s="1" t="s">
        <v>4542</v>
      </c>
      <c r="C600" s="1" t="s">
        <v>4543</v>
      </c>
      <c r="D600" s="1" t="s">
        <v>2564</v>
      </c>
      <c r="E600" s="1">
        <v>85395</v>
      </c>
      <c r="F600" s="1" t="s">
        <v>4544</v>
      </c>
      <c r="G600" s="1" t="s">
        <v>4464</v>
      </c>
      <c r="H600" s="4" t="s">
        <v>1044</v>
      </c>
      <c r="I600" s="5" t="s">
        <v>2597</v>
      </c>
      <c r="J600" s="5" t="s">
        <v>24</v>
      </c>
      <c r="K600" s="5" t="s">
        <v>24</v>
      </c>
      <c r="L600" s="5" t="s">
        <v>75</v>
      </c>
      <c r="M600" s="5" t="s">
        <v>24</v>
      </c>
      <c r="N600" s="5" t="s">
        <v>24</v>
      </c>
      <c r="O600" s="5" t="s">
        <v>75</v>
      </c>
      <c r="P600" s="5" t="s">
        <v>2413</v>
      </c>
      <c r="Q600" s="2">
        <v>45966</v>
      </c>
      <c r="V600" s="45">
        <f t="shared" si="9"/>
        <v>1</v>
      </c>
      <c r="W600" s="45" t="s">
        <v>4545</v>
      </c>
    </row>
    <row r="601" spans="1:23" hidden="1">
      <c r="A601" s="2">
        <v>45905</v>
      </c>
      <c r="B601" s="1" t="s">
        <v>4546</v>
      </c>
      <c r="C601" s="1" t="s">
        <v>4547</v>
      </c>
      <c r="D601" s="1" t="s">
        <v>2439</v>
      </c>
      <c r="E601" s="1">
        <v>85032</v>
      </c>
      <c r="F601" s="1" t="s">
        <v>2730</v>
      </c>
      <c r="G601" s="1" t="s">
        <v>4464</v>
      </c>
      <c r="H601" s="4" t="s">
        <v>1046</v>
      </c>
      <c r="I601" s="5" t="s">
        <v>2412</v>
      </c>
      <c r="J601" s="5" t="s">
        <v>24</v>
      </c>
      <c r="K601" s="5" t="s">
        <v>24</v>
      </c>
      <c r="L601" s="5" t="s">
        <v>75</v>
      </c>
      <c r="M601" s="5" t="s">
        <v>24</v>
      </c>
      <c r="N601" s="5" t="s">
        <v>24</v>
      </c>
      <c r="O601" s="5" t="s">
        <v>75</v>
      </c>
      <c r="P601" s="5" t="s">
        <v>2413</v>
      </c>
      <c r="Q601" s="2">
        <v>45966</v>
      </c>
      <c r="V601" s="45">
        <f t="shared" si="9"/>
        <v>1</v>
      </c>
      <c r="W601" s="45" t="s">
        <v>4548</v>
      </c>
    </row>
    <row r="602" spans="1:23" hidden="1">
      <c r="A602" s="2">
        <v>45905</v>
      </c>
      <c r="B602" s="1" t="s">
        <v>4549</v>
      </c>
      <c r="C602" s="1" t="s">
        <v>3157</v>
      </c>
      <c r="D602" s="1" t="s">
        <v>2564</v>
      </c>
      <c r="E602" s="1">
        <v>85395</v>
      </c>
      <c r="F602" s="1" t="s">
        <v>2406</v>
      </c>
      <c r="G602" s="1" t="s">
        <v>4464</v>
      </c>
      <c r="H602" s="4" t="s">
        <v>1048</v>
      </c>
      <c r="I602" s="5" t="s">
        <v>2412</v>
      </c>
      <c r="J602" s="5" t="s">
        <v>24</v>
      </c>
      <c r="K602" s="5" t="s">
        <v>24</v>
      </c>
      <c r="L602" s="5" t="s">
        <v>75</v>
      </c>
      <c r="M602" s="5" t="s">
        <v>24</v>
      </c>
      <c r="N602" s="5" t="s">
        <v>24</v>
      </c>
      <c r="O602" s="5" t="s">
        <v>75</v>
      </c>
      <c r="P602" s="5" t="s">
        <v>2413</v>
      </c>
      <c r="Q602" s="2">
        <v>45966</v>
      </c>
      <c r="V602" s="45">
        <f t="shared" si="9"/>
        <v>1</v>
      </c>
      <c r="W602" s="45" t="s">
        <v>4550</v>
      </c>
    </row>
    <row r="603" spans="1:23" hidden="1">
      <c r="A603" s="2">
        <v>45905</v>
      </c>
      <c r="B603" s="1" t="s">
        <v>3151</v>
      </c>
      <c r="C603" s="1" t="s">
        <v>2656</v>
      </c>
      <c r="D603" s="1" t="s">
        <v>2564</v>
      </c>
      <c r="E603" s="1">
        <v>85395</v>
      </c>
      <c r="F603" s="1" t="s">
        <v>2406</v>
      </c>
      <c r="G603" s="1" t="s">
        <v>4464</v>
      </c>
      <c r="H603" s="4" t="s">
        <v>2613</v>
      </c>
      <c r="V603" s="45">
        <f t="shared" si="9"/>
        <v>1</v>
      </c>
      <c r="W603" s="45" t="s">
        <v>4551</v>
      </c>
    </row>
    <row r="604" spans="1:23" hidden="1">
      <c r="A604" s="2">
        <v>45905</v>
      </c>
      <c r="B604" s="1" t="s">
        <v>4552</v>
      </c>
      <c r="C604" s="1" t="s">
        <v>4553</v>
      </c>
      <c r="D604" s="1" t="s">
        <v>2439</v>
      </c>
      <c r="E604" s="1">
        <v>85024</v>
      </c>
      <c r="F604" s="1" t="s">
        <v>2730</v>
      </c>
      <c r="G604" s="1" t="s">
        <v>4464</v>
      </c>
      <c r="H604" s="4" t="s">
        <v>2401</v>
      </c>
      <c r="V604" s="45">
        <f t="shared" si="9"/>
        <v>1</v>
      </c>
      <c r="W604" s="45" t="s">
        <v>4554</v>
      </c>
    </row>
    <row r="605" spans="1:23" hidden="1">
      <c r="A605" s="2">
        <v>45905</v>
      </c>
      <c r="B605" s="1" t="s">
        <v>4555</v>
      </c>
      <c r="C605" s="1" t="s">
        <v>4556</v>
      </c>
      <c r="D605" s="1" t="s">
        <v>2513</v>
      </c>
      <c r="E605" s="1">
        <v>85254</v>
      </c>
      <c r="F605" s="1" t="s">
        <v>2406</v>
      </c>
      <c r="G605" s="1" t="s">
        <v>4464</v>
      </c>
      <c r="H605" s="4" t="s">
        <v>1050</v>
      </c>
      <c r="I605" s="5" t="s">
        <v>2412</v>
      </c>
      <c r="J605" s="5" t="s">
        <v>24</v>
      </c>
      <c r="K605" s="5" t="s">
        <v>24</v>
      </c>
      <c r="L605" s="5" t="s">
        <v>75</v>
      </c>
      <c r="M605" s="5" t="s">
        <v>24</v>
      </c>
      <c r="N605" s="5" t="s">
        <v>24</v>
      </c>
      <c r="O605" s="5" t="s">
        <v>75</v>
      </c>
      <c r="P605" s="5" t="s">
        <v>2413</v>
      </c>
      <c r="Q605" s="2">
        <v>45966</v>
      </c>
      <c r="V605" s="45">
        <f t="shared" si="9"/>
        <v>1</v>
      </c>
      <c r="W605" s="45" t="s">
        <v>4557</v>
      </c>
    </row>
    <row r="606" spans="1:23" hidden="1">
      <c r="A606" s="2">
        <v>45905</v>
      </c>
      <c r="B606" s="1" t="s">
        <v>3057</v>
      </c>
      <c r="C606" s="1" t="s">
        <v>4558</v>
      </c>
      <c r="D606" s="1" t="s">
        <v>2564</v>
      </c>
      <c r="E606" s="1">
        <v>85395</v>
      </c>
      <c r="F606" s="1" t="s">
        <v>2406</v>
      </c>
      <c r="G606" s="1" t="s">
        <v>4464</v>
      </c>
      <c r="H606" s="4" t="s">
        <v>1052</v>
      </c>
      <c r="I606" s="5" t="s">
        <v>2460</v>
      </c>
      <c r="J606" s="5" t="s">
        <v>24</v>
      </c>
      <c r="K606" s="5" t="s">
        <v>24</v>
      </c>
      <c r="L606" s="5" t="s">
        <v>2819</v>
      </c>
      <c r="M606" s="5" t="s">
        <v>24</v>
      </c>
      <c r="N606" s="5" t="s">
        <v>24</v>
      </c>
      <c r="O606" s="5" t="s">
        <v>75</v>
      </c>
      <c r="P606" s="5" t="s">
        <v>2413</v>
      </c>
      <c r="Q606" s="2">
        <v>45966</v>
      </c>
      <c r="V606" s="45">
        <f t="shared" si="9"/>
        <v>1</v>
      </c>
      <c r="W606" s="125" t="s">
        <v>4559</v>
      </c>
    </row>
    <row r="607" spans="1:23" hidden="1">
      <c r="A607" s="2">
        <v>45905</v>
      </c>
      <c r="B607" s="1" t="s">
        <v>4560</v>
      </c>
      <c r="C607" s="1" t="s">
        <v>4561</v>
      </c>
      <c r="D607" s="1" t="s">
        <v>2513</v>
      </c>
      <c r="E607" s="1">
        <v>85255</v>
      </c>
      <c r="F607" s="1" t="s">
        <v>2406</v>
      </c>
      <c r="G607" s="1" t="s">
        <v>4464</v>
      </c>
      <c r="H607" s="4" t="s">
        <v>1054</v>
      </c>
      <c r="I607" s="5" t="s">
        <v>2412</v>
      </c>
      <c r="J607" s="5" t="s">
        <v>24</v>
      </c>
      <c r="K607" s="5" t="s">
        <v>24</v>
      </c>
      <c r="L607" s="5" t="s">
        <v>75</v>
      </c>
      <c r="M607" s="5" t="s">
        <v>24</v>
      </c>
      <c r="N607" s="5" t="s">
        <v>24</v>
      </c>
      <c r="O607" s="5" t="s">
        <v>75</v>
      </c>
      <c r="P607" s="5" t="s">
        <v>2413</v>
      </c>
      <c r="Q607" s="2">
        <v>45966</v>
      </c>
      <c r="V607" s="45">
        <f t="shared" si="9"/>
        <v>1</v>
      </c>
      <c r="W607" s="45" t="s">
        <v>4562</v>
      </c>
    </row>
    <row r="608" spans="1:23" hidden="1">
      <c r="A608" s="2">
        <v>45905</v>
      </c>
      <c r="B608" s="1" t="s">
        <v>4563</v>
      </c>
      <c r="C608" s="1" t="s">
        <v>3207</v>
      </c>
      <c r="D608" s="1" t="s">
        <v>2439</v>
      </c>
      <c r="E608" s="1">
        <v>85054</v>
      </c>
      <c r="F608" s="1" t="s">
        <v>2730</v>
      </c>
      <c r="G608" s="1" t="s">
        <v>4464</v>
      </c>
      <c r="H608" s="4" t="s">
        <v>2401</v>
      </c>
      <c r="V608" s="45">
        <f t="shared" si="9"/>
        <v>1</v>
      </c>
      <c r="W608" s="45" t="s">
        <v>4564</v>
      </c>
    </row>
    <row r="609" spans="1:23" hidden="1">
      <c r="A609" s="2">
        <v>45905</v>
      </c>
      <c r="B609" s="1" t="s">
        <v>4565</v>
      </c>
      <c r="C609" s="1" t="s">
        <v>4566</v>
      </c>
      <c r="D609" s="1" t="s">
        <v>2439</v>
      </c>
      <c r="E609" s="1">
        <v>85018</v>
      </c>
      <c r="F609" s="1" t="s">
        <v>2730</v>
      </c>
      <c r="G609" s="1" t="s">
        <v>4464</v>
      </c>
      <c r="H609" s="4" t="s">
        <v>1056</v>
      </c>
      <c r="I609" s="5" t="s">
        <v>2412</v>
      </c>
      <c r="J609" s="5" t="s">
        <v>24</v>
      </c>
      <c r="K609" s="5" t="s">
        <v>24</v>
      </c>
      <c r="L609" s="5" t="s">
        <v>75</v>
      </c>
      <c r="M609" s="5" t="s">
        <v>24</v>
      </c>
      <c r="N609" s="5" t="s">
        <v>24</v>
      </c>
      <c r="O609" s="5" t="s">
        <v>75</v>
      </c>
      <c r="P609" s="5" t="s">
        <v>2413</v>
      </c>
      <c r="Q609" s="2">
        <v>45966</v>
      </c>
      <c r="V609" s="45">
        <f t="shared" si="9"/>
        <v>1</v>
      </c>
      <c r="W609" s="45" t="s">
        <v>4567</v>
      </c>
    </row>
    <row r="610" spans="1:23" hidden="1">
      <c r="A610" s="2">
        <v>45905</v>
      </c>
      <c r="B610" s="1" t="s">
        <v>2787</v>
      </c>
      <c r="C610" s="1" t="s">
        <v>4568</v>
      </c>
      <c r="D610" s="1" t="s">
        <v>2439</v>
      </c>
      <c r="E610" s="1">
        <v>85007</v>
      </c>
      <c r="F610" s="1" t="s">
        <v>2730</v>
      </c>
      <c r="G610" s="1" t="s">
        <v>4464</v>
      </c>
      <c r="H610" s="4" t="s">
        <v>181</v>
      </c>
      <c r="I610" s="5" t="s">
        <v>2597</v>
      </c>
      <c r="J610" s="5" t="s">
        <v>24</v>
      </c>
      <c r="K610" s="5" t="s">
        <v>24</v>
      </c>
      <c r="L610" s="5" t="s">
        <v>4569</v>
      </c>
      <c r="M610" s="5" t="s">
        <v>24</v>
      </c>
      <c r="N610" s="5" t="s">
        <v>24</v>
      </c>
      <c r="O610" s="5" t="s">
        <v>75</v>
      </c>
      <c r="P610" s="5" t="s">
        <v>2413</v>
      </c>
      <c r="Q610" s="2">
        <v>45966</v>
      </c>
      <c r="V610" s="45">
        <f t="shared" si="9"/>
        <v>1</v>
      </c>
      <c r="W610" s="45" t="s">
        <v>4570</v>
      </c>
    </row>
    <row r="611" spans="1:23" hidden="1">
      <c r="A611" s="2">
        <v>45905</v>
      </c>
      <c r="B611" s="1" t="s">
        <v>4571</v>
      </c>
      <c r="C611" s="1" t="s">
        <v>4572</v>
      </c>
      <c r="D611" s="1" t="s">
        <v>3073</v>
      </c>
      <c r="E611" s="1">
        <v>85365</v>
      </c>
      <c r="F611" s="1" t="s">
        <v>2730</v>
      </c>
      <c r="G611" s="1" t="s">
        <v>4464</v>
      </c>
      <c r="H611" s="4" t="s">
        <v>1058</v>
      </c>
      <c r="I611" s="5" t="s">
        <v>2514</v>
      </c>
      <c r="J611" s="5" t="s">
        <v>24</v>
      </c>
      <c r="K611" s="5" t="s">
        <v>24</v>
      </c>
      <c r="L611" s="5" t="s">
        <v>75</v>
      </c>
      <c r="M611" s="5" t="s">
        <v>24</v>
      </c>
      <c r="N611" s="5" t="s">
        <v>24</v>
      </c>
      <c r="O611" s="5" t="s">
        <v>75</v>
      </c>
      <c r="P611" s="5" t="s">
        <v>2413</v>
      </c>
      <c r="Q611" s="2">
        <v>45966</v>
      </c>
      <c r="V611" s="45">
        <f t="shared" si="9"/>
        <v>1</v>
      </c>
      <c r="W611" s="45" t="s">
        <v>4573</v>
      </c>
    </row>
    <row r="612" spans="1:23" hidden="1">
      <c r="A612" s="2">
        <v>45905</v>
      </c>
      <c r="B612" s="1" t="s">
        <v>2612</v>
      </c>
      <c r="C612" s="1" t="s">
        <v>3674</v>
      </c>
      <c r="D612" s="1" t="s">
        <v>2678</v>
      </c>
      <c r="E612" s="1">
        <v>85541</v>
      </c>
      <c r="F612" s="1" t="s">
        <v>2406</v>
      </c>
      <c r="G612" s="1" t="s">
        <v>4464</v>
      </c>
      <c r="H612" s="4" t="s">
        <v>183</v>
      </c>
      <c r="I612" s="5" t="s">
        <v>2597</v>
      </c>
      <c r="J612" s="5" t="s">
        <v>24</v>
      </c>
      <c r="K612" s="5" t="s">
        <v>24</v>
      </c>
      <c r="L612" s="5" t="s">
        <v>4574</v>
      </c>
      <c r="M612" s="5" t="s">
        <v>24</v>
      </c>
      <c r="N612" s="5" t="s">
        <v>24</v>
      </c>
      <c r="O612" s="5" t="s">
        <v>75</v>
      </c>
      <c r="P612" s="5" t="s">
        <v>2413</v>
      </c>
      <c r="Q612" s="2">
        <v>45966</v>
      </c>
      <c r="V612" s="45">
        <f t="shared" si="9"/>
        <v>1</v>
      </c>
      <c r="W612" s="45" t="s">
        <v>4575</v>
      </c>
    </row>
    <row r="613" spans="1:23" hidden="1">
      <c r="A613" s="2">
        <v>45905</v>
      </c>
      <c r="B613" s="1" t="s">
        <v>4576</v>
      </c>
      <c r="C613" s="1" t="s">
        <v>4577</v>
      </c>
      <c r="D613" s="1" t="s">
        <v>2439</v>
      </c>
      <c r="E613" s="1">
        <v>85028</v>
      </c>
      <c r="F613" s="1" t="s">
        <v>2730</v>
      </c>
      <c r="G613" s="1" t="s">
        <v>4464</v>
      </c>
      <c r="H613" s="4" t="s">
        <v>1060</v>
      </c>
      <c r="I613" s="5" t="s">
        <v>2988</v>
      </c>
      <c r="J613" s="5" t="s">
        <v>24</v>
      </c>
      <c r="K613" s="5" t="s">
        <v>24</v>
      </c>
      <c r="L613" s="5" t="s">
        <v>2819</v>
      </c>
      <c r="M613" s="5" t="s">
        <v>24</v>
      </c>
      <c r="N613" s="5" t="s">
        <v>24</v>
      </c>
      <c r="O613" s="5" t="s">
        <v>75</v>
      </c>
      <c r="P613" s="5" t="s">
        <v>2413</v>
      </c>
      <c r="Q613" s="2">
        <v>45966</v>
      </c>
      <c r="V613" s="45">
        <f t="shared" si="9"/>
        <v>1</v>
      </c>
      <c r="W613" s="45" t="s">
        <v>4578</v>
      </c>
    </row>
    <row r="614" spans="1:23" hidden="1">
      <c r="A614" s="2">
        <v>45905</v>
      </c>
      <c r="B614" s="1" t="s">
        <v>4579</v>
      </c>
      <c r="C614" s="1" t="s">
        <v>3434</v>
      </c>
      <c r="D614" s="1" t="s">
        <v>2439</v>
      </c>
      <c r="E614" s="1">
        <v>85083</v>
      </c>
      <c r="F614" s="1" t="s">
        <v>2730</v>
      </c>
      <c r="G614" s="1" t="s">
        <v>4464</v>
      </c>
      <c r="H614" s="4" t="s">
        <v>1062</v>
      </c>
      <c r="I614" s="5" t="s">
        <v>2432</v>
      </c>
      <c r="J614" s="5" t="s">
        <v>24</v>
      </c>
      <c r="K614" s="5" t="s">
        <v>24</v>
      </c>
      <c r="L614" s="5" t="s">
        <v>75</v>
      </c>
      <c r="M614" s="5" t="s">
        <v>24</v>
      </c>
      <c r="N614" s="5" t="s">
        <v>24</v>
      </c>
      <c r="O614" s="5" t="s">
        <v>75</v>
      </c>
      <c r="P614" s="5" t="s">
        <v>2413</v>
      </c>
      <c r="Q614" s="2">
        <v>45966</v>
      </c>
      <c r="V614" s="45">
        <f t="shared" si="9"/>
        <v>1</v>
      </c>
      <c r="W614" s="45" t="s">
        <v>4580</v>
      </c>
    </row>
    <row r="615" spans="1:23" hidden="1">
      <c r="A615" s="2">
        <v>45905</v>
      </c>
      <c r="B615" s="1" t="s">
        <v>4581</v>
      </c>
      <c r="C615" s="1" t="s">
        <v>4582</v>
      </c>
      <c r="D615" s="1" t="s">
        <v>2439</v>
      </c>
      <c r="E615" s="1">
        <v>85032</v>
      </c>
      <c r="F615" s="1" t="s">
        <v>2406</v>
      </c>
      <c r="G615" s="1" t="s">
        <v>4464</v>
      </c>
      <c r="H615" s="21" t="s">
        <v>4583</v>
      </c>
      <c r="I615" s="5" t="s">
        <v>2514</v>
      </c>
      <c r="J615" s="5" t="s">
        <v>24</v>
      </c>
      <c r="K615" s="5" t="s">
        <v>24</v>
      </c>
      <c r="L615" s="5" t="s">
        <v>75</v>
      </c>
      <c r="M615" s="5" t="s">
        <v>24</v>
      </c>
      <c r="N615" s="5" t="s">
        <v>24</v>
      </c>
      <c r="O615" s="5" t="s">
        <v>75</v>
      </c>
      <c r="P615" s="5" t="s">
        <v>2413</v>
      </c>
      <c r="Q615" s="2">
        <v>45966</v>
      </c>
      <c r="V615" s="45">
        <f t="shared" si="9"/>
        <v>1</v>
      </c>
      <c r="W615" s="45" t="s">
        <v>4584</v>
      </c>
    </row>
    <row r="616" spans="1:23" hidden="1">
      <c r="A616" s="2">
        <v>45905</v>
      </c>
      <c r="B616" s="1" t="s">
        <v>4585</v>
      </c>
      <c r="C616" s="1" t="s">
        <v>4586</v>
      </c>
      <c r="D616" s="1" t="s">
        <v>2564</v>
      </c>
      <c r="E616" s="1">
        <v>85395</v>
      </c>
      <c r="F616" s="1" t="s">
        <v>2406</v>
      </c>
      <c r="G616" s="1" t="s">
        <v>4464</v>
      </c>
      <c r="H616" s="21" t="s">
        <v>4587</v>
      </c>
      <c r="I616" s="5" t="s">
        <v>2848</v>
      </c>
      <c r="J616" s="5" t="s">
        <v>24</v>
      </c>
      <c r="K616" s="5" t="s">
        <v>24</v>
      </c>
      <c r="L616" s="5" t="s">
        <v>2819</v>
      </c>
      <c r="M616" s="5" t="s">
        <v>24</v>
      </c>
      <c r="N616" s="5" t="s">
        <v>24</v>
      </c>
      <c r="O616" s="5" t="s">
        <v>75</v>
      </c>
      <c r="P616" s="5" t="s">
        <v>2413</v>
      </c>
      <c r="Q616" s="2">
        <v>45966</v>
      </c>
      <c r="V616" s="45">
        <f t="shared" si="9"/>
        <v>1</v>
      </c>
      <c r="W616" s="45" t="s">
        <v>4588</v>
      </c>
    </row>
    <row r="617" spans="1:23" hidden="1">
      <c r="A617" s="2">
        <v>45905</v>
      </c>
      <c r="B617" s="1" t="s">
        <v>4589</v>
      </c>
      <c r="C617" s="1" t="s">
        <v>3258</v>
      </c>
      <c r="D617" s="1" t="s">
        <v>2800</v>
      </c>
      <c r="E617" s="1">
        <v>85225</v>
      </c>
      <c r="F617" s="1" t="s">
        <v>2730</v>
      </c>
      <c r="G617" s="1" t="s">
        <v>4464</v>
      </c>
      <c r="H617" s="4" t="s">
        <v>1064</v>
      </c>
      <c r="I617" s="5" t="s">
        <v>2451</v>
      </c>
      <c r="J617" s="5" t="s">
        <v>24</v>
      </c>
      <c r="K617" s="5" t="s">
        <v>24</v>
      </c>
      <c r="L617" s="5" t="s">
        <v>75</v>
      </c>
      <c r="M617" s="5" t="s">
        <v>24</v>
      </c>
      <c r="N617" s="5" t="s">
        <v>24</v>
      </c>
      <c r="O617" s="5" t="s">
        <v>75</v>
      </c>
      <c r="P617" s="5" t="s">
        <v>2413</v>
      </c>
      <c r="Q617" s="2">
        <v>45966</v>
      </c>
      <c r="V617" s="45">
        <f t="shared" si="9"/>
        <v>1</v>
      </c>
      <c r="W617" s="45" t="s">
        <v>4590</v>
      </c>
    </row>
    <row r="618" spans="1:23" hidden="1">
      <c r="A618" s="2">
        <v>45905</v>
      </c>
      <c r="B618" s="1" t="s">
        <v>4591</v>
      </c>
      <c r="C618" s="1" t="s">
        <v>2454</v>
      </c>
      <c r="D618" s="1" t="s">
        <v>2987</v>
      </c>
      <c r="E618" s="1">
        <v>85194</v>
      </c>
      <c r="F618" s="1" t="s">
        <v>2399</v>
      </c>
      <c r="G618" s="1" t="s">
        <v>4464</v>
      </c>
      <c r="H618" s="4" t="s">
        <v>1066</v>
      </c>
      <c r="I618" s="5" t="s">
        <v>2412</v>
      </c>
      <c r="J618" s="5" t="s">
        <v>24</v>
      </c>
      <c r="K618" s="5" t="s">
        <v>24</v>
      </c>
      <c r="L618" s="5" t="s">
        <v>75</v>
      </c>
      <c r="M618" s="5" t="s">
        <v>24</v>
      </c>
      <c r="N618" s="5" t="s">
        <v>24</v>
      </c>
      <c r="O618" s="5" t="s">
        <v>75</v>
      </c>
      <c r="P618" s="5" t="s">
        <v>2413</v>
      </c>
      <c r="Q618" s="2">
        <v>45966</v>
      </c>
      <c r="V618" s="45">
        <f t="shared" si="9"/>
        <v>1</v>
      </c>
      <c r="W618" s="45" t="s">
        <v>4592</v>
      </c>
    </row>
    <row r="619" spans="1:23" hidden="1">
      <c r="A619" s="2">
        <v>45905</v>
      </c>
      <c r="B619" s="1" t="s">
        <v>4593</v>
      </c>
      <c r="C619" s="1" t="s">
        <v>2775</v>
      </c>
      <c r="D619" s="1" t="s">
        <v>2439</v>
      </c>
      <c r="E619" s="1">
        <v>85087</v>
      </c>
      <c r="F619" s="1" t="s">
        <v>2730</v>
      </c>
      <c r="G619" s="1" t="s">
        <v>4464</v>
      </c>
      <c r="H619" s="4" t="s">
        <v>2401</v>
      </c>
      <c r="V619" s="45">
        <f t="shared" si="9"/>
        <v>1</v>
      </c>
      <c r="W619" s="45" t="s">
        <v>4594</v>
      </c>
    </row>
    <row r="620" spans="1:23" hidden="1">
      <c r="A620" s="2">
        <v>45905</v>
      </c>
      <c r="B620" s="1" t="s">
        <v>4595</v>
      </c>
      <c r="C620" s="1" t="s">
        <v>4596</v>
      </c>
      <c r="D620" s="1" t="s">
        <v>2439</v>
      </c>
      <c r="E620" s="1">
        <v>85024</v>
      </c>
      <c r="F620" s="1" t="s">
        <v>4597</v>
      </c>
      <c r="G620" s="1" t="s">
        <v>4464</v>
      </c>
      <c r="H620" s="4" t="s">
        <v>1068</v>
      </c>
      <c r="I620" s="5" t="s">
        <v>2412</v>
      </c>
      <c r="J620" s="5" t="s">
        <v>24</v>
      </c>
      <c r="K620" s="5" t="s">
        <v>24</v>
      </c>
      <c r="L620" s="5" t="s">
        <v>75</v>
      </c>
      <c r="M620" s="5" t="s">
        <v>24</v>
      </c>
      <c r="N620" s="5" t="s">
        <v>24</v>
      </c>
      <c r="O620" s="5" t="s">
        <v>75</v>
      </c>
      <c r="P620" s="5" t="s">
        <v>2413</v>
      </c>
      <c r="Q620" s="2">
        <v>45966</v>
      </c>
      <c r="V620" s="45">
        <f t="shared" si="9"/>
        <v>1</v>
      </c>
      <c r="W620" s="45" t="s">
        <v>4598</v>
      </c>
    </row>
    <row r="621" spans="1:23" hidden="1">
      <c r="A621" s="2">
        <v>45905</v>
      </c>
      <c r="B621" s="1" t="s">
        <v>4599</v>
      </c>
      <c r="C621" s="1" t="s">
        <v>4600</v>
      </c>
      <c r="D621" s="1" t="s">
        <v>2439</v>
      </c>
      <c r="E621" s="1">
        <v>85028</v>
      </c>
      <c r="F621" s="1" t="s">
        <v>4601</v>
      </c>
      <c r="G621" s="1" t="s">
        <v>4464</v>
      </c>
      <c r="H621" s="4" t="s">
        <v>2471</v>
      </c>
      <c r="V621" s="45">
        <f t="shared" si="9"/>
        <v>1</v>
      </c>
      <c r="W621" s="45" t="s">
        <v>4602</v>
      </c>
    </row>
    <row r="622" spans="1:23" hidden="1">
      <c r="A622" s="2">
        <v>45905</v>
      </c>
      <c r="B622" s="1" t="s">
        <v>4603</v>
      </c>
      <c r="C622" s="1" t="s">
        <v>4604</v>
      </c>
      <c r="D622" s="1" t="s">
        <v>2439</v>
      </c>
      <c r="E622" s="1">
        <v>85022</v>
      </c>
      <c r="F622" s="1" t="s">
        <v>2730</v>
      </c>
      <c r="G622" s="1" t="s">
        <v>4464</v>
      </c>
      <c r="H622" s="4" t="s">
        <v>1070</v>
      </c>
      <c r="I622" s="5" t="s">
        <v>2412</v>
      </c>
      <c r="J622" s="5" t="s">
        <v>24</v>
      </c>
      <c r="K622" s="5" t="s">
        <v>24</v>
      </c>
      <c r="L622" s="5" t="s">
        <v>75</v>
      </c>
      <c r="M622" s="5" t="s">
        <v>24</v>
      </c>
      <c r="N622" s="5" t="s">
        <v>24</v>
      </c>
      <c r="O622" s="5" t="s">
        <v>75</v>
      </c>
      <c r="P622" s="5" t="s">
        <v>2413</v>
      </c>
      <c r="Q622" s="2">
        <v>45966</v>
      </c>
      <c r="V622" s="45">
        <f t="shared" si="9"/>
        <v>1</v>
      </c>
      <c r="W622" s="45" t="s">
        <v>4605</v>
      </c>
    </row>
    <row r="623" spans="1:23" hidden="1">
      <c r="A623" s="2">
        <v>45905</v>
      </c>
      <c r="B623" s="1" t="s">
        <v>4606</v>
      </c>
      <c r="C623" s="1" t="s">
        <v>4607</v>
      </c>
      <c r="D623" s="1" t="s">
        <v>2605</v>
      </c>
      <c r="E623" s="1">
        <v>85383</v>
      </c>
      <c r="F623" s="1" t="s">
        <v>2730</v>
      </c>
      <c r="G623" s="1" t="s">
        <v>4464</v>
      </c>
      <c r="H623" s="4" t="s">
        <v>1072</v>
      </c>
      <c r="I623" s="5" t="s">
        <v>2597</v>
      </c>
      <c r="J623" s="5" t="s">
        <v>24</v>
      </c>
      <c r="K623" s="5" t="s">
        <v>24</v>
      </c>
      <c r="L623" s="5" t="s">
        <v>75</v>
      </c>
      <c r="M623" s="5" t="s">
        <v>24</v>
      </c>
      <c r="N623" s="5" t="s">
        <v>24</v>
      </c>
      <c r="O623" s="5" t="s">
        <v>75</v>
      </c>
      <c r="P623" s="5" t="s">
        <v>2413</v>
      </c>
      <c r="Q623" s="2">
        <v>45966</v>
      </c>
      <c r="V623" s="45">
        <f t="shared" si="9"/>
        <v>1</v>
      </c>
      <c r="W623" s="45" t="s">
        <v>4608</v>
      </c>
    </row>
    <row r="624" spans="1:23" hidden="1">
      <c r="A624" s="2">
        <v>45905</v>
      </c>
      <c r="B624" s="1" t="s">
        <v>3725</v>
      </c>
      <c r="C624" s="1" t="s">
        <v>4609</v>
      </c>
      <c r="D624" s="1" t="s">
        <v>2439</v>
      </c>
      <c r="E624" s="1">
        <v>85007</v>
      </c>
      <c r="F624" s="1" t="s">
        <v>2730</v>
      </c>
      <c r="G624" s="1" t="s">
        <v>4464</v>
      </c>
      <c r="H624" s="4" t="s">
        <v>1074</v>
      </c>
      <c r="I624" s="5" t="s">
        <v>2412</v>
      </c>
      <c r="J624" s="5" t="s">
        <v>24</v>
      </c>
      <c r="K624" s="5" t="s">
        <v>24</v>
      </c>
      <c r="L624" s="5" t="s">
        <v>75</v>
      </c>
      <c r="M624" s="5" t="s">
        <v>24</v>
      </c>
      <c r="N624" s="5" t="s">
        <v>24</v>
      </c>
      <c r="O624" s="5" t="s">
        <v>75</v>
      </c>
      <c r="P624" s="5" t="s">
        <v>2413</v>
      </c>
      <c r="Q624" s="2">
        <v>45966</v>
      </c>
      <c r="V624" s="45">
        <f t="shared" si="9"/>
        <v>1</v>
      </c>
      <c r="W624" s="45" t="s">
        <v>4610</v>
      </c>
    </row>
    <row r="625" spans="1:23" hidden="1">
      <c r="A625" s="2">
        <v>45905</v>
      </c>
      <c r="B625" s="1" t="s">
        <v>4611</v>
      </c>
      <c r="C625" s="1" t="s">
        <v>4612</v>
      </c>
      <c r="D625" s="1" t="s">
        <v>2498</v>
      </c>
      <c r="E625" s="1">
        <v>85379</v>
      </c>
      <c r="F625" s="1" t="s">
        <v>2730</v>
      </c>
      <c r="G625" s="1" t="s">
        <v>4464</v>
      </c>
      <c r="H625" s="4" t="s">
        <v>626</v>
      </c>
      <c r="I625" s="5" t="s">
        <v>2597</v>
      </c>
      <c r="J625" s="5" t="s">
        <v>24</v>
      </c>
      <c r="K625" s="5" t="s">
        <v>24</v>
      </c>
      <c r="L625" s="5" t="s">
        <v>75</v>
      </c>
      <c r="M625" s="5" t="s">
        <v>75</v>
      </c>
      <c r="N625" s="13">
        <v>436.03</v>
      </c>
      <c r="O625" s="5" t="s">
        <v>75</v>
      </c>
      <c r="P625" s="5" t="s">
        <v>2413</v>
      </c>
      <c r="Q625" s="2">
        <v>45966</v>
      </c>
      <c r="V625" s="45">
        <f t="shared" si="9"/>
        <v>1</v>
      </c>
      <c r="W625" s="45" t="s">
        <v>4613</v>
      </c>
    </row>
    <row r="626" spans="1:23" hidden="1">
      <c r="A626" s="2">
        <v>45905</v>
      </c>
      <c r="B626" s="1" t="s">
        <v>4614</v>
      </c>
      <c r="C626" s="1" t="s">
        <v>2616</v>
      </c>
      <c r="D626" s="1" t="s">
        <v>2564</v>
      </c>
      <c r="E626" s="1">
        <v>85395</v>
      </c>
      <c r="F626" s="1" t="s">
        <v>2406</v>
      </c>
      <c r="G626" s="1" t="s">
        <v>4464</v>
      </c>
      <c r="H626" s="4" t="s">
        <v>1076</v>
      </c>
      <c r="I626" s="5" t="s">
        <v>2412</v>
      </c>
      <c r="J626" s="5" t="s">
        <v>24</v>
      </c>
      <c r="K626" s="5" t="s">
        <v>24</v>
      </c>
      <c r="L626" s="5" t="s">
        <v>75</v>
      </c>
      <c r="M626" s="5" t="s">
        <v>24</v>
      </c>
      <c r="N626" s="5" t="s">
        <v>24</v>
      </c>
      <c r="O626" s="5" t="s">
        <v>75</v>
      </c>
      <c r="P626" s="5" t="s">
        <v>2413</v>
      </c>
      <c r="Q626" s="2">
        <v>45966</v>
      </c>
      <c r="V626" s="45">
        <f t="shared" si="9"/>
        <v>1</v>
      </c>
      <c r="W626" s="45" t="s">
        <v>4615</v>
      </c>
    </row>
    <row r="627" spans="1:23" hidden="1">
      <c r="A627" s="2">
        <v>45905</v>
      </c>
      <c r="B627" s="1" t="s">
        <v>4616</v>
      </c>
      <c r="C627" s="1" t="s">
        <v>3000</v>
      </c>
      <c r="D627" s="1" t="s">
        <v>3090</v>
      </c>
      <c r="E627" s="1">
        <v>85288</v>
      </c>
      <c r="F627" s="1" t="s">
        <v>2730</v>
      </c>
      <c r="G627" s="1" t="s">
        <v>4464</v>
      </c>
      <c r="H627" s="4" t="s">
        <v>1078</v>
      </c>
      <c r="I627" s="5" t="s">
        <v>2451</v>
      </c>
      <c r="J627" s="5" t="s">
        <v>24</v>
      </c>
      <c r="K627" s="5" t="s">
        <v>24</v>
      </c>
      <c r="L627" s="5" t="s">
        <v>75</v>
      </c>
      <c r="M627" s="5" t="s">
        <v>24</v>
      </c>
      <c r="N627" s="5" t="s">
        <v>24</v>
      </c>
      <c r="O627" s="5" t="s">
        <v>75</v>
      </c>
      <c r="P627" s="5" t="s">
        <v>2413</v>
      </c>
      <c r="Q627" s="2">
        <v>45966</v>
      </c>
      <c r="V627" s="45">
        <f t="shared" si="9"/>
        <v>1</v>
      </c>
      <c r="W627" s="45" t="s">
        <v>4617</v>
      </c>
    </row>
    <row r="628" spans="1:23" hidden="1">
      <c r="A628" s="2">
        <v>45905</v>
      </c>
      <c r="B628" s="1" t="s">
        <v>4618</v>
      </c>
      <c r="C628" s="1" t="s">
        <v>4619</v>
      </c>
      <c r="D628" s="1" t="s">
        <v>2439</v>
      </c>
      <c r="E628" s="1">
        <v>85053</v>
      </c>
      <c r="F628" s="1" t="s">
        <v>2730</v>
      </c>
      <c r="G628" s="1" t="s">
        <v>4464</v>
      </c>
      <c r="H628" s="4" t="s">
        <v>1080</v>
      </c>
      <c r="I628" s="5" t="s">
        <v>2451</v>
      </c>
      <c r="J628" s="5" t="s">
        <v>24</v>
      </c>
      <c r="K628" s="5" t="s">
        <v>24</v>
      </c>
      <c r="L628" s="5" t="s">
        <v>75</v>
      </c>
      <c r="M628" s="5" t="s">
        <v>24</v>
      </c>
      <c r="N628" s="5" t="s">
        <v>24</v>
      </c>
      <c r="O628" s="5" t="s">
        <v>75</v>
      </c>
      <c r="P628" s="5" t="s">
        <v>2413</v>
      </c>
      <c r="Q628" s="2">
        <v>45966</v>
      </c>
      <c r="V628" s="45">
        <f t="shared" si="9"/>
        <v>1</v>
      </c>
      <c r="W628" s="45" t="s">
        <v>4620</v>
      </c>
    </row>
    <row r="629" spans="1:23" hidden="1">
      <c r="A629" s="2">
        <v>45905</v>
      </c>
      <c r="B629" s="1" t="s">
        <v>4621</v>
      </c>
      <c r="C629" s="1" t="s">
        <v>4622</v>
      </c>
      <c r="D629" s="1" t="s">
        <v>3211</v>
      </c>
      <c r="E629" s="1">
        <v>86326</v>
      </c>
      <c r="F629" s="1" t="s">
        <v>4623</v>
      </c>
      <c r="G629" s="1" t="s">
        <v>4464</v>
      </c>
      <c r="H629" s="4" t="s">
        <v>1082</v>
      </c>
      <c r="I629" s="5" t="s">
        <v>2451</v>
      </c>
      <c r="J629" s="5" t="s">
        <v>75</v>
      </c>
      <c r="K629" s="5" t="s">
        <v>24</v>
      </c>
      <c r="L629" s="5" t="s">
        <v>75</v>
      </c>
      <c r="M629" s="5" t="s">
        <v>24</v>
      </c>
      <c r="N629" s="5" t="s">
        <v>24</v>
      </c>
      <c r="O629" s="5" t="s">
        <v>75</v>
      </c>
      <c r="P629" s="5" t="s">
        <v>2413</v>
      </c>
      <c r="Q629" s="2">
        <v>45966</v>
      </c>
      <c r="V629" s="45">
        <f t="shared" si="9"/>
        <v>1</v>
      </c>
      <c r="W629" s="45" t="s">
        <v>4624</v>
      </c>
    </row>
    <row r="630" spans="1:23" hidden="1">
      <c r="A630" s="2">
        <v>45905</v>
      </c>
      <c r="B630" s="1" t="s">
        <v>3784</v>
      </c>
      <c r="C630" s="1" t="s">
        <v>4625</v>
      </c>
      <c r="D630" s="1" t="s">
        <v>2439</v>
      </c>
      <c r="E630" s="1">
        <v>85054</v>
      </c>
      <c r="F630" s="1" t="s">
        <v>2406</v>
      </c>
      <c r="G630" s="1" t="s">
        <v>4464</v>
      </c>
      <c r="H630" s="4" t="s">
        <v>2401</v>
      </c>
      <c r="V630" s="45">
        <f t="shared" si="9"/>
        <v>1</v>
      </c>
      <c r="W630" s="45" t="s">
        <v>4626</v>
      </c>
    </row>
    <row r="631" spans="1:23" hidden="1">
      <c r="A631" s="2">
        <v>45905</v>
      </c>
      <c r="B631" s="1" t="s">
        <v>4627</v>
      </c>
      <c r="C631" s="1" t="s">
        <v>4628</v>
      </c>
      <c r="D631" s="1" t="s">
        <v>3073</v>
      </c>
      <c r="E631" s="1">
        <v>85365</v>
      </c>
      <c r="F631" s="1" t="s">
        <v>2730</v>
      </c>
      <c r="G631" s="1" t="s">
        <v>4464</v>
      </c>
      <c r="H631" s="4" t="s">
        <v>2401</v>
      </c>
      <c r="V631" s="45">
        <f t="shared" si="9"/>
        <v>1</v>
      </c>
      <c r="W631" s="45" t="s">
        <v>4629</v>
      </c>
    </row>
    <row r="632" spans="1:23" hidden="1">
      <c r="A632" s="2">
        <v>45905</v>
      </c>
      <c r="B632" s="1" t="s">
        <v>4280</v>
      </c>
      <c r="C632" s="1" t="s">
        <v>3157</v>
      </c>
      <c r="D632" s="1" t="s">
        <v>2564</v>
      </c>
      <c r="E632" s="1">
        <v>85338</v>
      </c>
      <c r="F632" s="1" t="s">
        <v>4630</v>
      </c>
      <c r="G632" s="1" t="s">
        <v>4464</v>
      </c>
      <c r="H632" s="4" t="s">
        <v>3191</v>
      </c>
      <c r="I632" s="5" t="s">
        <v>4414</v>
      </c>
      <c r="J632" s="5" t="s">
        <v>24</v>
      </c>
      <c r="K632" s="5" t="s">
        <v>24</v>
      </c>
      <c r="L632" s="5" t="s">
        <v>2819</v>
      </c>
      <c r="M632" s="5" t="s">
        <v>24</v>
      </c>
      <c r="N632" s="5" t="s">
        <v>24</v>
      </c>
      <c r="O632" s="5" t="s">
        <v>75</v>
      </c>
      <c r="P632" s="5" t="s">
        <v>2413</v>
      </c>
      <c r="Q632" s="2">
        <v>45966</v>
      </c>
      <c r="V632" s="45">
        <f t="shared" si="9"/>
        <v>1</v>
      </c>
      <c r="W632" s="45" t="s">
        <v>4631</v>
      </c>
    </row>
    <row r="633" spans="1:23" hidden="1">
      <c r="A633" s="2">
        <v>45905</v>
      </c>
      <c r="B633" s="1" t="s">
        <v>4632</v>
      </c>
      <c r="C633" s="1" t="s">
        <v>4633</v>
      </c>
      <c r="D633" s="1" t="s">
        <v>2439</v>
      </c>
      <c r="E633" s="1">
        <v>85083</v>
      </c>
      <c r="F633" s="1" t="s">
        <v>2730</v>
      </c>
      <c r="G633" s="1" t="s">
        <v>4464</v>
      </c>
      <c r="H633" s="21" t="s">
        <v>185</v>
      </c>
      <c r="I633" s="5" t="s">
        <v>2597</v>
      </c>
      <c r="J633" s="5" t="s">
        <v>24</v>
      </c>
      <c r="K633" s="5" t="s">
        <v>24</v>
      </c>
      <c r="L633" s="5" t="s">
        <v>4634</v>
      </c>
      <c r="M633" s="5" t="s">
        <v>24</v>
      </c>
      <c r="N633" s="5" t="s">
        <v>24</v>
      </c>
      <c r="O633" s="5" t="s">
        <v>75</v>
      </c>
      <c r="P633" s="5" t="s">
        <v>2413</v>
      </c>
      <c r="Q633" s="2">
        <v>45966</v>
      </c>
      <c r="V633" s="45">
        <f t="shared" si="9"/>
        <v>1</v>
      </c>
      <c r="W633" s="45" t="s">
        <v>4635</v>
      </c>
    </row>
    <row r="634" spans="1:23" hidden="1">
      <c r="A634" s="2">
        <v>45905</v>
      </c>
      <c r="B634" s="1" t="s">
        <v>4636</v>
      </c>
      <c r="C634" s="1" t="s">
        <v>4637</v>
      </c>
      <c r="D634" s="1" t="s">
        <v>2564</v>
      </c>
      <c r="E634" s="1">
        <v>85395</v>
      </c>
      <c r="F634" s="1" t="s">
        <v>4638</v>
      </c>
      <c r="G634" s="1" t="s">
        <v>4464</v>
      </c>
      <c r="H634" s="4" t="s">
        <v>1084</v>
      </c>
      <c r="I634" s="5" t="s">
        <v>4414</v>
      </c>
      <c r="J634" s="5" t="s">
        <v>24</v>
      </c>
      <c r="K634" s="5" t="s">
        <v>24</v>
      </c>
      <c r="L634" s="5" t="s">
        <v>75</v>
      </c>
      <c r="M634" s="5" t="s">
        <v>24</v>
      </c>
      <c r="N634" s="5" t="s">
        <v>24</v>
      </c>
      <c r="O634" s="5" t="s">
        <v>75</v>
      </c>
      <c r="P634" s="5" t="s">
        <v>2413</v>
      </c>
      <c r="Q634" s="2">
        <v>45966</v>
      </c>
      <c r="V634" s="45">
        <f t="shared" si="9"/>
        <v>1</v>
      </c>
      <c r="W634" s="45" t="s">
        <v>4639</v>
      </c>
    </row>
    <row r="635" spans="1:23" hidden="1">
      <c r="A635" s="2">
        <v>45905</v>
      </c>
      <c r="B635" s="1" t="s">
        <v>4640</v>
      </c>
      <c r="C635" s="1" t="s">
        <v>3956</v>
      </c>
      <c r="D635" s="1" t="s">
        <v>2564</v>
      </c>
      <c r="E635" s="1">
        <v>85395</v>
      </c>
      <c r="F635" s="1" t="s">
        <v>2406</v>
      </c>
      <c r="G635" s="1" t="s">
        <v>4464</v>
      </c>
      <c r="H635" s="4" t="s">
        <v>1086</v>
      </c>
      <c r="I635" s="5" t="s">
        <v>2652</v>
      </c>
      <c r="J635" s="5" t="s">
        <v>24</v>
      </c>
      <c r="K635" s="5" t="s">
        <v>24</v>
      </c>
      <c r="L635" s="5" t="s">
        <v>2819</v>
      </c>
      <c r="M635" s="5" t="s">
        <v>24</v>
      </c>
      <c r="N635" s="5" t="s">
        <v>24</v>
      </c>
      <c r="O635" s="5" t="s">
        <v>75</v>
      </c>
      <c r="P635" s="5" t="s">
        <v>2413</v>
      </c>
      <c r="Q635" s="2">
        <v>45966</v>
      </c>
      <c r="V635" s="45">
        <f t="shared" si="9"/>
        <v>1</v>
      </c>
      <c r="W635" s="45" t="s">
        <v>4641</v>
      </c>
    </row>
    <row r="636" spans="1:23" hidden="1">
      <c r="A636" s="2">
        <v>45905</v>
      </c>
      <c r="B636" s="1" t="s">
        <v>4642</v>
      </c>
      <c r="C636" s="1" t="s">
        <v>4499</v>
      </c>
      <c r="D636" s="1" t="s">
        <v>2398</v>
      </c>
      <c r="E636" s="1">
        <v>85308</v>
      </c>
      <c r="F636" s="1" t="s">
        <v>2730</v>
      </c>
      <c r="G636" s="1" t="s">
        <v>4464</v>
      </c>
      <c r="H636" s="4" t="s">
        <v>187</v>
      </c>
      <c r="I636" s="5" t="s">
        <v>2597</v>
      </c>
      <c r="J636" s="5" t="s">
        <v>24</v>
      </c>
      <c r="K636" s="5" t="s">
        <v>24</v>
      </c>
      <c r="L636" s="5" t="s">
        <v>4643</v>
      </c>
      <c r="M636" s="5" t="s">
        <v>24</v>
      </c>
      <c r="N636" s="5" t="s">
        <v>24</v>
      </c>
      <c r="O636" s="5" t="s">
        <v>75</v>
      </c>
      <c r="P636" s="5" t="s">
        <v>2413</v>
      </c>
      <c r="Q636" s="2">
        <v>45966</v>
      </c>
      <c r="V636" s="45">
        <f t="shared" si="9"/>
        <v>1</v>
      </c>
      <c r="W636" s="45" t="s">
        <v>4644</v>
      </c>
    </row>
    <row r="637" spans="1:23" hidden="1">
      <c r="A637" s="2">
        <v>45905</v>
      </c>
      <c r="B637" s="1" t="s">
        <v>4645</v>
      </c>
      <c r="C637" s="1" t="s">
        <v>4392</v>
      </c>
      <c r="D637" s="1" t="s">
        <v>3073</v>
      </c>
      <c r="E637" s="1">
        <v>85365</v>
      </c>
      <c r="F637" s="1" t="s">
        <v>4245</v>
      </c>
      <c r="G637" s="1" t="s">
        <v>4464</v>
      </c>
      <c r="H637" s="4" t="s">
        <v>189</v>
      </c>
      <c r="I637" s="5" t="s">
        <v>2432</v>
      </c>
      <c r="J637" s="5" t="s">
        <v>24</v>
      </c>
      <c r="K637" s="5" t="s">
        <v>24</v>
      </c>
      <c r="L637" s="7" t="s">
        <v>4646</v>
      </c>
      <c r="M637" s="5" t="s">
        <v>24</v>
      </c>
      <c r="N637" s="5" t="s">
        <v>24</v>
      </c>
      <c r="O637" s="5" t="s">
        <v>75</v>
      </c>
      <c r="Q637" s="2">
        <v>45966</v>
      </c>
      <c r="R637" s="20" t="s">
        <v>4647</v>
      </c>
      <c r="V637" s="45">
        <f t="shared" si="9"/>
        <v>1</v>
      </c>
      <c r="W637" s="45" t="s">
        <v>4648</v>
      </c>
    </row>
    <row r="638" spans="1:23" hidden="1">
      <c r="A638" s="2">
        <v>45905</v>
      </c>
      <c r="B638" s="1" t="s">
        <v>4649</v>
      </c>
      <c r="C638" s="1" t="s">
        <v>4650</v>
      </c>
      <c r="D638" s="1" t="s">
        <v>2513</v>
      </c>
      <c r="E638" s="1">
        <v>85254</v>
      </c>
      <c r="F638" s="1" t="s">
        <v>2406</v>
      </c>
      <c r="G638" s="1" t="s">
        <v>4464</v>
      </c>
      <c r="H638" s="4" t="s">
        <v>2401</v>
      </c>
      <c r="V638" s="45">
        <f t="shared" si="9"/>
        <v>1</v>
      </c>
      <c r="W638" s="45" t="s">
        <v>4651</v>
      </c>
    </row>
    <row r="639" spans="1:23" hidden="1">
      <c r="A639" s="2">
        <v>45905</v>
      </c>
      <c r="B639" s="1" t="s">
        <v>4652</v>
      </c>
      <c r="C639" s="1" t="s">
        <v>3221</v>
      </c>
      <c r="D639" s="1" t="s">
        <v>2605</v>
      </c>
      <c r="E639" s="1">
        <v>85383</v>
      </c>
      <c r="F639" s="1" t="s">
        <v>2406</v>
      </c>
      <c r="G639" s="1" t="s">
        <v>4464</v>
      </c>
      <c r="H639" s="4" t="s">
        <v>1088</v>
      </c>
      <c r="I639" s="5" t="s">
        <v>4653</v>
      </c>
      <c r="J639" s="5" t="s">
        <v>24</v>
      </c>
      <c r="K639" s="5" t="s">
        <v>24</v>
      </c>
      <c r="L639" s="5" t="s">
        <v>75</v>
      </c>
      <c r="M639" s="5" t="s">
        <v>24</v>
      </c>
      <c r="N639" s="5" t="s">
        <v>24</v>
      </c>
      <c r="O639" s="5" t="s">
        <v>75</v>
      </c>
      <c r="P639" s="5" t="s">
        <v>2413</v>
      </c>
      <c r="Q639" s="2">
        <v>45966</v>
      </c>
      <c r="V639" s="45">
        <f t="shared" si="9"/>
        <v>1</v>
      </c>
      <c r="W639" s="45" t="s">
        <v>4654</v>
      </c>
    </row>
    <row r="640" spans="1:23" hidden="1">
      <c r="A640" s="2">
        <v>45905</v>
      </c>
      <c r="B640" s="1" t="s">
        <v>4655</v>
      </c>
      <c r="C640" s="1" t="s">
        <v>4656</v>
      </c>
      <c r="D640" s="1" t="s">
        <v>2439</v>
      </c>
      <c r="E640" s="1">
        <v>85024</v>
      </c>
      <c r="F640" s="1" t="s">
        <v>4657</v>
      </c>
      <c r="G640" s="1" t="s">
        <v>4464</v>
      </c>
      <c r="H640" s="4" t="s">
        <v>1090</v>
      </c>
      <c r="I640" s="5" t="s">
        <v>2420</v>
      </c>
      <c r="J640" s="5" t="s">
        <v>24</v>
      </c>
      <c r="K640" s="5" t="s">
        <v>24</v>
      </c>
      <c r="L640" s="5" t="s">
        <v>75</v>
      </c>
      <c r="M640" s="5" t="s">
        <v>24</v>
      </c>
      <c r="N640" s="5" t="s">
        <v>24</v>
      </c>
      <c r="O640" s="5" t="s">
        <v>75</v>
      </c>
      <c r="P640" s="5" t="s">
        <v>2413</v>
      </c>
      <c r="Q640" s="2">
        <v>45966</v>
      </c>
      <c r="V640" s="45">
        <f t="shared" si="9"/>
        <v>1</v>
      </c>
      <c r="W640" s="125" t="s">
        <v>4658</v>
      </c>
    </row>
    <row r="641" spans="1:23" hidden="1">
      <c r="A641" s="2">
        <v>45905</v>
      </c>
      <c r="B641" s="1" t="s">
        <v>4659</v>
      </c>
      <c r="C641" s="1" t="s">
        <v>4660</v>
      </c>
      <c r="D641" s="1" t="s">
        <v>2564</v>
      </c>
      <c r="E641" s="1">
        <v>85395</v>
      </c>
      <c r="F641" s="1" t="s">
        <v>4661</v>
      </c>
      <c r="G641" s="1" t="s">
        <v>4464</v>
      </c>
      <c r="H641" s="4" t="s">
        <v>1092</v>
      </c>
      <c r="I641" s="5" t="s">
        <v>2988</v>
      </c>
      <c r="J641" s="5" t="s">
        <v>24</v>
      </c>
      <c r="K641" s="5" t="s">
        <v>24</v>
      </c>
      <c r="L641" s="5" t="s">
        <v>2819</v>
      </c>
      <c r="M641" s="5" t="s">
        <v>24</v>
      </c>
      <c r="N641" s="5" t="s">
        <v>24</v>
      </c>
      <c r="O641" s="5" t="s">
        <v>75</v>
      </c>
      <c r="P641" s="5" t="s">
        <v>2413</v>
      </c>
      <c r="Q641" s="2">
        <v>45966</v>
      </c>
      <c r="V641" s="45">
        <f t="shared" si="9"/>
        <v>1</v>
      </c>
      <c r="W641" s="45" t="s">
        <v>4662</v>
      </c>
    </row>
    <row r="642" spans="1:23" hidden="1">
      <c r="A642" s="2">
        <v>45905</v>
      </c>
      <c r="B642" s="1" t="s">
        <v>4663</v>
      </c>
      <c r="C642" s="1" t="s">
        <v>3271</v>
      </c>
      <c r="D642" s="1" t="s">
        <v>3090</v>
      </c>
      <c r="E642" s="1">
        <v>85281</v>
      </c>
      <c r="F642" s="1" t="s">
        <v>2730</v>
      </c>
      <c r="G642" s="1" t="s">
        <v>4464</v>
      </c>
      <c r="H642" s="4" t="s">
        <v>192</v>
      </c>
      <c r="I642" s="5" t="s">
        <v>2514</v>
      </c>
      <c r="J642" s="5" t="s">
        <v>24</v>
      </c>
      <c r="K642" s="5" t="s">
        <v>24</v>
      </c>
      <c r="L642" s="5" t="s">
        <v>4664</v>
      </c>
      <c r="M642" s="5" t="s">
        <v>24</v>
      </c>
      <c r="N642" s="5" t="s">
        <v>24</v>
      </c>
      <c r="O642" s="5" t="s">
        <v>75</v>
      </c>
      <c r="P642" s="5" t="s">
        <v>2413</v>
      </c>
      <c r="Q642" s="2">
        <v>45966</v>
      </c>
      <c r="V642" s="45">
        <f t="shared" ref="V642:V705" si="10">IF(OR(ISNUMBER(SEARCH("unable to locate acct",G642)),ISNUMBER(SEARCH("unknown",G642)),ISNUMBER(SEARCH("inactive",G642)),H642=""),0,1)</f>
        <v>1</v>
      </c>
      <c r="W642" s="45" t="s">
        <v>4665</v>
      </c>
    </row>
    <row r="643" spans="1:23" hidden="1">
      <c r="A643" s="2">
        <v>45905</v>
      </c>
      <c r="B643" s="1" t="s">
        <v>4666</v>
      </c>
      <c r="C643" s="1" t="s">
        <v>4667</v>
      </c>
      <c r="D643" s="1" t="s">
        <v>2439</v>
      </c>
      <c r="E643" s="1">
        <v>85007</v>
      </c>
      <c r="F643" s="1" t="s">
        <v>2406</v>
      </c>
      <c r="G643" s="1" t="s">
        <v>4464</v>
      </c>
      <c r="H643" s="4" t="s">
        <v>1094</v>
      </c>
      <c r="I643" s="5" t="s">
        <v>2412</v>
      </c>
      <c r="J643" s="5" t="s">
        <v>24</v>
      </c>
      <c r="K643" s="5" t="s">
        <v>24</v>
      </c>
      <c r="L643" s="5" t="s">
        <v>75</v>
      </c>
      <c r="M643" s="5" t="s">
        <v>24</v>
      </c>
      <c r="N643" s="5" t="s">
        <v>24</v>
      </c>
      <c r="O643" s="5" t="s">
        <v>75</v>
      </c>
      <c r="P643" s="5" t="s">
        <v>2413</v>
      </c>
      <c r="Q643" s="2">
        <v>45966</v>
      </c>
      <c r="V643" s="45">
        <f t="shared" si="10"/>
        <v>1</v>
      </c>
      <c r="W643" s="45" t="s">
        <v>4668</v>
      </c>
    </row>
    <row r="644" spans="1:23" hidden="1">
      <c r="A644" s="2">
        <v>45905</v>
      </c>
      <c r="B644" s="1" t="s">
        <v>4669</v>
      </c>
      <c r="C644" s="1" t="s">
        <v>2521</v>
      </c>
      <c r="D644" s="1" t="s">
        <v>3090</v>
      </c>
      <c r="E644" s="1">
        <v>85288</v>
      </c>
      <c r="F644" s="1" t="s">
        <v>2406</v>
      </c>
      <c r="G644" s="1" t="s">
        <v>4464</v>
      </c>
      <c r="H644" s="4" t="s">
        <v>194</v>
      </c>
      <c r="I644" s="5" t="s">
        <v>2597</v>
      </c>
      <c r="J644" s="5" t="s">
        <v>24</v>
      </c>
      <c r="K644" s="5" t="s">
        <v>24</v>
      </c>
      <c r="L644" s="7" t="s">
        <v>4670</v>
      </c>
      <c r="M644" s="5" t="s">
        <v>24</v>
      </c>
      <c r="N644" s="5" t="s">
        <v>24</v>
      </c>
      <c r="O644" s="5" t="s">
        <v>75</v>
      </c>
      <c r="P644" s="2">
        <v>45936</v>
      </c>
      <c r="Q644" s="2">
        <v>45966</v>
      </c>
      <c r="R644" s="1" t="s">
        <v>4474</v>
      </c>
      <c r="V644" s="45">
        <f t="shared" si="10"/>
        <v>1</v>
      </c>
      <c r="W644" s="45" t="s">
        <v>4671</v>
      </c>
    </row>
    <row r="645" spans="1:23" hidden="1">
      <c r="A645" s="2">
        <v>45905</v>
      </c>
      <c r="B645" s="1" t="s">
        <v>4672</v>
      </c>
      <c r="C645" s="1" t="s">
        <v>2532</v>
      </c>
      <c r="D645" s="1" t="s">
        <v>2439</v>
      </c>
      <c r="E645" s="1">
        <v>85032</v>
      </c>
      <c r="F645" s="1" t="s">
        <v>4673</v>
      </c>
      <c r="G645" s="1" t="s">
        <v>4464</v>
      </c>
      <c r="H645" s="4" t="s">
        <v>2275</v>
      </c>
      <c r="I645" s="5" t="s">
        <v>2451</v>
      </c>
      <c r="J645" s="5" t="s">
        <v>24</v>
      </c>
      <c r="K645" s="5" t="s">
        <v>24</v>
      </c>
      <c r="L645" s="5" t="s">
        <v>75</v>
      </c>
      <c r="M645" s="5" t="s">
        <v>24</v>
      </c>
      <c r="N645" s="5" t="s">
        <v>24</v>
      </c>
      <c r="O645" s="5" t="s">
        <v>75</v>
      </c>
      <c r="P645" s="5" t="s">
        <v>2413</v>
      </c>
      <c r="Q645" s="2">
        <v>45966</v>
      </c>
      <c r="V645" s="45">
        <f t="shared" si="10"/>
        <v>1</v>
      </c>
      <c r="W645" s="45" t="s">
        <v>4674</v>
      </c>
    </row>
    <row r="646" spans="1:23" hidden="1">
      <c r="A646" s="2">
        <v>45905</v>
      </c>
      <c r="B646" s="1" t="s">
        <v>4675</v>
      </c>
      <c r="C646" s="1" t="s">
        <v>4676</v>
      </c>
      <c r="D646" s="1" t="s">
        <v>2564</v>
      </c>
      <c r="E646" s="1">
        <v>85338</v>
      </c>
      <c r="F646" s="1" t="s">
        <v>2730</v>
      </c>
      <c r="G646" s="1" t="s">
        <v>4464</v>
      </c>
      <c r="H646" s="4" t="s">
        <v>2401</v>
      </c>
      <c r="V646" s="45">
        <f t="shared" si="10"/>
        <v>1</v>
      </c>
      <c r="W646" s="45" t="s">
        <v>4677</v>
      </c>
    </row>
    <row r="647" spans="1:23" hidden="1">
      <c r="A647" s="2">
        <v>45905</v>
      </c>
      <c r="B647" s="1" t="s">
        <v>2822</v>
      </c>
      <c r="C647" s="1" t="s">
        <v>3434</v>
      </c>
      <c r="D647" s="1" t="s">
        <v>2465</v>
      </c>
      <c r="E647" s="1">
        <v>86323</v>
      </c>
      <c r="F647" s="1" t="s">
        <v>2406</v>
      </c>
      <c r="G647" s="1" t="s">
        <v>4464</v>
      </c>
      <c r="H647" s="4" t="s">
        <v>1096</v>
      </c>
      <c r="I647" s="5" t="s">
        <v>2412</v>
      </c>
      <c r="J647" s="5" t="s">
        <v>24</v>
      </c>
      <c r="K647" s="5" t="s">
        <v>24</v>
      </c>
      <c r="L647" s="5" t="s">
        <v>75</v>
      </c>
      <c r="M647" s="5" t="s">
        <v>24</v>
      </c>
      <c r="N647" s="5" t="s">
        <v>24</v>
      </c>
      <c r="O647" s="5" t="s">
        <v>75</v>
      </c>
      <c r="P647" s="5" t="s">
        <v>2413</v>
      </c>
      <c r="Q647" s="2">
        <v>45966</v>
      </c>
      <c r="V647" s="45">
        <f t="shared" si="10"/>
        <v>1</v>
      </c>
      <c r="W647" s="45" t="s">
        <v>4678</v>
      </c>
    </row>
    <row r="648" spans="1:23" hidden="1">
      <c r="A648" s="2">
        <v>45905</v>
      </c>
      <c r="B648" s="1" t="s">
        <v>2867</v>
      </c>
      <c r="C648" s="1" t="s">
        <v>2756</v>
      </c>
      <c r="D648" s="1" t="s">
        <v>2439</v>
      </c>
      <c r="E648" s="1">
        <v>85032</v>
      </c>
      <c r="F648" s="1" t="s">
        <v>2730</v>
      </c>
      <c r="G648" s="1" t="s">
        <v>4464</v>
      </c>
      <c r="H648" s="4" t="s">
        <v>1098</v>
      </c>
      <c r="I648" s="5" t="s">
        <v>2451</v>
      </c>
      <c r="J648" s="5" t="s">
        <v>24</v>
      </c>
      <c r="K648" s="5" t="s">
        <v>24</v>
      </c>
      <c r="L648" s="5" t="s">
        <v>75</v>
      </c>
      <c r="M648" s="5" t="s">
        <v>24</v>
      </c>
      <c r="N648" s="5" t="s">
        <v>24</v>
      </c>
      <c r="O648" s="5" t="s">
        <v>75</v>
      </c>
      <c r="P648" s="5" t="s">
        <v>2413</v>
      </c>
      <c r="Q648" s="2">
        <v>45966</v>
      </c>
      <c r="V648" s="45">
        <f t="shared" si="10"/>
        <v>1</v>
      </c>
      <c r="W648" s="45" t="s">
        <v>4679</v>
      </c>
    </row>
    <row r="649" spans="1:23" hidden="1">
      <c r="A649" s="2">
        <v>45905</v>
      </c>
      <c r="B649" s="1" t="s">
        <v>4680</v>
      </c>
      <c r="C649" s="1" t="s">
        <v>4681</v>
      </c>
      <c r="D649" s="1" t="s">
        <v>4682</v>
      </c>
      <c r="E649" s="1">
        <v>85202</v>
      </c>
      <c r="F649" s="1" t="s">
        <v>2406</v>
      </c>
      <c r="G649" s="1" t="s">
        <v>4464</v>
      </c>
      <c r="H649" s="4" t="s">
        <v>2471</v>
      </c>
      <c r="V649" s="45">
        <f t="shared" si="10"/>
        <v>1</v>
      </c>
      <c r="W649" s="45" t="s">
        <v>4683</v>
      </c>
    </row>
    <row r="650" spans="1:23" hidden="1">
      <c r="A650" s="2">
        <v>45905</v>
      </c>
      <c r="B650" s="1" t="s">
        <v>4684</v>
      </c>
      <c r="C650" s="1" t="s">
        <v>4685</v>
      </c>
      <c r="D650" s="1" t="s">
        <v>2439</v>
      </c>
      <c r="E650" s="1">
        <v>85012</v>
      </c>
      <c r="F650" s="1" t="s">
        <v>2730</v>
      </c>
      <c r="G650" s="1" t="s">
        <v>4464</v>
      </c>
      <c r="H650" s="4" t="s">
        <v>1100</v>
      </c>
      <c r="I650" s="5" t="s">
        <v>2451</v>
      </c>
      <c r="J650" s="5" t="s">
        <v>24</v>
      </c>
      <c r="K650" s="5" t="s">
        <v>24</v>
      </c>
      <c r="L650" s="5" t="s">
        <v>75</v>
      </c>
      <c r="M650" s="5" t="s">
        <v>24</v>
      </c>
      <c r="N650" s="5" t="s">
        <v>24</v>
      </c>
      <c r="O650" s="5" t="s">
        <v>75</v>
      </c>
      <c r="P650" s="5" t="s">
        <v>2413</v>
      </c>
      <c r="Q650" s="2">
        <v>45966</v>
      </c>
      <c r="V650" s="45">
        <f t="shared" si="10"/>
        <v>1</v>
      </c>
      <c r="W650" s="45" t="s">
        <v>4686</v>
      </c>
    </row>
    <row r="651" spans="1:23" hidden="1">
      <c r="A651" s="2">
        <v>45905</v>
      </c>
      <c r="B651" s="1" t="s">
        <v>4687</v>
      </c>
      <c r="C651" s="1" t="s">
        <v>4688</v>
      </c>
      <c r="D651" s="1" t="s">
        <v>2439</v>
      </c>
      <c r="E651" s="1">
        <v>85086</v>
      </c>
      <c r="F651" s="1" t="s">
        <v>2406</v>
      </c>
      <c r="G651" s="1" t="s">
        <v>4464</v>
      </c>
      <c r="H651" s="4" t="s">
        <v>1102</v>
      </c>
      <c r="I651" s="5" t="s">
        <v>2412</v>
      </c>
      <c r="J651" s="5" t="s">
        <v>24</v>
      </c>
      <c r="K651" s="5" t="s">
        <v>24</v>
      </c>
      <c r="L651" s="5" t="s">
        <v>75</v>
      </c>
      <c r="M651" s="5" t="s">
        <v>24</v>
      </c>
      <c r="N651" s="5" t="s">
        <v>24</v>
      </c>
      <c r="O651" s="5" t="s">
        <v>75</v>
      </c>
      <c r="P651" s="5" t="s">
        <v>2413</v>
      </c>
      <c r="Q651" s="2">
        <v>45966</v>
      </c>
      <c r="V651" s="45">
        <f t="shared" si="10"/>
        <v>1</v>
      </c>
      <c r="W651" s="45" t="s">
        <v>4689</v>
      </c>
    </row>
    <row r="652" spans="1:23" hidden="1">
      <c r="A652" s="2">
        <v>45905</v>
      </c>
      <c r="B652" s="1" t="s">
        <v>4690</v>
      </c>
      <c r="C652" s="1" t="s">
        <v>2830</v>
      </c>
      <c r="D652" s="1" t="s">
        <v>2950</v>
      </c>
      <c r="E652" s="1">
        <v>86001</v>
      </c>
      <c r="F652" s="1" t="s">
        <v>2406</v>
      </c>
      <c r="G652" s="1" t="s">
        <v>4464</v>
      </c>
      <c r="H652" s="4" t="s">
        <v>197</v>
      </c>
      <c r="I652" s="5" t="s">
        <v>2597</v>
      </c>
      <c r="J652" s="5" t="s">
        <v>24</v>
      </c>
      <c r="K652" s="5" t="s">
        <v>24</v>
      </c>
      <c r="L652" s="5" t="s">
        <v>4691</v>
      </c>
      <c r="M652" s="5" t="s">
        <v>24</v>
      </c>
      <c r="N652" s="5" t="s">
        <v>24</v>
      </c>
      <c r="O652" s="5" t="s">
        <v>75</v>
      </c>
      <c r="P652" s="5" t="s">
        <v>2413</v>
      </c>
      <c r="Q652" s="2">
        <v>45966</v>
      </c>
      <c r="V652" s="45">
        <f t="shared" si="10"/>
        <v>1</v>
      </c>
      <c r="W652" s="45" t="s">
        <v>4692</v>
      </c>
    </row>
    <row r="653" spans="1:23" hidden="1">
      <c r="A653" s="2">
        <v>45905</v>
      </c>
      <c r="B653" s="1" t="s">
        <v>4693</v>
      </c>
      <c r="C653" s="1" t="s">
        <v>4694</v>
      </c>
      <c r="D653" s="1" t="s">
        <v>2439</v>
      </c>
      <c r="E653" s="1">
        <v>85020</v>
      </c>
      <c r="F653" s="1" t="s">
        <v>2730</v>
      </c>
      <c r="G653" s="1" t="s">
        <v>4464</v>
      </c>
      <c r="H653" s="4" t="s">
        <v>1104</v>
      </c>
      <c r="I653" s="5" t="s">
        <v>2451</v>
      </c>
      <c r="J653" s="5" t="s">
        <v>24</v>
      </c>
      <c r="K653" s="5" t="s">
        <v>24</v>
      </c>
      <c r="L653" s="5" t="s">
        <v>75</v>
      </c>
      <c r="M653" s="5" t="s">
        <v>24</v>
      </c>
      <c r="N653" s="5" t="s">
        <v>24</v>
      </c>
      <c r="O653" s="5" t="s">
        <v>75</v>
      </c>
      <c r="P653" s="5" t="s">
        <v>2413</v>
      </c>
      <c r="Q653" s="2">
        <v>45966</v>
      </c>
      <c r="V653" s="45">
        <f t="shared" si="10"/>
        <v>1</v>
      </c>
      <c r="W653" s="45" t="s">
        <v>4695</v>
      </c>
    </row>
    <row r="654" spans="1:23" hidden="1">
      <c r="A654" s="2">
        <v>45905</v>
      </c>
      <c r="B654" s="1" t="s">
        <v>4696</v>
      </c>
      <c r="C654" s="1" t="s">
        <v>4320</v>
      </c>
      <c r="D654" s="1" t="s">
        <v>2439</v>
      </c>
      <c r="E654" s="1">
        <v>85020</v>
      </c>
      <c r="F654" s="1" t="s">
        <v>4697</v>
      </c>
      <c r="G654" s="1" t="s">
        <v>4464</v>
      </c>
      <c r="H654" s="4" t="s">
        <v>199</v>
      </c>
      <c r="I654" s="5" t="s">
        <v>2412</v>
      </c>
      <c r="J654" s="5" t="s">
        <v>24</v>
      </c>
      <c r="K654" s="5" t="s">
        <v>24</v>
      </c>
      <c r="L654" s="7" t="s">
        <v>4698</v>
      </c>
      <c r="M654" s="5" t="s">
        <v>24</v>
      </c>
      <c r="N654" s="5" t="s">
        <v>24</v>
      </c>
      <c r="O654" s="5" t="s">
        <v>75</v>
      </c>
      <c r="P654" s="5" t="s">
        <v>2413</v>
      </c>
      <c r="Q654" s="2">
        <v>45966</v>
      </c>
      <c r="R654" s="1" t="s">
        <v>4699</v>
      </c>
      <c r="V654" s="45">
        <f t="shared" si="10"/>
        <v>1</v>
      </c>
      <c r="W654" s="45" t="s">
        <v>4700</v>
      </c>
    </row>
    <row r="655" spans="1:23" hidden="1">
      <c r="A655" s="2">
        <v>45905</v>
      </c>
      <c r="B655" s="1" t="s">
        <v>4701</v>
      </c>
      <c r="C655" s="1" t="s">
        <v>2596</v>
      </c>
      <c r="D655" s="1" t="s">
        <v>2439</v>
      </c>
      <c r="E655" s="1">
        <v>85023</v>
      </c>
      <c r="F655" s="1" t="s">
        <v>4702</v>
      </c>
      <c r="G655" s="1" t="s">
        <v>4464</v>
      </c>
      <c r="H655" s="4" t="s">
        <v>1106</v>
      </c>
      <c r="I655" s="5" t="s">
        <v>2652</v>
      </c>
      <c r="J655" s="5" t="s">
        <v>24</v>
      </c>
      <c r="K655" s="5" t="s">
        <v>24</v>
      </c>
      <c r="L655" s="5" t="s">
        <v>2819</v>
      </c>
      <c r="M655" s="5" t="s">
        <v>24</v>
      </c>
      <c r="N655" s="5" t="s">
        <v>24</v>
      </c>
      <c r="O655" s="5" t="s">
        <v>75</v>
      </c>
      <c r="P655" s="5" t="s">
        <v>2413</v>
      </c>
      <c r="Q655" s="2">
        <v>45966</v>
      </c>
      <c r="V655" s="45">
        <f t="shared" si="10"/>
        <v>1</v>
      </c>
      <c r="W655" s="45" t="s">
        <v>4703</v>
      </c>
    </row>
    <row r="656" spans="1:23" hidden="1">
      <c r="A656" s="2">
        <v>45905</v>
      </c>
      <c r="B656" s="1" t="s">
        <v>4704</v>
      </c>
      <c r="C656" s="1" t="s">
        <v>4705</v>
      </c>
      <c r="D656" s="1" t="s">
        <v>2439</v>
      </c>
      <c r="E656" s="1">
        <v>85020</v>
      </c>
      <c r="F656" s="1" t="s">
        <v>2730</v>
      </c>
      <c r="G656" s="1" t="s">
        <v>4464</v>
      </c>
      <c r="H656" s="4" t="s">
        <v>201</v>
      </c>
      <c r="I656" s="5" t="s">
        <v>2597</v>
      </c>
      <c r="J656" s="5" t="s">
        <v>24</v>
      </c>
      <c r="K656" s="5" t="s">
        <v>24</v>
      </c>
      <c r="L656" s="7" t="s">
        <v>4706</v>
      </c>
      <c r="M656" s="5" t="s">
        <v>24</v>
      </c>
      <c r="N656" s="5" t="s">
        <v>24</v>
      </c>
      <c r="O656" s="5" t="s">
        <v>75</v>
      </c>
      <c r="P656" s="5" t="s">
        <v>2413</v>
      </c>
      <c r="Q656" s="2">
        <v>45966</v>
      </c>
      <c r="R656" s="1" t="s">
        <v>4707</v>
      </c>
      <c r="V656" s="45">
        <f t="shared" si="10"/>
        <v>1</v>
      </c>
      <c r="W656" s="45" t="s">
        <v>4708</v>
      </c>
    </row>
    <row r="657" spans="1:23" hidden="1">
      <c r="A657" s="2">
        <v>45905</v>
      </c>
      <c r="B657" s="1" t="s">
        <v>4709</v>
      </c>
      <c r="C657" s="1" t="s">
        <v>2699</v>
      </c>
      <c r="D657" s="1" t="s">
        <v>2564</v>
      </c>
      <c r="E657" s="1">
        <v>85395</v>
      </c>
      <c r="F657" s="1" t="s">
        <v>2406</v>
      </c>
      <c r="G657" s="1" t="s">
        <v>4464</v>
      </c>
      <c r="H657" s="4" t="s">
        <v>1108</v>
      </c>
      <c r="I657" s="5" t="s">
        <v>2514</v>
      </c>
      <c r="J657" s="5" t="s">
        <v>24</v>
      </c>
      <c r="K657" s="5" t="s">
        <v>24</v>
      </c>
      <c r="L657" s="5" t="s">
        <v>75</v>
      </c>
      <c r="M657" s="5" t="s">
        <v>24</v>
      </c>
      <c r="N657" s="5" t="s">
        <v>24</v>
      </c>
      <c r="O657" s="5" t="s">
        <v>75</v>
      </c>
      <c r="P657" s="5" t="s">
        <v>2413</v>
      </c>
      <c r="Q657" s="2">
        <v>45966</v>
      </c>
      <c r="V657" s="45">
        <f t="shared" si="10"/>
        <v>1</v>
      </c>
      <c r="W657" s="45" t="s">
        <v>4710</v>
      </c>
    </row>
    <row r="658" spans="1:23" hidden="1">
      <c r="A658" s="2">
        <v>45905</v>
      </c>
      <c r="B658" s="1" t="s">
        <v>4711</v>
      </c>
      <c r="C658" s="1" t="s">
        <v>2538</v>
      </c>
      <c r="D658" s="1" t="s">
        <v>4321</v>
      </c>
      <c r="E658" s="1">
        <v>85131</v>
      </c>
      <c r="F658" s="1" t="s">
        <v>2730</v>
      </c>
      <c r="G658" s="1" t="s">
        <v>4464</v>
      </c>
      <c r="H658" s="4" t="s">
        <v>1110</v>
      </c>
      <c r="I658" s="5" t="s">
        <v>2988</v>
      </c>
      <c r="J658" s="5" t="s">
        <v>24</v>
      </c>
      <c r="K658" s="5" t="s">
        <v>24</v>
      </c>
      <c r="L658" s="5" t="s">
        <v>2819</v>
      </c>
      <c r="M658" s="5" t="s">
        <v>24</v>
      </c>
      <c r="N658" s="5" t="s">
        <v>24</v>
      </c>
      <c r="O658" s="5" t="s">
        <v>75</v>
      </c>
      <c r="P658" s="5" t="s">
        <v>2413</v>
      </c>
      <c r="Q658" s="2">
        <v>45966</v>
      </c>
      <c r="V658" s="45">
        <f t="shared" si="10"/>
        <v>1</v>
      </c>
      <c r="W658" s="45" t="s">
        <v>4712</v>
      </c>
    </row>
    <row r="659" spans="1:23" hidden="1">
      <c r="A659" s="2">
        <v>45905</v>
      </c>
      <c r="B659" s="1" t="s">
        <v>4713</v>
      </c>
      <c r="C659" s="1" t="s">
        <v>4714</v>
      </c>
      <c r="D659" s="1" t="s">
        <v>2513</v>
      </c>
      <c r="E659" s="1">
        <v>85254</v>
      </c>
      <c r="F659" s="1" t="s">
        <v>2730</v>
      </c>
      <c r="G659" s="1" t="s">
        <v>4464</v>
      </c>
      <c r="H659" s="4" t="s">
        <v>1112</v>
      </c>
      <c r="I659" s="5" t="s">
        <v>2412</v>
      </c>
      <c r="J659" s="5" t="s">
        <v>24</v>
      </c>
      <c r="K659" s="5" t="s">
        <v>24</v>
      </c>
      <c r="L659" s="5" t="s">
        <v>75</v>
      </c>
      <c r="M659" s="5" t="s">
        <v>24</v>
      </c>
      <c r="N659" s="5" t="s">
        <v>24</v>
      </c>
      <c r="O659" s="5" t="s">
        <v>75</v>
      </c>
      <c r="P659" s="5" t="s">
        <v>2413</v>
      </c>
      <c r="Q659" s="2">
        <v>45966</v>
      </c>
      <c r="V659" s="45">
        <f t="shared" si="10"/>
        <v>1</v>
      </c>
      <c r="W659" s="45" t="s">
        <v>4715</v>
      </c>
    </row>
    <row r="660" spans="1:23" hidden="1">
      <c r="A660" s="2">
        <v>45905</v>
      </c>
      <c r="B660" s="1" t="s">
        <v>4716</v>
      </c>
      <c r="C660" s="1" t="s">
        <v>4717</v>
      </c>
      <c r="D660" s="1" t="s">
        <v>2439</v>
      </c>
      <c r="E660" s="1">
        <v>85022</v>
      </c>
      <c r="F660" s="1" t="s">
        <v>2406</v>
      </c>
      <c r="G660" s="1" t="s">
        <v>4464</v>
      </c>
      <c r="H660" s="4" t="s">
        <v>1114</v>
      </c>
      <c r="I660" s="5" t="s">
        <v>2412</v>
      </c>
      <c r="J660" s="5" t="s">
        <v>24</v>
      </c>
      <c r="K660" s="5" t="s">
        <v>24</v>
      </c>
      <c r="L660" s="5" t="s">
        <v>75</v>
      </c>
      <c r="M660" s="5" t="s">
        <v>24</v>
      </c>
      <c r="N660" s="5" t="s">
        <v>24</v>
      </c>
      <c r="O660" s="5" t="s">
        <v>75</v>
      </c>
      <c r="P660" s="5" t="s">
        <v>2413</v>
      </c>
      <c r="Q660" s="2">
        <v>45966</v>
      </c>
      <c r="V660" s="45">
        <f t="shared" si="10"/>
        <v>1</v>
      </c>
      <c r="W660" s="45" t="s">
        <v>4718</v>
      </c>
    </row>
    <row r="661" spans="1:23" hidden="1">
      <c r="A661" s="2">
        <v>45905</v>
      </c>
      <c r="B661" s="1" t="s">
        <v>4719</v>
      </c>
      <c r="C661" s="1" t="s">
        <v>4720</v>
      </c>
      <c r="D661" s="1" t="s">
        <v>2564</v>
      </c>
      <c r="E661" s="1">
        <v>85338</v>
      </c>
      <c r="F661" s="1" t="s">
        <v>4721</v>
      </c>
      <c r="G661" s="1" t="s">
        <v>4464</v>
      </c>
      <c r="H661" s="4" t="s">
        <v>1116</v>
      </c>
      <c r="I661" s="5" t="s">
        <v>2412</v>
      </c>
      <c r="J661" s="5" t="s">
        <v>24</v>
      </c>
      <c r="K661" s="5" t="s">
        <v>24</v>
      </c>
      <c r="L661" s="5" t="s">
        <v>75</v>
      </c>
      <c r="M661" s="5" t="s">
        <v>24</v>
      </c>
      <c r="N661" s="5" t="s">
        <v>24</v>
      </c>
      <c r="O661" s="5" t="s">
        <v>75</v>
      </c>
      <c r="P661" s="5" t="s">
        <v>2413</v>
      </c>
      <c r="Q661" s="2">
        <v>45966</v>
      </c>
      <c r="V661" s="45">
        <f t="shared" si="10"/>
        <v>1</v>
      </c>
      <c r="W661" s="45" t="s">
        <v>4722</v>
      </c>
    </row>
    <row r="662" spans="1:23" hidden="1">
      <c r="A662" s="2">
        <v>45905</v>
      </c>
      <c r="B662" s="1" t="s">
        <v>4723</v>
      </c>
      <c r="C662" s="1" t="s">
        <v>2609</v>
      </c>
      <c r="D662" s="1" t="s">
        <v>2564</v>
      </c>
      <c r="E662" s="1">
        <v>85395</v>
      </c>
      <c r="F662" s="1" t="s">
        <v>4724</v>
      </c>
      <c r="G662" s="1" t="s">
        <v>4464</v>
      </c>
      <c r="H662" s="4" t="s">
        <v>1118</v>
      </c>
      <c r="I662" s="5" t="s">
        <v>2412</v>
      </c>
      <c r="J662" s="5" t="s">
        <v>24</v>
      </c>
      <c r="K662" s="5" t="s">
        <v>24</v>
      </c>
      <c r="L662" s="5" t="s">
        <v>75</v>
      </c>
      <c r="M662" s="5" t="s">
        <v>24</v>
      </c>
      <c r="N662" s="5" t="s">
        <v>24</v>
      </c>
      <c r="O662" s="5" t="s">
        <v>75</v>
      </c>
      <c r="P662" s="5" t="s">
        <v>2413</v>
      </c>
      <c r="Q662" s="2">
        <v>45966</v>
      </c>
      <c r="V662" s="45">
        <f t="shared" si="10"/>
        <v>1</v>
      </c>
      <c r="W662" s="45" t="s">
        <v>4725</v>
      </c>
    </row>
    <row r="663" spans="1:23" hidden="1">
      <c r="A663" s="2">
        <v>45905</v>
      </c>
      <c r="B663" s="1" t="s">
        <v>3221</v>
      </c>
      <c r="C663" s="1" t="s">
        <v>4726</v>
      </c>
      <c r="D663" s="1" t="s">
        <v>2439</v>
      </c>
      <c r="E663" s="1">
        <v>85027</v>
      </c>
      <c r="F663" s="1" t="s">
        <v>4721</v>
      </c>
      <c r="G663" s="1" t="s">
        <v>4464</v>
      </c>
      <c r="H663" s="4" t="s">
        <v>628</v>
      </c>
      <c r="I663" s="5" t="s">
        <v>2514</v>
      </c>
      <c r="J663" s="5" t="s">
        <v>75</v>
      </c>
      <c r="K663" s="5" t="s">
        <v>24</v>
      </c>
      <c r="L663" s="5" t="s">
        <v>75</v>
      </c>
      <c r="M663" s="5" t="s">
        <v>75</v>
      </c>
      <c r="N663" s="15">
        <v>349.29</v>
      </c>
      <c r="O663" s="5" t="s">
        <v>75</v>
      </c>
      <c r="P663" s="5" t="s">
        <v>2413</v>
      </c>
      <c r="Q663" s="2">
        <v>45966</v>
      </c>
      <c r="R663" s="1" t="s">
        <v>2938</v>
      </c>
      <c r="V663" s="45">
        <f t="shared" si="10"/>
        <v>1</v>
      </c>
      <c r="W663" s="45" t="s">
        <v>4727</v>
      </c>
    </row>
    <row r="664" spans="1:23" hidden="1">
      <c r="A664" s="2">
        <v>45905</v>
      </c>
      <c r="B664" s="1" t="s">
        <v>2424</v>
      </c>
      <c r="C664" s="1" t="s">
        <v>3078</v>
      </c>
      <c r="D664" s="1" t="s">
        <v>2439</v>
      </c>
      <c r="E664" s="1">
        <v>85027</v>
      </c>
      <c r="F664" s="1" t="s">
        <v>2406</v>
      </c>
      <c r="G664" s="1" t="s">
        <v>4464</v>
      </c>
      <c r="H664" s="4" t="s">
        <v>1120</v>
      </c>
      <c r="I664" s="5" t="s">
        <v>2451</v>
      </c>
      <c r="J664" s="5" t="s">
        <v>24</v>
      </c>
      <c r="K664" s="5" t="s">
        <v>24</v>
      </c>
      <c r="L664" s="5" t="s">
        <v>75</v>
      </c>
      <c r="M664" s="5" t="s">
        <v>24</v>
      </c>
      <c r="N664" s="5" t="s">
        <v>24</v>
      </c>
      <c r="O664" s="5" t="s">
        <v>75</v>
      </c>
      <c r="P664" s="5" t="s">
        <v>2413</v>
      </c>
      <c r="Q664" s="2">
        <v>45966</v>
      </c>
      <c r="V664" s="45">
        <f t="shared" si="10"/>
        <v>1</v>
      </c>
      <c r="W664" s="45" t="s">
        <v>4728</v>
      </c>
    </row>
    <row r="665" spans="1:23" hidden="1">
      <c r="A665" s="2">
        <v>45905</v>
      </c>
      <c r="B665" s="1" t="s">
        <v>3722</v>
      </c>
      <c r="C665" s="1" t="s">
        <v>3561</v>
      </c>
      <c r="D665" s="1" t="s">
        <v>2605</v>
      </c>
      <c r="E665" s="1">
        <v>85383</v>
      </c>
      <c r="F665" s="1" t="s">
        <v>4729</v>
      </c>
      <c r="G665" s="1" t="s">
        <v>4464</v>
      </c>
      <c r="H665" s="4" t="s">
        <v>2613</v>
      </c>
      <c r="V665" s="45">
        <f t="shared" si="10"/>
        <v>1</v>
      </c>
      <c r="W665" s="45" t="s">
        <v>4730</v>
      </c>
    </row>
    <row r="666" spans="1:23" hidden="1">
      <c r="A666" s="2">
        <v>45905</v>
      </c>
      <c r="B666" s="1" t="s">
        <v>3821</v>
      </c>
      <c r="C666" s="1" t="s">
        <v>3822</v>
      </c>
      <c r="D666" s="1" t="s">
        <v>2605</v>
      </c>
      <c r="E666" s="1">
        <v>85383</v>
      </c>
      <c r="F666" s="1" t="s">
        <v>4731</v>
      </c>
      <c r="G666" s="1" t="s">
        <v>4464</v>
      </c>
      <c r="H666" s="4" t="s">
        <v>2471</v>
      </c>
      <c r="V666" s="45">
        <f t="shared" si="10"/>
        <v>1</v>
      </c>
      <c r="W666" s="45" t="s">
        <v>4732</v>
      </c>
    </row>
    <row r="667" spans="1:23" hidden="1">
      <c r="A667" s="2">
        <v>45905</v>
      </c>
      <c r="B667" s="1" t="s">
        <v>4733</v>
      </c>
      <c r="C667" s="1" t="s">
        <v>4734</v>
      </c>
      <c r="D667" s="1" t="s">
        <v>2570</v>
      </c>
      <c r="E667" s="1">
        <v>85396</v>
      </c>
      <c r="F667" s="1" t="s">
        <v>2406</v>
      </c>
      <c r="G667" s="1" t="s">
        <v>4464</v>
      </c>
      <c r="H667" s="4" t="s">
        <v>1122</v>
      </c>
      <c r="I667" s="5" t="s">
        <v>2597</v>
      </c>
      <c r="J667" s="5" t="s">
        <v>24</v>
      </c>
      <c r="K667" s="5" t="s">
        <v>24</v>
      </c>
      <c r="L667" s="5" t="s">
        <v>75</v>
      </c>
      <c r="M667" s="5" t="s">
        <v>24</v>
      </c>
      <c r="N667" s="5" t="s">
        <v>24</v>
      </c>
      <c r="O667" s="5" t="s">
        <v>75</v>
      </c>
      <c r="P667" s="5" t="s">
        <v>2413</v>
      </c>
      <c r="Q667" s="2">
        <v>45966</v>
      </c>
      <c r="V667" s="45">
        <f t="shared" si="10"/>
        <v>1</v>
      </c>
      <c r="W667" s="45" t="s">
        <v>4735</v>
      </c>
    </row>
    <row r="668" spans="1:23" hidden="1">
      <c r="A668" s="2">
        <v>45905</v>
      </c>
      <c r="B668" s="1" t="s">
        <v>4736</v>
      </c>
      <c r="C668" s="1" t="s">
        <v>4737</v>
      </c>
      <c r="D668" s="1" t="s">
        <v>2439</v>
      </c>
      <c r="E668" s="1">
        <v>85083</v>
      </c>
      <c r="F668" s="1" t="s">
        <v>2730</v>
      </c>
      <c r="G668" s="1" t="s">
        <v>4464</v>
      </c>
      <c r="H668" s="4" t="s">
        <v>1124</v>
      </c>
      <c r="I668" s="5" t="s">
        <v>2420</v>
      </c>
      <c r="J668" s="5" t="s">
        <v>24</v>
      </c>
      <c r="K668" s="5" t="s">
        <v>24</v>
      </c>
      <c r="L668" s="5" t="s">
        <v>75</v>
      </c>
      <c r="M668" s="5" t="s">
        <v>24</v>
      </c>
      <c r="N668" s="5" t="s">
        <v>24</v>
      </c>
      <c r="O668" s="5" t="s">
        <v>75</v>
      </c>
      <c r="P668" s="5" t="s">
        <v>2413</v>
      </c>
      <c r="Q668" s="2">
        <v>45966</v>
      </c>
      <c r="V668" s="45">
        <f t="shared" si="10"/>
        <v>1</v>
      </c>
      <c r="W668" s="45" t="s">
        <v>4738</v>
      </c>
    </row>
    <row r="669" spans="1:23" hidden="1">
      <c r="A669" s="2">
        <v>45905</v>
      </c>
      <c r="B669" s="1" t="s">
        <v>4739</v>
      </c>
      <c r="C669" s="1" t="s">
        <v>3050</v>
      </c>
      <c r="D669" s="1" t="s">
        <v>2439</v>
      </c>
      <c r="E669" s="1">
        <v>85083</v>
      </c>
      <c r="F669" s="1" t="s">
        <v>2406</v>
      </c>
      <c r="G669" s="1" t="s">
        <v>4464</v>
      </c>
      <c r="H669" s="4" t="s">
        <v>203</v>
      </c>
      <c r="I669" s="5" t="s">
        <v>2412</v>
      </c>
      <c r="J669" s="5" t="s">
        <v>24</v>
      </c>
      <c r="K669" s="5" t="s">
        <v>24</v>
      </c>
      <c r="L669" s="7" t="s">
        <v>4740</v>
      </c>
      <c r="M669" s="5" t="s">
        <v>24</v>
      </c>
      <c r="N669" s="5" t="s">
        <v>24</v>
      </c>
      <c r="O669" s="5" t="s">
        <v>75</v>
      </c>
      <c r="P669" s="5" t="s">
        <v>2413</v>
      </c>
      <c r="Q669" s="2">
        <v>45966</v>
      </c>
      <c r="R669" s="1" t="s">
        <v>4741</v>
      </c>
      <c r="V669" s="45">
        <f t="shared" si="10"/>
        <v>1</v>
      </c>
      <c r="W669" s="45" t="s">
        <v>4742</v>
      </c>
    </row>
    <row r="670" spans="1:23" hidden="1">
      <c r="A670" s="2">
        <v>45905</v>
      </c>
      <c r="B670" s="1" t="s">
        <v>4743</v>
      </c>
      <c r="C670" s="1" t="s">
        <v>4577</v>
      </c>
      <c r="D670" s="1" t="s">
        <v>2439</v>
      </c>
      <c r="E670" s="1">
        <v>85028</v>
      </c>
      <c r="F670" s="1" t="s">
        <v>4744</v>
      </c>
      <c r="G670" s="1" t="s">
        <v>4464</v>
      </c>
      <c r="H670" s="4" t="s">
        <v>1126</v>
      </c>
      <c r="I670" s="5" t="s">
        <v>2514</v>
      </c>
      <c r="J670" s="5" t="s">
        <v>24</v>
      </c>
      <c r="K670" s="5" t="s">
        <v>24</v>
      </c>
      <c r="L670" s="5" t="s">
        <v>75</v>
      </c>
      <c r="M670" s="5" t="s">
        <v>24</v>
      </c>
      <c r="N670" s="5" t="s">
        <v>24</v>
      </c>
      <c r="O670" s="5" t="s">
        <v>75</v>
      </c>
      <c r="P670" s="5" t="s">
        <v>2413</v>
      </c>
      <c r="Q670" s="2">
        <v>45966</v>
      </c>
      <c r="V670" s="45">
        <f t="shared" si="10"/>
        <v>1</v>
      </c>
      <c r="W670" s="45" t="s">
        <v>4745</v>
      </c>
    </row>
    <row r="671" spans="1:23" hidden="1">
      <c r="A671" s="2">
        <v>45905</v>
      </c>
      <c r="B671" s="1" t="s">
        <v>2857</v>
      </c>
      <c r="C671" s="1" t="s">
        <v>2941</v>
      </c>
      <c r="D671" s="1" t="s">
        <v>2439</v>
      </c>
      <c r="E671" s="1">
        <v>85022</v>
      </c>
      <c r="F671" s="1" t="s">
        <v>4746</v>
      </c>
      <c r="G671" s="1" t="s">
        <v>4464</v>
      </c>
      <c r="H671" s="4" t="s">
        <v>205</v>
      </c>
      <c r="I671" s="5" t="s">
        <v>2597</v>
      </c>
      <c r="J671" s="5" t="s">
        <v>24</v>
      </c>
      <c r="K671" s="5" t="s">
        <v>24</v>
      </c>
      <c r="L671" s="7" t="s">
        <v>4747</v>
      </c>
      <c r="M671" s="5" t="s">
        <v>24</v>
      </c>
      <c r="N671" s="5" t="s">
        <v>24</v>
      </c>
      <c r="O671" s="5" t="s">
        <v>75</v>
      </c>
      <c r="P671" s="2">
        <v>45936</v>
      </c>
      <c r="Q671" s="2">
        <v>45966</v>
      </c>
      <c r="R671" s="1" t="s">
        <v>4748</v>
      </c>
      <c r="V671" s="45">
        <f t="shared" si="10"/>
        <v>1</v>
      </c>
      <c r="W671" s="45" t="s">
        <v>4749</v>
      </c>
    </row>
    <row r="672" spans="1:23" hidden="1">
      <c r="A672" s="2">
        <v>45905</v>
      </c>
      <c r="B672" s="1" t="s">
        <v>4750</v>
      </c>
      <c r="C672" s="1" t="s">
        <v>4751</v>
      </c>
      <c r="D672" s="1" t="s">
        <v>2605</v>
      </c>
      <c r="E672" s="1">
        <v>85383</v>
      </c>
      <c r="F672" s="1" t="s">
        <v>2730</v>
      </c>
      <c r="G672" s="1" t="s">
        <v>4464</v>
      </c>
      <c r="H672" s="4" t="s">
        <v>2401</v>
      </c>
      <c r="V672" s="45">
        <f t="shared" si="10"/>
        <v>1</v>
      </c>
      <c r="W672" s="45" t="s">
        <v>4752</v>
      </c>
    </row>
    <row r="673" spans="1:23" hidden="1">
      <c r="A673" s="2">
        <v>45905</v>
      </c>
      <c r="B673" s="1" t="s">
        <v>4753</v>
      </c>
      <c r="C673" s="1" t="s">
        <v>4754</v>
      </c>
      <c r="D673" s="1" t="s">
        <v>2605</v>
      </c>
      <c r="E673" s="1">
        <v>85383</v>
      </c>
      <c r="F673" s="1" t="s">
        <v>2730</v>
      </c>
      <c r="G673" s="1" t="s">
        <v>4464</v>
      </c>
      <c r="H673" s="4" t="s">
        <v>1128</v>
      </c>
      <c r="I673" s="5" t="s">
        <v>2848</v>
      </c>
      <c r="J673" s="5" t="s">
        <v>24</v>
      </c>
      <c r="K673" s="5" t="s">
        <v>24</v>
      </c>
      <c r="L673" s="5" t="s">
        <v>2819</v>
      </c>
      <c r="M673" s="5" t="s">
        <v>24</v>
      </c>
      <c r="N673" s="5" t="s">
        <v>24</v>
      </c>
      <c r="O673" s="5" t="s">
        <v>75</v>
      </c>
      <c r="P673" s="5" t="s">
        <v>2413</v>
      </c>
      <c r="Q673" s="2">
        <v>45966</v>
      </c>
      <c r="V673" s="45">
        <f t="shared" si="10"/>
        <v>1</v>
      </c>
      <c r="W673" s="45" t="s">
        <v>4755</v>
      </c>
    </row>
    <row r="674" spans="1:23" hidden="1">
      <c r="A674" s="2">
        <v>45905</v>
      </c>
      <c r="B674" s="1" t="s">
        <v>4756</v>
      </c>
      <c r="C674" s="1" t="s">
        <v>3712</v>
      </c>
      <c r="D674" s="1" t="s">
        <v>2498</v>
      </c>
      <c r="E674" s="1">
        <v>85388</v>
      </c>
      <c r="F674" s="1" t="s">
        <v>4757</v>
      </c>
      <c r="G674" s="1" t="s">
        <v>4464</v>
      </c>
      <c r="H674" s="4" t="s">
        <v>208</v>
      </c>
      <c r="I674" s="5" t="s">
        <v>2597</v>
      </c>
      <c r="J674" s="5" t="s">
        <v>24</v>
      </c>
      <c r="K674" s="5" t="s">
        <v>24</v>
      </c>
      <c r="L674" s="7" t="s">
        <v>4758</v>
      </c>
      <c r="M674" s="5" t="s">
        <v>24</v>
      </c>
      <c r="N674" s="5" t="s">
        <v>24</v>
      </c>
      <c r="O674" s="5" t="s">
        <v>75</v>
      </c>
      <c r="P674" s="2">
        <v>45936</v>
      </c>
      <c r="Q674" s="2">
        <v>45966</v>
      </c>
      <c r="R674" s="22" t="s">
        <v>4759</v>
      </c>
      <c r="V674" s="45">
        <f t="shared" si="10"/>
        <v>1</v>
      </c>
      <c r="W674" s="45" t="s">
        <v>4760</v>
      </c>
    </row>
    <row r="675" spans="1:23" hidden="1">
      <c r="A675" s="2">
        <v>45905</v>
      </c>
      <c r="B675" s="1" t="s">
        <v>4761</v>
      </c>
      <c r="C675" s="1" t="s">
        <v>4762</v>
      </c>
      <c r="D675" s="1" t="s">
        <v>2439</v>
      </c>
      <c r="E675" s="1">
        <v>85021</v>
      </c>
      <c r="F675" s="1" t="s">
        <v>4763</v>
      </c>
      <c r="G675" s="1" t="s">
        <v>4464</v>
      </c>
      <c r="H675" s="4" t="s">
        <v>1130</v>
      </c>
      <c r="I675" s="5" t="s">
        <v>2420</v>
      </c>
      <c r="J675" s="5" t="s">
        <v>24</v>
      </c>
      <c r="K675" s="5" t="s">
        <v>24</v>
      </c>
      <c r="L675" s="5" t="s">
        <v>75</v>
      </c>
      <c r="M675" s="5" t="s">
        <v>24</v>
      </c>
      <c r="N675" s="5" t="s">
        <v>24</v>
      </c>
      <c r="O675" s="5" t="s">
        <v>75</v>
      </c>
      <c r="P675" s="5" t="s">
        <v>2413</v>
      </c>
      <c r="Q675" s="2">
        <v>45966</v>
      </c>
      <c r="V675" s="45">
        <f t="shared" si="10"/>
        <v>1</v>
      </c>
      <c r="W675" s="45" t="s">
        <v>4764</v>
      </c>
    </row>
    <row r="676" spans="1:23" hidden="1">
      <c r="A676" s="2">
        <v>45905</v>
      </c>
      <c r="B676" s="1" t="s">
        <v>4765</v>
      </c>
      <c r="C676" s="1" t="s">
        <v>2733</v>
      </c>
      <c r="D676" s="1" t="s">
        <v>2513</v>
      </c>
      <c r="E676" s="1">
        <v>85255</v>
      </c>
      <c r="F676" s="1" t="s">
        <v>2730</v>
      </c>
      <c r="G676" s="1" t="s">
        <v>4464</v>
      </c>
      <c r="H676" s="4" t="s">
        <v>210</v>
      </c>
      <c r="I676" s="5" t="s">
        <v>2597</v>
      </c>
      <c r="J676" s="5" t="s">
        <v>24</v>
      </c>
      <c r="K676" s="5" t="s">
        <v>24</v>
      </c>
      <c r="L676" s="7" t="s">
        <v>4766</v>
      </c>
      <c r="M676" s="5" t="s">
        <v>24</v>
      </c>
      <c r="N676" s="5" t="s">
        <v>24</v>
      </c>
      <c r="O676" s="5" t="s">
        <v>75</v>
      </c>
      <c r="P676" s="2">
        <v>45936</v>
      </c>
      <c r="Q676" s="2">
        <v>45966</v>
      </c>
      <c r="R676" s="1" t="s">
        <v>4767</v>
      </c>
      <c r="V676" s="45">
        <f t="shared" si="10"/>
        <v>1</v>
      </c>
      <c r="W676" s="45" t="s">
        <v>4768</v>
      </c>
    </row>
    <row r="677" spans="1:23" hidden="1">
      <c r="A677" s="2">
        <v>45905</v>
      </c>
      <c r="B677" s="1" t="s">
        <v>4769</v>
      </c>
      <c r="C677" s="1" t="s">
        <v>3407</v>
      </c>
      <c r="D677" s="1" t="s">
        <v>2439</v>
      </c>
      <c r="E677" s="1">
        <v>85016</v>
      </c>
      <c r="F677" s="1" t="s">
        <v>4770</v>
      </c>
      <c r="G677" s="1" t="s">
        <v>4464</v>
      </c>
      <c r="H677" s="4" t="s">
        <v>1132</v>
      </c>
      <c r="I677" s="5" t="s">
        <v>2412</v>
      </c>
      <c r="J677" s="5" t="s">
        <v>24</v>
      </c>
      <c r="K677" s="5" t="s">
        <v>24</v>
      </c>
      <c r="L677" s="5" t="s">
        <v>75</v>
      </c>
      <c r="M677" s="5" t="s">
        <v>24</v>
      </c>
      <c r="N677" s="5" t="s">
        <v>24</v>
      </c>
      <c r="O677" s="5" t="s">
        <v>75</v>
      </c>
      <c r="P677" s="5" t="s">
        <v>2413</v>
      </c>
      <c r="Q677" s="2">
        <v>45966</v>
      </c>
      <c r="V677" s="45">
        <f t="shared" si="10"/>
        <v>1</v>
      </c>
      <c r="W677" s="45" t="s">
        <v>4771</v>
      </c>
    </row>
    <row r="678" spans="1:23" hidden="1">
      <c r="A678" s="2">
        <v>45905</v>
      </c>
      <c r="B678" s="1" t="s">
        <v>4772</v>
      </c>
      <c r="C678" s="1" t="s">
        <v>4773</v>
      </c>
      <c r="D678" s="1" t="s">
        <v>2605</v>
      </c>
      <c r="E678" s="1">
        <v>85383</v>
      </c>
      <c r="F678" s="1" t="s">
        <v>2406</v>
      </c>
      <c r="G678" s="1" t="s">
        <v>4464</v>
      </c>
      <c r="H678" s="4" t="s">
        <v>213</v>
      </c>
      <c r="I678" s="5" t="s">
        <v>2597</v>
      </c>
      <c r="J678" s="5" t="s">
        <v>24</v>
      </c>
      <c r="K678" s="5" t="s">
        <v>24</v>
      </c>
      <c r="L678" s="7" t="s">
        <v>4774</v>
      </c>
      <c r="M678" s="5" t="s">
        <v>24</v>
      </c>
      <c r="N678" s="5" t="s">
        <v>24</v>
      </c>
      <c r="O678" s="5" t="s">
        <v>75</v>
      </c>
      <c r="P678" s="2">
        <v>45936</v>
      </c>
      <c r="Q678" s="2">
        <v>45966</v>
      </c>
      <c r="R678" s="1" t="s">
        <v>4775</v>
      </c>
      <c r="V678" s="45">
        <f t="shared" si="10"/>
        <v>1</v>
      </c>
      <c r="W678" s="125" t="s">
        <v>4776</v>
      </c>
    </row>
    <row r="679" spans="1:23" hidden="1">
      <c r="A679" s="2">
        <v>45905</v>
      </c>
      <c r="B679" s="1" t="s">
        <v>4777</v>
      </c>
      <c r="C679" s="1" t="s">
        <v>2749</v>
      </c>
      <c r="D679" s="1" t="s">
        <v>2439</v>
      </c>
      <c r="E679" s="1">
        <v>85003</v>
      </c>
      <c r="F679" s="1" t="s">
        <v>4778</v>
      </c>
      <c r="G679" s="1" t="s">
        <v>4464</v>
      </c>
      <c r="H679" s="4" t="s">
        <v>217</v>
      </c>
      <c r="I679" s="5" t="s">
        <v>2597</v>
      </c>
      <c r="J679" s="5" t="s">
        <v>75</v>
      </c>
      <c r="K679" s="5" t="s">
        <v>24</v>
      </c>
      <c r="L679" s="5" t="s">
        <v>4779</v>
      </c>
      <c r="M679" s="5" t="s">
        <v>24</v>
      </c>
      <c r="N679" s="5" t="s">
        <v>24</v>
      </c>
      <c r="O679" s="5" t="s">
        <v>75</v>
      </c>
      <c r="P679" s="5" t="s">
        <v>2413</v>
      </c>
      <c r="Q679" s="2">
        <v>45966</v>
      </c>
      <c r="V679" s="45">
        <f t="shared" si="10"/>
        <v>1</v>
      </c>
      <c r="W679" s="45" t="s">
        <v>4780</v>
      </c>
    </row>
    <row r="680" spans="1:23" hidden="1">
      <c r="A680" s="2">
        <v>45905</v>
      </c>
      <c r="B680" s="1" t="s">
        <v>4781</v>
      </c>
      <c r="C680" s="1" t="s">
        <v>3221</v>
      </c>
      <c r="D680" s="1" t="s">
        <v>2605</v>
      </c>
      <c r="E680" s="1">
        <v>85383</v>
      </c>
      <c r="F680" s="1" t="s">
        <v>2730</v>
      </c>
      <c r="G680" s="1" t="s">
        <v>4464</v>
      </c>
      <c r="H680" s="21" t="s">
        <v>4782</v>
      </c>
      <c r="I680" s="5" t="s">
        <v>2420</v>
      </c>
      <c r="J680" s="5" t="s">
        <v>24</v>
      </c>
      <c r="K680" s="5" t="s">
        <v>24</v>
      </c>
      <c r="L680" s="5" t="s">
        <v>75</v>
      </c>
      <c r="M680" s="5" t="s">
        <v>24</v>
      </c>
      <c r="N680" s="5" t="s">
        <v>24</v>
      </c>
      <c r="O680" s="5" t="s">
        <v>75</v>
      </c>
      <c r="P680" s="5" t="s">
        <v>2413</v>
      </c>
      <c r="Q680" s="2">
        <v>45966</v>
      </c>
      <c r="V680" s="45">
        <f t="shared" si="10"/>
        <v>1</v>
      </c>
      <c r="W680" s="45" t="s">
        <v>4783</v>
      </c>
    </row>
    <row r="681" spans="1:23" hidden="1">
      <c r="A681" s="2">
        <v>45905</v>
      </c>
      <c r="B681" s="1" t="s">
        <v>4417</v>
      </c>
      <c r="C681" s="1" t="s">
        <v>2997</v>
      </c>
      <c r="D681" s="1" t="s">
        <v>2439</v>
      </c>
      <c r="E681" s="1">
        <v>85007</v>
      </c>
      <c r="F681" s="1" t="s">
        <v>2730</v>
      </c>
      <c r="G681" s="1" t="s">
        <v>4464</v>
      </c>
      <c r="H681" s="4" t="s">
        <v>2401</v>
      </c>
      <c r="V681" s="45">
        <f t="shared" si="10"/>
        <v>1</v>
      </c>
      <c r="W681" s="45" t="s">
        <v>4784</v>
      </c>
    </row>
    <row r="682" spans="1:23" hidden="1">
      <c r="A682" s="2">
        <v>45905</v>
      </c>
      <c r="B682" s="1" t="s">
        <v>4785</v>
      </c>
      <c r="C682" s="1" t="s">
        <v>3423</v>
      </c>
      <c r="D682" s="1" t="s">
        <v>2513</v>
      </c>
      <c r="E682" s="1">
        <v>85255</v>
      </c>
      <c r="F682" s="1" t="s">
        <v>2406</v>
      </c>
      <c r="G682" s="1" t="s">
        <v>4464</v>
      </c>
      <c r="H682" s="4" t="s">
        <v>1134</v>
      </c>
      <c r="I682" s="5" t="s">
        <v>2659</v>
      </c>
      <c r="J682" s="5" t="s">
        <v>24</v>
      </c>
      <c r="K682" s="5" t="s">
        <v>24</v>
      </c>
      <c r="L682" s="5" t="s">
        <v>75</v>
      </c>
      <c r="M682" s="5" t="s">
        <v>24</v>
      </c>
      <c r="N682" s="5" t="s">
        <v>24</v>
      </c>
      <c r="O682" s="5" t="s">
        <v>75</v>
      </c>
      <c r="P682" s="5" t="s">
        <v>2413</v>
      </c>
      <c r="Q682" s="2">
        <v>45966</v>
      </c>
      <c r="V682" s="45">
        <f t="shared" si="10"/>
        <v>1</v>
      </c>
      <c r="W682" s="45" t="s">
        <v>4786</v>
      </c>
    </row>
    <row r="683" spans="1:23" hidden="1">
      <c r="A683" s="2">
        <v>45905</v>
      </c>
      <c r="B683" s="1" t="s">
        <v>4787</v>
      </c>
      <c r="C683" s="1" t="s">
        <v>4788</v>
      </c>
      <c r="D683" s="1" t="s">
        <v>3090</v>
      </c>
      <c r="E683" s="1">
        <v>85288</v>
      </c>
      <c r="F683" s="1" t="s">
        <v>2730</v>
      </c>
      <c r="G683" s="1" t="s">
        <v>4464</v>
      </c>
      <c r="H683" s="4" t="s">
        <v>220</v>
      </c>
      <c r="I683" s="5" t="s">
        <v>2597</v>
      </c>
      <c r="J683" s="5" t="s">
        <v>24</v>
      </c>
      <c r="K683" s="5" t="s">
        <v>24</v>
      </c>
      <c r="L683" s="7" t="s">
        <v>4789</v>
      </c>
      <c r="M683" s="5" t="s">
        <v>24</v>
      </c>
      <c r="N683" s="5" t="s">
        <v>24</v>
      </c>
      <c r="O683" s="5" t="s">
        <v>75</v>
      </c>
      <c r="P683" s="2">
        <v>45936</v>
      </c>
      <c r="Q683" s="2">
        <v>45966</v>
      </c>
      <c r="R683" s="1" t="s">
        <v>4790</v>
      </c>
      <c r="V683" s="45">
        <f t="shared" si="10"/>
        <v>1</v>
      </c>
      <c r="W683" s="45" t="s">
        <v>4791</v>
      </c>
    </row>
    <row r="684" spans="1:23" hidden="1">
      <c r="A684" s="2">
        <v>45905</v>
      </c>
      <c r="B684" s="1" t="s">
        <v>4792</v>
      </c>
      <c r="C684" s="1" t="s">
        <v>2760</v>
      </c>
      <c r="D684" s="1" t="s">
        <v>2439</v>
      </c>
      <c r="E684" s="1">
        <v>85024</v>
      </c>
      <c r="F684" s="1" t="s">
        <v>2730</v>
      </c>
      <c r="G684" s="1" t="s">
        <v>4464</v>
      </c>
      <c r="H684" s="4" t="s">
        <v>1136</v>
      </c>
      <c r="I684" s="5" t="s">
        <v>2597</v>
      </c>
      <c r="J684" s="5" t="s">
        <v>24</v>
      </c>
      <c r="K684" s="5" t="s">
        <v>24</v>
      </c>
      <c r="L684" s="5" t="s">
        <v>75</v>
      </c>
      <c r="M684" s="5" t="s">
        <v>24</v>
      </c>
      <c r="N684" s="5" t="s">
        <v>24</v>
      </c>
      <c r="O684" s="5" t="s">
        <v>75</v>
      </c>
      <c r="P684" s="5" t="s">
        <v>2413</v>
      </c>
      <c r="Q684" s="2">
        <v>45966</v>
      </c>
      <c r="V684" s="45">
        <f t="shared" si="10"/>
        <v>1</v>
      </c>
      <c r="W684" s="45" t="s">
        <v>4793</v>
      </c>
    </row>
    <row r="685" spans="1:23" hidden="1">
      <c r="A685" s="2">
        <v>45905</v>
      </c>
      <c r="B685" s="1" t="s">
        <v>4794</v>
      </c>
      <c r="C685" s="1" t="s">
        <v>2632</v>
      </c>
      <c r="D685" s="1" t="s">
        <v>2862</v>
      </c>
      <c r="E685" s="1">
        <v>85335</v>
      </c>
      <c r="F685" s="1" t="s">
        <v>4795</v>
      </c>
      <c r="G685" s="1" t="s">
        <v>4464</v>
      </c>
      <c r="H685" s="4" t="s">
        <v>1138</v>
      </c>
      <c r="I685" s="5" t="s">
        <v>2420</v>
      </c>
      <c r="J685" s="5" t="s">
        <v>24</v>
      </c>
      <c r="K685" s="5" t="s">
        <v>24</v>
      </c>
      <c r="L685" s="5" t="s">
        <v>75</v>
      </c>
      <c r="M685" s="5" t="s">
        <v>24</v>
      </c>
      <c r="N685" s="5" t="s">
        <v>24</v>
      </c>
      <c r="O685" s="5" t="s">
        <v>75</v>
      </c>
      <c r="P685" s="5" t="s">
        <v>2413</v>
      </c>
      <c r="Q685" s="2">
        <v>45966</v>
      </c>
      <c r="V685" s="45">
        <f t="shared" si="10"/>
        <v>1</v>
      </c>
      <c r="W685" s="45" t="s">
        <v>4796</v>
      </c>
    </row>
    <row r="686" spans="1:23" hidden="1">
      <c r="A686" s="2">
        <v>45905</v>
      </c>
      <c r="B686" s="1" t="s">
        <v>4797</v>
      </c>
      <c r="C686" s="1" t="s">
        <v>3175</v>
      </c>
      <c r="D686" s="1" t="s">
        <v>2564</v>
      </c>
      <c r="E686" s="1">
        <v>85338</v>
      </c>
      <c r="F686" s="1" t="s">
        <v>2406</v>
      </c>
      <c r="G686" s="1" t="s">
        <v>4464</v>
      </c>
      <c r="H686" s="4" t="s">
        <v>1140</v>
      </c>
      <c r="I686" s="5" t="s">
        <v>2412</v>
      </c>
      <c r="J686" s="5" t="s">
        <v>75</v>
      </c>
      <c r="K686" s="5" t="s">
        <v>24</v>
      </c>
      <c r="L686" s="5" t="s">
        <v>75</v>
      </c>
      <c r="M686" s="5" t="s">
        <v>24</v>
      </c>
      <c r="N686" s="5" t="s">
        <v>24</v>
      </c>
      <c r="O686" s="5" t="s">
        <v>75</v>
      </c>
      <c r="P686" s="5" t="s">
        <v>2413</v>
      </c>
      <c r="Q686" s="2">
        <v>45966</v>
      </c>
      <c r="V686" s="45">
        <f t="shared" si="10"/>
        <v>1</v>
      </c>
      <c r="W686" s="45" t="s">
        <v>4798</v>
      </c>
    </row>
    <row r="687" spans="1:23" hidden="1">
      <c r="A687" s="2">
        <v>45905</v>
      </c>
      <c r="B687" s="1" t="s">
        <v>4799</v>
      </c>
      <c r="C687" s="1" t="s">
        <v>2997</v>
      </c>
      <c r="D687" s="1" t="s">
        <v>2605</v>
      </c>
      <c r="E687" s="1">
        <v>85383</v>
      </c>
      <c r="F687" s="1" t="s">
        <v>2730</v>
      </c>
      <c r="G687" s="1" t="s">
        <v>4464</v>
      </c>
      <c r="H687" s="4" t="s">
        <v>222</v>
      </c>
      <c r="I687" s="5" t="s">
        <v>2597</v>
      </c>
      <c r="J687" s="5" t="s">
        <v>24</v>
      </c>
      <c r="K687" s="5" t="s">
        <v>24</v>
      </c>
      <c r="L687" s="7" t="s">
        <v>4800</v>
      </c>
      <c r="M687" s="5" t="s">
        <v>24</v>
      </c>
      <c r="N687" s="5" t="s">
        <v>24</v>
      </c>
      <c r="O687" s="5" t="s">
        <v>75</v>
      </c>
      <c r="P687" s="2">
        <v>45936</v>
      </c>
      <c r="Q687" s="2">
        <v>45966</v>
      </c>
      <c r="R687" s="1" t="s">
        <v>4474</v>
      </c>
      <c r="V687" s="45">
        <f t="shared" si="10"/>
        <v>1</v>
      </c>
      <c r="W687" s="45" t="s">
        <v>4801</v>
      </c>
    </row>
    <row r="688" spans="1:23" hidden="1">
      <c r="A688" s="2">
        <v>45905</v>
      </c>
      <c r="B688" s="1" t="s">
        <v>4802</v>
      </c>
      <c r="C688" s="1" t="s">
        <v>4803</v>
      </c>
      <c r="D688" s="1" t="s">
        <v>2498</v>
      </c>
      <c r="E688" s="1">
        <v>85374</v>
      </c>
      <c r="F688" s="1" t="s">
        <v>2730</v>
      </c>
      <c r="G688" s="1" t="s">
        <v>4464</v>
      </c>
      <c r="H688" s="4" t="s">
        <v>2471</v>
      </c>
      <c r="V688" s="45">
        <f t="shared" si="10"/>
        <v>1</v>
      </c>
      <c r="W688" s="45" t="s">
        <v>4804</v>
      </c>
    </row>
    <row r="689" spans="1:23" hidden="1">
      <c r="A689" s="2">
        <v>45905</v>
      </c>
      <c r="B689" s="1" t="s">
        <v>3813</v>
      </c>
      <c r="C689" s="1" t="s">
        <v>4447</v>
      </c>
      <c r="D689" s="1" t="s">
        <v>2498</v>
      </c>
      <c r="E689" s="1">
        <v>85379</v>
      </c>
      <c r="F689" s="1" t="s">
        <v>2730</v>
      </c>
      <c r="G689" s="1" t="s">
        <v>4464</v>
      </c>
      <c r="H689" s="4" t="s">
        <v>1142</v>
      </c>
      <c r="I689" s="5" t="s">
        <v>2659</v>
      </c>
      <c r="J689" s="5" t="s">
        <v>24</v>
      </c>
      <c r="K689" s="5" t="s">
        <v>24</v>
      </c>
      <c r="L689" s="5" t="s">
        <v>75</v>
      </c>
      <c r="M689" s="5" t="s">
        <v>24</v>
      </c>
      <c r="N689" s="5" t="s">
        <v>24</v>
      </c>
      <c r="O689" s="5" t="s">
        <v>75</v>
      </c>
      <c r="P689" s="5" t="s">
        <v>2413</v>
      </c>
      <c r="Q689" s="2">
        <v>45966</v>
      </c>
      <c r="V689" s="45">
        <f t="shared" si="10"/>
        <v>1</v>
      </c>
      <c r="W689" s="45" t="s">
        <v>4805</v>
      </c>
    </row>
    <row r="690" spans="1:23" hidden="1">
      <c r="A690" s="2">
        <v>45905</v>
      </c>
      <c r="B690" s="1" t="s">
        <v>4799</v>
      </c>
      <c r="C690" s="1" t="s">
        <v>4656</v>
      </c>
      <c r="D690" s="1" t="s">
        <v>2605</v>
      </c>
      <c r="E690" s="1">
        <v>85383</v>
      </c>
      <c r="F690" s="1" t="s">
        <v>2730</v>
      </c>
      <c r="G690" s="1" t="s">
        <v>4464</v>
      </c>
      <c r="H690" s="4" t="s">
        <v>222</v>
      </c>
      <c r="I690" s="5" t="s">
        <v>2597</v>
      </c>
      <c r="J690" s="5" t="s">
        <v>24</v>
      </c>
      <c r="K690" s="5" t="s">
        <v>24</v>
      </c>
      <c r="L690" s="7" t="s">
        <v>4800</v>
      </c>
      <c r="M690" s="5" t="s">
        <v>24</v>
      </c>
      <c r="N690" s="5" t="s">
        <v>24</v>
      </c>
      <c r="O690" s="5" t="s">
        <v>75</v>
      </c>
      <c r="P690" s="2">
        <v>45936</v>
      </c>
      <c r="Q690" s="2">
        <v>45966</v>
      </c>
      <c r="R690" s="1" t="s">
        <v>4474</v>
      </c>
      <c r="V690" s="45">
        <f t="shared" si="10"/>
        <v>1</v>
      </c>
      <c r="W690" s="45" t="s">
        <v>4806</v>
      </c>
    </row>
    <row r="691" spans="1:23" hidden="1">
      <c r="A691" s="2">
        <v>45905</v>
      </c>
      <c r="B691" s="1" t="s">
        <v>4807</v>
      </c>
      <c r="C691" s="1" t="s">
        <v>3143</v>
      </c>
      <c r="D691" s="1" t="s">
        <v>2439</v>
      </c>
      <c r="E691" s="1">
        <v>85020</v>
      </c>
      <c r="F691" s="1" t="s">
        <v>2406</v>
      </c>
      <c r="G691" s="1" t="s">
        <v>4464</v>
      </c>
      <c r="H691" s="4" t="s">
        <v>199</v>
      </c>
      <c r="I691" s="5" t="s">
        <v>2412</v>
      </c>
      <c r="J691" s="5" t="s">
        <v>24</v>
      </c>
      <c r="K691" s="5" t="s">
        <v>24</v>
      </c>
      <c r="L691" s="7" t="s">
        <v>4808</v>
      </c>
      <c r="M691" s="5" t="s">
        <v>24</v>
      </c>
      <c r="N691" s="5" t="s">
        <v>24</v>
      </c>
      <c r="O691" s="5" t="s">
        <v>75</v>
      </c>
      <c r="P691" s="2">
        <v>45936</v>
      </c>
      <c r="Q691" s="2">
        <v>45966</v>
      </c>
      <c r="R691" s="1" t="s">
        <v>4809</v>
      </c>
      <c r="V691" s="45">
        <f t="shared" si="10"/>
        <v>1</v>
      </c>
      <c r="W691" s="45" t="s">
        <v>4810</v>
      </c>
    </row>
    <row r="692" spans="1:23" hidden="1">
      <c r="A692" s="2">
        <v>45905</v>
      </c>
      <c r="B692" s="1" t="s">
        <v>4811</v>
      </c>
      <c r="C692" s="1" t="s">
        <v>4812</v>
      </c>
      <c r="D692" s="1" t="s">
        <v>2513</v>
      </c>
      <c r="E692" s="1">
        <v>85254</v>
      </c>
      <c r="F692" s="1" t="s">
        <v>2730</v>
      </c>
      <c r="G692" s="1" t="s">
        <v>4464</v>
      </c>
      <c r="H692" s="4" t="s">
        <v>2401</v>
      </c>
      <c r="V692" s="45">
        <f t="shared" si="10"/>
        <v>1</v>
      </c>
      <c r="W692" s="45" t="s">
        <v>4813</v>
      </c>
    </row>
    <row r="693" spans="1:23" hidden="1">
      <c r="A693" s="2">
        <v>45905</v>
      </c>
      <c r="B693" s="1" t="s">
        <v>4814</v>
      </c>
      <c r="C693" s="1" t="s">
        <v>3310</v>
      </c>
      <c r="D693" s="1" t="s">
        <v>2513</v>
      </c>
      <c r="E693" s="1">
        <v>85258</v>
      </c>
      <c r="F693" s="1" t="s">
        <v>2406</v>
      </c>
      <c r="G693" s="1" t="s">
        <v>4464</v>
      </c>
      <c r="H693" s="21" t="s">
        <v>4815</v>
      </c>
      <c r="I693" s="5" t="s">
        <v>2988</v>
      </c>
      <c r="J693" s="5" t="s">
        <v>24</v>
      </c>
      <c r="K693" s="5" t="s">
        <v>24</v>
      </c>
      <c r="L693" s="5" t="s">
        <v>2819</v>
      </c>
      <c r="M693" s="5" t="s">
        <v>24</v>
      </c>
      <c r="N693" s="5" t="s">
        <v>24</v>
      </c>
      <c r="O693" s="5" t="s">
        <v>75</v>
      </c>
      <c r="P693" s="5" t="s">
        <v>2413</v>
      </c>
      <c r="Q693" s="2">
        <v>45966</v>
      </c>
      <c r="V693" s="45">
        <f t="shared" si="10"/>
        <v>1</v>
      </c>
      <c r="W693" s="45" t="s">
        <v>4816</v>
      </c>
    </row>
    <row r="694" spans="1:23" hidden="1">
      <c r="A694" s="2">
        <v>45905</v>
      </c>
      <c r="B694" s="1" t="s">
        <v>2787</v>
      </c>
      <c r="C694" s="1" t="s">
        <v>20</v>
      </c>
      <c r="D694" s="1" t="s">
        <v>2570</v>
      </c>
      <c r="E694" s="1">
        <v>85326</v>
      </c>
      <c r="F694" s="1" t="s">
        <v>2730</v>
      </c>
      <c r="G694" s="1" t="s">
        <v>4464</v>
      </c>
      <c r="H694" s="4" t="s">
        <v>2613</v>
      </c>
      <c r="V694" s="45">
        <f t="shared" si="10"/>
        <v>1</v>
      </c>
      <c r="W694" s="45" t="s">
        <v>4817</v>
      </c>
    </row>
    <row r="695" spans="1:23" hidden="1">
      <c r="A695" s="2">
        <v>45905</v>
      </c>
      <c r="B695" s="1" t="s">
        <v>4818</v>
      </c>
      <c r="C695" s="1" t="s">
        <v>2754</v>
      </c>
      <c r="D695" s="1" t="s">
        <v>2498</v>
      </c>
      <c r="E695" s="1">
        <v>85388</v>
      </c>
      <c r="F695" s="1" t="s">
        <v>2730</v>
      </c>
      <c r="G695" s="1" t="s">
        <v>4464</v>
      </c>
      <c r="H695" s="4" t="s">
        <v>1144</v>
      </c>
      <c r="I695" s="5" t="s">
        <v>2412</v>
      </c>
      <c r="J695" s="5" t="s">
        <v>24</v>
      </c>
      <c r="K695" s="5" t="s">
        <v>24</v>
      </c>
      <c r="L695" s="5" t="s">
        <v>75</v>
      </c>
      <c r="M695" s="5" t="s">
        <v>24</v>
      </c>
      <c r="N695" s="5" t="s">
        <v>24</v>
      </c>
      <c r="O695" s="5" t="s">
        <v>75</v>
      </c>
      <c r="P695" s="5" t="s">
        <v>2413</v>
      </c>
      <c r="Q695" s="2">
        <v>45966</v>
      </c>
      <c r="V695" s="45">
        <f t="shared" si="10"/>
        <v>1</v>
      </c>
      <c r="W695" s="45" t="s">
        <v>4819</v>
      </c>
    </row>
    <row r="696" spans="1:23" hidden="1">
      <c r="A696" s="2">
        <v>45905</v>
      </c>
      <c r="B696" s="1" t="s">
        <v>4820</v>
      </c>
      <c r="C696" s="1" t="s">
        <v>4821</v>
      </c>
      <c r="D696" s="1" t="s">
        <v>2439</v>
      </c>
      <c r="E696" s="1">
        <v>85014</v>
      </c>
      <c r="F696" s="1" t="s">
        <v>2406</v>
      </c>
      <c r="G696" s="1" t="s">
        <v>4464</v>
      </c>
      <c r="H696" s="4" t="s">
        <v>224</v>
      </c>
      <c r="I696" s="5" t="s">
        <v>2412</v>
      </c>
      <c r="J696" s="5" t="s">
        <v>24</v>
      </c>
      <c r="K696" s="5" t="s">
        <v>24</v>
      </c>
      <c r="L696" s="7" t="s">
        <v>4822</v>
      </c>
      <c r="M696" s="5" t="s">
        <v>24</v>
      </c>
      <c r="N696" s="5" t="s">
        <v>24</v>
      </c>
      <c r="O696" s="5" t="s">
        <v>75</v>
      </c>
      <c r="P696" s="2">
        <v>45936</v>
      </c>
      <c r="Q696" s="2">
        <v>45966</v>
      </c>
      <c r="R696" s="1" t="s">
        <v>4790</v>
      </c>
      <c r="V696" s="45">
        <f t="shared" si="10"/>
        <v>1</v>
      </c>
      <c r="W696" s="45" t="s">
        <v>4823</v>
      </c>
    </row>
    <row r="697" spans="1:23" hidden="1">
      <c r="A697" s="2">
        <v>45905</v>
      </c>
      <c r="B697" s="1" t="s">
        <v>4824</v>
      </c>
      <c r="C697" s="1" t="s">
        <v>4825</v>
      </c>
      <c r="D697" s="1" t="s">
        <v>4826</v>
      </c>
      <c r="E697" s="1">
        <v>86333</v>
      </c>
      <c r="F697" s="1" t="s">
        <v>2406</v>
      </c>
      <c r="G697" s="1" t="s">
        <v>4464</v>
      </c>
      <c r="H697" s="4" t="s">
        <v>1146</v>
      </c>
      <c r="I697" s="5" t="s">
        <v>2412</v>
      </c>
      <c r="J697" s="5" t="s">
        <v>24</v>
      </c>
      <c r="K697" s="5" t="s">
        <v>24</v>
      </c>
      <c r="L697" s="5" t="s">
        <v>75</v>
      </c>
      <c r="M697" s="5" t="s">
        <v>24</v>
      </c>
      <c r="N697" s="5" t="s">
        <v>24</v>
      </c>
      <c r="O697" s="5" t="s">
        <v>75</v>
      </c>
      <c r="P697" s="5" t="s">
        <v>2413</v>
      </c>
      <c r="Q697" s="2">
        <v>45966</v>
      </c>
      <c r="U697" s="1" t="s">
        <v>3196</v>
      </c>
      <c r="V697" s="45">
        <f t="shared" si="10"/>
        <v>1</v>
      </c>
      <c r="W697" s="45" t="s">
        <v>4827</v>
      </c>
    </row>
    <row r="698" spans="1:23" hidden="1">
      <c r="A698" s="2">
        <v>45905</v>
      </c>
      <c r="B698" s="1" t="s">
        <v>4828</v>
      </c>
      <c r="C698" s="1" t="s">
        <v>20</v>
      </c>
      <c r="D698" s="1" t="s">
        <v>2987</v>
      </c>
      <c r="E698" s="1">
        <v>85122</v>
      </c>
      <c r="F698" s="1" t="s">
        <v>4829</v>
      </c>
      <c r="G698" s="1" t="s">
        <v>4464</v>
      </c>
      <c r="H698" s="4" t="s">
        <v>226</v>
      </c>
      <c r="I698" s="5" t="s">
        <v>2597</v>
      </c>
      <c r="J698" s="5" t="s">
        <v>75</v>
      </c>
      <c r="K698" s="5" t="s">
        <v>24</v>
      </c>
      <c r="L698" s="5" t="s">
        <v>4830</v>
      </c>
      <c r="M698" s="5" t="s">
        <v>24</v>
      </c>
      <c r="N698" s="5" t="s">
        <v>24</v>
      </c>
      <c r="O698" s="5" t="s">
        <v>75</v>
      </c>
      <c r="P698" s="5" t="s">
        <v>2413</v>
      </c>
      <c r="Q698" s="2">
        <v>45966</v>
      </c>
      <c r="V698" s="45">
        <f t="shared" si="10"/>
        <v>1</v>
      </c>
      <c r="W698" s="45" t="s">
        <v>4831</v>
      </c>
    </row>
    <row r="699" spans="1:23" hidden="1">
      <c r="A699" s="2">
        <v>45905</v>
      </c>
      <c r="B699" s="1" t="s">
        <v>4680</v>
      </c>
      <c r="C699" s="1" t="s">
        <v>4832</v>
      </c>
      <c r="D699" s="1" t="s">
        <v>2439</v>
      </c>
      <c r="E699" s="1">
        <v>85012</v>
      </c>
      <c r="F699" s="1" t="s">
        <v>2730</v>
      </c>
      <c r="G699" s="1" t="s">
        <v>4464</v>
      </c>
      <c r="H699" s="4" t="s">
        <v>3191</v>
      </c>
      <c r="I699" s="5" t="s">
        <v>2451</v>
      </c>
      <c r="J699" s="5" t="s">
        <v>24</v>
      </c>
      <c r="L699" s="5" t="s">
        <v>75</v>
      </c>
      <c r="O699" s="5" t="s">
        <v>75</v>
      </c>
      <c r="P699" s="5" t="s">
        <v>2413</v>
      </c>
      <c r="V699" s="45">
        <f t="shared" si="10"/>
        <v>1</v>
      </c>
      <c r="W699" s="45" t="s">
        <v>4833</v>
      </c>
    </row>
    <row r="700" spans="1:23" hidden="1">
      <c r="A700" s="2">
        <v>45905</v>
      </c>
      <c r="B700" s="1" t="s">
        <v>4834</v>
      </c>
      <c r="C700" s="1" t="s">
        <v>4835</v>
      </c>
      <c r="D700" s="1" t="s">
        <v>2439</v>
      </c>
      <c r="E700" s="1">
        <v>85032</v>
      </c>
      <c r="F700" s="1" t="s">
        <v>2730</v>
      </c>
      <c r="G700" s="1" t="s">
        <v>4464</v>
      </c>
      <c r="H700" s="4" t="s">
        <v>1148</v>
      </c>
      <c r="I700" s="5" t="s">
        <v>2988</v>
      </c>
      <c r="J700" s="5" t="s">
        <v>24</v>
      </c>
      <c r="K700" s="5" t="s">
        <v>24</v>
      </c>
      <c r="L700" s="5" t="s">
        <v>2819</v>
      </c>
      <c r="M700" s="5" t="s">
        <v>24</v>
      </c>
      <c r="N700" s="5" t="s">
        <v>24</v>
      </c>
      <c r="O700" s="5" t="s">
        <v>75</v>
      </c>
      <c r="P700" s="5" t="s">
        <v>2413</v>
      </c>
      <c r="Q700" s="2">
        <v>45966</v>
      </c>
      <c r="V700" s="45">
        <f t="shared" si="10"/>
        <v>1</v>
      </c>
      <c r="W700" s="45" t="s">
        <v>4836</v>
      </c>
    </row>
    <row r="701" spans="1:23" hidden="1">
      <c r="A701" s="2">
        <v>45905</v>
      </c>
      <c r="B701" s="1" t="s">
        <v>4837</v>
      </c>
      <c r="C701" s="1" t="s">
        <v>3230</v>
      </c>
      <c r="D701" s="1" t="s">
        <v>3073</v>
      </c>
      <c r="E701" s="1">
        <v>85365</v>
      </c>
      <c r="F701" s="1" t="s">
        <v>2730</v>
      </c>
      <c r="G701" s="1" t="s">
        <v>4464</v>
      </c>
      <c r="H701" s="4" t="s">
        <v>2401</v>
      </c>
      <c r="V701" s="45">
        <f t="shared" si="10"/>
        <v>1</v>
      </c>
      <c r="W701" s="45" t="s">
        <v>4838</v>
      </c>
    </row>
    <row r="702" spans="1:23" hidden="1">
      <c r="A702" s="2">
        <v>45905</v>
      </c>
      <c r="B702" s="1" t="s">
        <v>4839</v>
      </c>
      <c r="C702" s="1" t="s">
        <v>4840</v>
      </c>
      <c r="D702" s="1" t="s">
        <v>2987</v>
      </c>
      <c r="E702" s="1">
        <v>85122</v>
      </c>
      <c r="F702" s="1" t="s">
        <v>2406</v>
      </c>
      <c r="G702" s="1" t="s">
        <v>4464</v>
      </c>
      <c r="H702" s="4" t="s">
        <v>2401</v>
      </c>
      <c r="V702" s="45">
        <f t="shared" si="10"/>
        <v>1</v>
      </c>
      <c r="W702" s="45" t="s">
        <v>4841</v>
      </c>
    </row>
    <row r="703" spans="1:23" hidden="1">
      <c r="A703" s="2">
        <v>45905</v>
      </c>
      <c r="B703" s="1" t="s">
        <v>4842</v>
      </c>
      <c r="C703" s="1" t="s">
        <v>4843</v>
      </c>
      <c r="D703" s="1" t="s">
        <v>2439</v>
      </c>
      <c r="E703" s="1">
        <v>85007</v>
      </c>
      <c r="F703" s="1" t="s">
        <v>4844</v>
      </c>
      <c r="G703" s="1" t="s">
        <v>4464</v>
      </c>
      <c r="H703" s="21" t="s">
        <v>4845</v>
      </c>
      <c r="I703" s="5" t="s">
        <v>2597</v>
      </c>
      <c r="J703" s="5" t="s">
        <v>24</v>
      </c>
      <c r="K703" s="5" t="s">
        <v>24</v>
      </c>
      <c r="L703" s="7" t="s">
        <v>4846</v>
      </c>
      <c r="M703" s="5" t="s">
        <v>24</v>
      </c>
      <c r="N703" s="5" t="s">
        <v>24</v>
      </c>
      <c r="O703" s="5" t="s">
        <v>75</v>
      </c>
      <c r="P703" s="2">
        <v>45936</v>
      </c>
      <c r="Q703" s="2">
        <v>45966</v>
      </c>
      <c r="R703" s="1" t="s">
        <v>4847</v>
      </c>
      <c r="V703" s="45">
        <f t="shared" si="10"/>
        <v>1</v>
      </c>
      <c r="W703" s="45" t="s">
        <v>4848</v>
      </c>
    </row>
    <row r="704" spans="1:23" hidden="1">
      <c r="A704" s="2">
        <v>45905</v>
      </c>
      <c r="B704" s="1" t="s">
        <v>4802</v>
      </c>
      <c r="C704" s="1" t="s">
        <v>4849</v>
      </c>
      <c r="D704" s="1" t="s">
        <v>2498</v>
      </c>
      <c r="E704" s="1">
        <v>85374</v>
      </c>
      <c r="F704" s="1" t="s">
        <v>2730</v>
      </c>
      <c r="G704" s="1" t="s">
        <v>4464</v>
      </c>
      <c r="H704" s="4" t="s">
        <v>2401</v>
      </c>
      <c r="V704" s="45">
        <f t="shared" si="10"/>
        <v>1</v>
      </c>
      <c r="W704" s="45" t="s">
        <v>4850</v>
      </c>
    </row>
    <row r="705" spans="1:23" hidden="1">
      <c r="A705" s="2">
        <v>45905</v>
      </c>
      <c r="B705" s="1" t="s">
        <v>4851</v>
      </c>
      <c r="C705" s="1" t="s">
        <v>3050</v>
      </c>
      <c r="D705" s="1" t="s">
        <v>2564</v>
      </c>
      <c r="E705" s="1">
        <v>85395</v>
      </c>
      <c r="F705" s="1" t="s">
        <v>4852</v>
      </c>
      <c r="G705" s="1" t="s">
        <v>4464</v>
      </c>
      <c r="H705" s="21" t="s">
        <v>4853</v>
      </c>
      <c r="I705" s="5" t="s">
        <v>2412</v>
      </c>
      <c r="J705" s="5" t="s">
        <v>24</v>
      </c>
      <c r="K705" s="5" t="s">
        <v>24</v>
      </c>
      <c r="L705" s="5" t="s">
        <v>75</v>
      </c>
      <c r="M705" s="5" t="s">
        <v>24</v>
      </c>
      <c r="N705" s="5" t="s">
        <v>24</v>
      </c>
      <c r="O705" s="5" t="s">
        <v>75</v>
      </c>
      <c r="P705" s="5" t="s">
        <v>2413</v>
      </c>
      <c r="Q705" s="2">
        <v>45966</v>
      </c>
      <c r="V705" s="45">
        <f t="shared" si="10"/>
        <v>1</v>
      </c>
      <c r="W705" s="45" t="s">
        <v>4854</v>
      </c>
    </row>
    <row r="706" spans="1:23" hidden="1">
      <c r="A706" s="2">
        <v>45905</v>
      </c>
      <c r="B706" s="1" t="s">
        <v>4855</v>
      </c>
      <c r="C706" s="1" t="s">
        <v>4856</v>
      </c>
      <c r="D706" s="1" t="s">
        <v>2605</v>
      </c>
      <c r="E706" s="1">
        <v>85383</v>
      </c>
      <c r="F706" s="1" t="s">
        <v>2730</v>
      </c>
      <c r="G706" s="1" t="s">
        <v>4464</v>
      </c>
      <c r="H706" s="4" t="s">
        <v>1150</v>
      </c>
      <c r="I706" s="5" t="s">
        <v>2652</v>
      </c>
      <c r="J706" s="5" t="s">
        <v>24</v>
      </c>
      <c r="K706" s="5" t="s">
        <v>24</v>
      </c>
      <c r="L706" s="5" t="s">
        <v>2819</v>
      </c>
      <c r="M706" s="5" t="s">
        <v>24</v>
      </c>
      <c r="N706" s="5" t="s">
        <v>24</v>
      </c>
      <c r="O706" s="5" t="s">
        <v>75</v>
      </c>
      <c r="P706" s="5" t="s">
        <v>2413</v>
      </c>
      <c r="Q706" s="2">
        <v>45966</v>
      </c>
      <c r="V706" s="45">
        <f t="shared" ref="V706:V769" si="11">IF(OR(ISNUMBER(SEARCH("unable to locate acct",G706)),ISNUMBER(SEARCH("unknown",G706)),ISNUMBER(SEARCH("inactive",G706)),H706=""),0,1)</f>
        <v>1</v>
      </c>
      <c r="W706" s="125" t="s">
        <v>4857</v>
      </c>
    </row>
    <row r="707" spans="1:23" hidden="1">
      <c r="A707" s="2">
        <v>45905</v>
      </c>
      <c r="B707" s="1" t="s">
        <v>4858</v>
      </c>
      <c r="C707" s="1" t="s">
        <v>4859</v>
      </c>
      <c r="D707" s="1" t="s">
        <v>2439</v>
      </c>
      <c r="E707" s="1">
        <v>85012</v>
      </c>
      <c r="F707" s="1" t="s">
        <v>4860</v>
      </c>
      <c r="G707" s="1" t="s">
        <v>4464</v>
      </c>
      <c r="H707" s="4" t="s">
        <v>1152</v>
      </c>
      <c r="I707" s="5" t="s">
        <v>2451</v>
      </c>
      <c r="J707" s="5" t="s">
        <v>24</v>
      </c>
      <c r="K707" s="5" t="s">
        <v>24</v>
      </c>
      <c r="L707" s="5" t="s">
        <v>75</v>
      </c>
      <c r="M707" s="5" t="s">
        <v>24</v>
      </c>
      <c r="N707" s="5" t="s">
        <v>24</v>
      </c>
      <c r="O707" s="5" t="s">
        <v>75</v>
      </c>
      <c r="P707" s="5" t="s">
        <v>2413</v>
      </c>
      <c r="Q707" s="2">
        <v>45966</v>
      </c>
      <c r="V707" s="45">
        <f t="shared" si="11"/>
        <v>1</v>
      </c>
      <c r="W707" s="45" t="s">
        <v>4861</v>
      </c>
    </row>
    <row r="708" spans="1:23" hidden="1">
      <c r="A708" s="2">
        <v>45905</v>
      </c>
      <c r="B708" s="1" t="s">
        <v>4862</v>
      </c>
      <c r="C708" s="1" t="s">
        <v>3327</v>
      </c>
      <c r="D708" s="1" t="s">
        <v>2513</v>
      </c>
      <c r="E708" s="1">
        <v>85259</v>
      </c>
      <c r="F708" s="1" t="s">
        <v>2406</v>
      </c>
      <c r="G708" s="1" t="s">
        <v>4464</v>
      </c>
      <c r="H708" s="4" t="s">
        <v>1154</v>
      </c>
      <c r="I708" s="5" t="s">
        <v>2412</v>
      </c>
      <c r="J708" s="5" t="s">
        <v>24</v>
      </c>
      <c r="K708" s="5" t="s">
        <v>24</v>
      </c>
      <c r="L708" s="5" t="s">
        <v>75</v>
      </c>
      <c r="M708" s="5" t="s">
        <v>24</v>
      </c>
      <c r="N708" s="5" t="s">
        <v>24</v>
      </c>
      <c r="O708" s="5" t="s">
        <v>75</v>
      </c>
      <c r="P708" s="5" t="s">
        <v>2413</v>
      </c>
      <c r="Q708" s="2">
        <v>45966</v>
      </c>
      <c r="R708" s="1" t="s">
        <v>4863</v>
      </c>
      <c r="V708" s="45">
        <f t="shared" si="11"/>
        <v>1</v>
      </c>
      <c r="W708" s="45" t="s">
        <v>4864</v>
      </c>
    </row>
    <row r="709" spans="1:23" hidden="1">
      <c r="A709" s="2">
        <v>45905</v>
      </c>
      <c r="B709" s="1" t="s">
        <v>3722</v>
      </c>
      <c r="C709" s="1" t="s">
        <v>4865</v>
      </c>
      <c r="D709" s="1" t="s">
        <v>2439</v>
      </c>
      <c r="E709" s="1">
        <v>85028</v>
      </c>
      <c r="F709" s="1" t="s">
        <v>2406</v>
      </c>
      <c r="G709" s="1" t="s">
        <v>4464</v>
      </c>
      <c r="H709" s="4" t="s">
        <v>228</v>
      </c>
      <c r="I709" s="5" t="s">
        <v>2432</v>
      </c>
      <c r="J709" s="5" t="s">
        <v>24</v>
      </c>
      <c r="K709" s="5" t="s">
        <v>24</v>
      </c>
      <c r="L709" s="7" t="s">
        <v>4866</v>
      </c>
      <c r="M709" s="5" t="s">
        <v>24</v>
      </c>
      <c r="N709" s="5" t="s">
        <v>24</v>
      </c>
      <c r="O709" s="5" t="s">
        <v>75</v>
      </c>
      <c r="P709" s="2">
        <v>45936</v>
      </c>
      <c r="Q709" s="2">
        <v>45966</v>
      </c>
      <c r="R709" s="1" t="s">
        <v>4790</v>
      </c>
      <c r="V709" s="45">
        <f t="shared" si="11"/>
        <v>1</v>
      </c>
      <c r="W709" s="45" t="s">
        <v>4867</v>
      </c>
    </row>
    <row r="710" spans="1:23" hidden="1">
      <c r="A710" s="2">
        <v>45905</v>
      </c>
      <c r="B710" s="1" t="s">
        <v>4868</v>
      </c>
      <c r="C710" s="1" t="s">
        <v>2632</v>
      </c>
      <c r="D710" s="1" t="s">
        <v>2398</v>
      </c>
      <c r="E710" s="1">
        <v>85308</v>
      </c>
      <c r="F710" s="1" t="s">
        <v>4869</v>
      </c>
      <c r="G710" s="1" t="s">
        <v>4464</v>
      </c>
      <c r="H710" s="4" t="s">
        <v>2613</v>
      </c>
      <c r="V710" s="45">
        <f t="shared" si="11"/>
        <v>1</v>
      </c>
      <c r="W710" s="45" t="s">
        <v>4870</v>
      </c>
    </row>
    <row r="711" spans="1:23" hidden="1">
      <c r="A711" s="2">
        <v>45905</v>
      </c>
      <c r="B711" s="1" t="s">
        <v>4871</v>
      </c>
      <c r="C711" s="1" t="s">
        <v>4872</v>
      </c>
      <c r="D711" s="1" t="s">
        <v>2439</v>
      </c>
      <c r="E711" s="1">
        <v>85027</v>
      </c>
      <c r="F711" s="1" t="s">
        <v>2730</v>
      </c>
      <c r="G711" s="1" t="s">
        <v>4464</v>
      </c>
      <c r="H711" s="4" t="s">
        <v>1156</v>
      </c>
      <c r="I711" s="5" t="s">
        <v>2514</v>
      </c>
      <c r="J711" s="5" t="s">
        <v>24</v>
      </c>
      <c r="K711" s="5" t="s">
        <v>24</v>
      </c>
      <c r="L711" s="5" t="s">
        <v>75</v>
      </c>
      <c r="M711" s="5" t="s">
        <v>24</v>
      </c>
      <c r="N711" s="5" t="s">
        <v>24</v>
      </c>
      <c r="O711" s="5" t="s">
        <v>75</v>
      </c>
      <c r="P711" s="5" t="s">
        <v>2413</v>
      </c>
      <c r="Q711" s="2">
        <v>45966</v>
      </c>
      <c r="V711" s="45">
        <f t="shared" si="11"/>
        <v>1</v>
      </c>
      <c r="W711" s="45" t="s">
        <v>4873</v>
      </c>
    </row>
    <row r="712" spans="1:23" hidden="1">
      <c r="A712" s="2">
        <v>45905</v>
      </c>
      <c r="B712" s="1" t="s">
        <v>2739</v>
      </c>
      <c r="C712" s="1" t="s">
        <v>2740</v>
      </c>
      <c r="D712" s="1" t="s">
        <v>2570</v>
      </c>
      <c r="E712" s="1">
        <v>85326</v>
      </c>
      <c r="F712" s="1" t="s">
        <v>4721</v>
      </c>
      <c r="G712" s="1" t="s">
        <v>4464</v>
      </c>
      <c r="H712" s="4" t="s">
        <v>763</v>
      </c>
      <c r="I712" s="5" t="s">
        <v>2412</v>
      </c>
      <c r="J712" s="5" t="s">
        <v>24</v>
      </c>
      <c r="K712" s="5" t="s">
        <v>24</v>
      </c>
      <c r="L712" s="5" t="s">
        <v>75</v>
      </c>
      <c r="M712" s="5" t="s">
        <v>24</v>
      </c>
      <c r="N712" s="5" t="s">
        <v>24</v>
      </c>
      <c r="O712" s="5" t="s">
        <v>75</v>
      </c>
      <c r="P712" s="5" t="s">
        <v>2413</v>
      </c>
      <c r="Q712" s="2">
        <v>45966</v>
      </c>
      <c r="V712" s="45">
        <f t="shared" si="11"/>
        <v>1</v>
      </c>
      <c r="W712" s="45" t="s">
        <v>4874</v>
      </c>
    </row>
    <row r="713" spans="1:23" hidden="1">
      <c r="A713" s="2">
        <v>45905</v>
      </c>
      <c r="B713" s="1" t="s">
        <v>4875</v>
      </c>
      <c r="C713" s="1" t="s">
        <v>3000</v>
      </c>
      <c r="D713" s="1" t="s">
        <v>2439</v>
      </c>
      <c r="E713" s="1">
        <v>85029</v>
      </c>
      <c r="F713" s="1" t="s">
        <v>2730</v>
      </c>
      <c r="G713" s="1" t="s">
        <v>4464</v>
      </c>
      <c r="H713" s="4" t="s">
        <v>1159</v>
      </c>
      <c r="I713" s="5" t="s">
        <v>2597</v>
      </c>
      <c r="J713" s="5" t="s">
        <v>24</v>
      </c>
      <c r="K713" s="5" t="s">
        <v>24</v>
      </c>
      <c r="L713" s="5" t="s">
        <v>75</v>
      </c>
      <c r="M713" s="5" t="s">
        <v>24</v>
      </c>
      <c r="N713" s="5" t="s">
        <v>24</v>
      </c>
      <c r="O713" s="5" t="s">
        <v>75</v>
      </c>
      <c r="P713" s="5" t="s">
        <v>2413</v>
      </c>
      <c r="Q713" s="2">
        <v>45966</v>
      </c>
      <c r="R713" s="1" t="s">
        <v>4876</v>
      </c>
      <c r="V713" s="45">
        <f t="shared" si="11"/>
        <v>1</v>
      </c>
      <c r="W713" s="45" t="s">
        <v>4877</v>
      </c>
    </row>
    <row r="714" spans="1:23" hidden="1">
      <c r="A714" s="2">
        <v>45905</v>
      </c>
      <c r="B714" s="1" t="s">
        <v>4878</v>
      </c>
      <c r="C714" s="1" t="s">
        <v>4879</v>
      </c>
      <c r="D714" s="1" t="s">
        <v>2513</v>
      </c>
      <c r="E714" s="1">
        <v>85251</v>
      </c>
      <c r="F714" s="1" t="s">
        <v>4880</v>
      </c>
      <c r="G714" s="1" t="s">
        <v>4464</v>
      </c>
      <c r="H714" s="4" t="s">
        <v>230</v>
      </c>
      <c r="I714" s="5" t="s">
        <v>2514</v>
      </c>
      <c r="J714" s="5" t="s">
        <v>24</v>
      </c>
      <c r="K714" s="5" t="s">
        <v>24</v>
      </c>
      <c r="L714" s="7" t="s">
        <v>4881</v>
      </c>
      <c r="M714" s="5" t="s">
        <v>24</v>
      </c>
      <c r="N714" s="5" t="s">
        <v>24</v>
      </c>
      <c r="O714" s="5" t="s">
        <v>75</v>
      </c>
      <c r="P714" s="5" t="s">
        <v>2413</v>
      </c>
      <c r="Q714" s="2">
        <v>45966</v>
      </c>
      <c r="V714" s="45">
        <f t="shared" si="11"/>
        <v>1</v>
      </c>
      <c r="W714" s="45" t="s">
        <v>4882</v>
      </c>
    </row>
    <row r="715" spans="1:23" hidden="1">
      <c r="A715" s="2">
        <v>45905</v>
      </c>
      <c r="B715" s="1" t="s">
        <v>4723</v>
      </c>
      <c r="C715" s="1" t="s">
        <v>4365</v>
      </c>
      <c r="D715" s="1" t="s">
        <v>2564</v>
      </c>
      <c r="E715" s="1">
        <v>85395</v>
      </c>
      <c r="F715" s="1" t="s">
        <v>2406</v>
      </c>
      <c r="G715" s="1" t="s">
        <v>4464</v>
      </c>
      <c r="H715" s="4" t="s">
        <v>2401</v>
      </c>
      <c r="V715" s="45">
        <f t="shared" si="11"/>
        <v>1</v>
      </c>
      <c r="W715" s="45" t="s">
        <v>4883</v>
      </c>
    </row>
    <row r="716" spans="1:23" hidden="1">
      <c r="A716" s="2">
        <v>45905</v>
      </c>
      <c r="B716" s="1" t="s">
        <v>2748</v>
      </c>
      <c r="C716" s="1" t="s">
        <v>3175</v>
      </c>
      <c r="D716" s="1" t="s">
        <v>2439</v>
      </c>
      <c r="E716" s="1">
        <v>85085</v>
      </c>
      <c r="F716" s="1" t="s">
        <v>4884</v>
      </c>
      <c r="G716" s="1" t="s">
        <v>4464</v>
      </c>
      <c r="H716" s="4" t="s">
        <v>1161</v>
      </c>
      <c r="I716" s="5" t="s">
        <v>2412</v>
      </c>
      <c r="J716" s="5" t="s">
        <v>24</v>
      </c>
      <c r="K716" s="5" t="s">
        <v>24</v>
      </c>
      <c r="L716" s="5" t="s">
        <v>75</v>
      </c>
      <c r="M716" s="5" t="s">
        <v>24</v>
      </c>
      <c r="N716" s="5" t="s">
        <v>24</v>
      </c>
      <c r="O716" s="5" t="s">
        <v>75</v>
      </c>
      <c r="P716" s="5" t="s">
        <v>2413</v>
      </c>
      <c r="Q716" s="2">
        <v>45966</v>
      </c>
      <c r="V716" s="45">
        <f t="shared" si="11"/>
        <v>1</v>
      </c>
      <c r="W716" s="45" t="s">
        <v>4885</v>
      </c>
    </row>
    <row r="717" spans="1:23" hidden="1">
      <c r="A717" s="2">
        <v>45905</v>
      </c>
      <c r="B717" s="1" t="s">
        <v>4886</v>
      </c>
      <c r="C717" s="1" t="s">
        <v>4887</v>
      </c>
      <c r="D717" s="1" t="s">
        <v>4888</v>
      </c>
      <c r="E717" s="1">
        <v>85128</v>
      </c>
      <c r="F717" s="1" t="s">
        <v>4889</v>
      </c>
      <c r="G717" s="1" t="s">
        <v>4464</v>
      </c>
      <c r="H717" s="4" t="s">
        <v>1163</v>
      </c>
      <c r="I717" s="5" t="s">
        <v>2420</v>
      </c>
      <c r="J717" s="5" t="s">
        <v>24</v>
      </c>
      <c r="K717" s="5" t="s">
        <v>24</v>
      </c>
      <c r="L717" s="5" t="s">
        <v>75</v>
      </c>
      <c r="M717" s="5" t="s">
        <v>24</v>
      </c>
      <c r="N717" s="5" t="s">
        <v>24</v>
      </c>
      <c r="O717" s="5" t="s">
        <v>75</v>
      </c>
      <c r="P717" s="5" t="s">
        <v>2413</v>
      </c>
      <c r="Q717" s="2">
        <v>45966</v>
      </c>
      <c r="V717" s="45">
        <f t="shared" si="11"/>
        <v>1</v>
      </c>
      <c r="W717" s="45" t="s">
        <v>4890</v>
      </c>
    </row>
    <row r="718" spans="1:23" hidden="1">
      <c r="A718" s="2">
        <v>45905</v>
      </c>
      <c r="B718" s="1" t="s">
        <v>4891</v>
      </c>
      <c r="C718" s="1" t="s">
        <v>3221</v>
      </c>
      <c r="D718" s="1" t="s">
        <v>4892</v>
      </c>
      <c r="E718" s="1">
        <v>86327</v>
      </c>
      <c r="F718" s="1" t="s">
        <v>2406</v>
      </c>
      <c r="G718" s="1" t="s">
        <v>4464</v>
      </c>
      <c r="H718" s="4" t="s">
        <v>532</v>
      </c>
      <c r="I718" s="5" t="s">
        <v>2514</v>
      </c>
      <c r="J718" s="5" t="s">
        <v>24</v>
      </c>
      <c r="K718" s="5" t="s">
        <v>24</v>
      </c>
      <c r="L718" s="5" t="s">
        <v>75</v>
      </c>
      <c r="M718" s="5" t="s">
        <v>24</v>
      </c>
      <c r="N718" s="5" t="s">
        <v>24</v>
      </c>
      <c r="O718" s="5" t="s">
        <v>75</v>
      </c>
      <c r="P718" s="5" t="s">
        <v>2413</v>
      </c>
      <c r="Q718" s="2">
        <v>45966</v>
      </c>
      <c r="V718" s="45">
        <f t="shared" si="11"/>
        <v>1</v>
      </c>
      <c r="W718" s="45" t="s">
        <v>4893</v>
      </c>
    </row>
    <row r="719" spans="1:23" hidden="1">
      <c r="A719" s="2">
        <v>45905</v>
      </c>
      <c r="B719" s="1" t="s">
        <v>4716</v>
      </c>
      <c r="C719" s="1" t="s">
        <v>3258</v>
      </c>
      <c r="D719" s="1" t="s">
        <v>2498</v>
      </c>
      <c r="E719" s="1">
        <v>85388</v>
      </c>
      <c r="F719" s="1" t="s">
        <v>4894</v>
      </c>
      <c r="G719" s="1" t="s">
        <v>4464</v>
      </c>
      <c r="H719" s="4" t="s">
        <v>232</v>
      </c>
      <c r="I719" s="5" t="s">
        <v>2597</v>
      </c>
      <c r="J719" s="5" t="s">
        <v>24</v>
      </c>
      <c r="K719" s="5" t="s">
        <v>24</v>
      </c>
      <c r="L719" s="7" t="s">
        <v>4895</v>
      </c>
      <c r="M719" s="5" t="s">
        <v>24</v>
      </c>
      <c r="N719" s="5" t="s">
        <v>24</v>
      </c>
      <c r="O719" s="5" t="s">
        <v>75</v>
      </c>
      <c r="P719" s="2">
        <v>45936</v>
      </c>
      <c r="Q719" s="2">
        <v>45966</v>
      </c>
      <c r="R719" s="1" t="s">
        <v>4896</v>
      </c>
      <c r="V719" s="45">
        <f t="shared" si="11"/>
        <v>1</v>
      </c>
      <c r="W719" s="45" t="s">
        <v>4897</v>
      </c>
    </row>
    <row r="720" spans="1:23" hidden="1">
      <c r="A720" s="2">
        <v>45905</v>
      </c>
      <c r="B720" s="1" t="s">
        <v>4898</v>
      </c>
      <c r="C720" s="1" t="s">
        <v>4899</v>
      </c>
      <c r="D720" s="1" t="s">
        <v>2498</v>
      </c>
      <c r="E720" s="1">
        <v>85387</v>
      </c>
      <c r="F720" s="1" t="s">
        <v>4900</v>
      </c>
      <c r="G720" s="1" t="s">
        <v>4464</v>
      </c>
      <c r="H720" s="4" t="s">
        <v>2401</v>
      </c>
      <c r="V720" s="45">
        <f t="shared" si="11"/>
        <v>1</v>
      </c>
      <c r="W720" s="45" t="s">
        <v>4901</v>
      </c>
    </row>
    <row r="721" spans="1:23" hidden="1">
      <c r="A721" s="2">
        <v>45905</v>
      </c>
      <c r="B721" s="1" t="s">
        <v>4902</v>
      </c>
      <c r="C721" s="1" t="s">
        <v>4788</v>
      </c>
      <c r="D721" s="1" t="s">
        <v>2987</v>
      </c>
      <c r="E721" s="1">
        <v>85122</v>
      </c>
      <c r="F721" s="1" t="s">
        <v>2406</v>
      </c>
      <c r="G721" s="1" t="s">
        <v>4464</v>
      </c>
      <c r="H721" s="4" t="s">
        <v>1166</v>
      </c>
      <c r="I721" s="5" t="s">
        <v>2451</v>
      </c>
      <c r="J721" s="5" t="s">
        <v>24</v>
      </c>
      <c r="K721" s="5" t="s">
        <v>24</v>
      </c>
      <c r="L721" s="5" t="s">
        <v>75</v>
      </c>
      <c r="M721" s="5" t="s">
        <v>24</v>
      </c>
      <c r="N721" s="5" t="s">
        <v>24</v>
      </c>
      <c r="O721" s="5" t="s">
        <v>75</v>
      </c>
      <c r="P721" s="5" t="s">
        <v>2413</v>
      </c>
      <c r="Q721" s="2">
        <v>45966</v>
      </c>
      <c r="V721" s="45">
        <f t="shared" si="11"/>
        <v>1</v>
      </c>
      <c r="W721" s="45" t="s">
        <v>4903</v>
      </c>
    </row>
    <row r="722" spans="1:23" hidden="1">
      <c r="A722" s="2">
        <v>45905</v>
      </c>
      <c r="B722" s="1" t="s">
        <v>4904</v>
      </c>
      <c r="C722" s="1" t="s">
        <v>2921</v>
      </c>
      <c r="D722" s="1" t="s">
        <v>2605</v>
      </c>
      <c r="E722" s="1">
        <v>85383</v>
      </c>
      <c r="F722" s="1" t="s">
        <v>4905</v>
      </c>
      <c r="G722" s="1" t="s">
        <v>4464</v>
      </c>
      <c r="H722" s="4" t="s">
        <v>235</v>
      </c>
      <c r="I722" s="5" t="s">
        <v>2432</v>
      </c>
      <c r="J722" s="5" t="s">
        <v>75</v>
      </c>
      <c r="K722" s="5" t="s">
        <v>24</v>
      </c>
      <c r="L722" s="5" t="s">
        <v>4906</v>
      </c>
      <c r="M722" s="5" t="s">
        <v>24</v>
      </c>
      <c r="N722" s="5" t="s">
        <v>24</v>
      </c>
      <c r="O722" s="5" t="s">
        <v>75</v>
      </c>
      <c r="P722" s="5" t="s">
        <v>2413</v>
      </c>
      <c r="Q722" s="2">
        <v>45966</v>
      </c>
      <c r="R722" s="1" t="s">
        <v>4907</v>
      </c>
      <c r="V722" s="45">
        <f t="shared" si="11"/>
        <v>1</v>
      </c>
      <c r="W722" s="45" t="s">
        <v>4908</v>
      </c>
    </row>
    <row r="723" spans="1:23" hidden="1">
      <c r="A723" s="2">
        <v>45905</v>
      </c>
      <c r="B723" s="1" t="s">
        <v>4017</v>
      </c>
      <c r="C723" s="1" t="s">
        <v>4909</v>
      </c>
      <c r="D723" s="1" t="s">
        <v>2398</v>
      </c>
      <c r="E723" s="1">
        <v>85308</v>
      </c>
      <c r="F723" s="1" t="s">
        <v>2730</v>
      </c>
      <c r="G723" s="1" t="s">
        <v>4464</v>
      </c>
      <c r="H723" s="4" t="s">
        <v>237</v>
      </c>
      <c r="I723" s="5" t="s">
        <v>2597</v>
      </c>
      <c r="J723" s="5" t="s">
        <v>75</v>
      </c>
      <c r="K723" s="5" t="s">
        <v>24</v>
      </c>
      <c r="L723" s="5" t="s">
        <v>4910</v>
      </c>
      <c r="M723" s="5" t="s">
        <v>24</v>
      </c>
      <c r="N723" s="5" t="s">
        <v>24</v>
      </c>
      <c r="O723" s="5" t="s">
        <v>75</v>
      </c>
      <c r="P723" s="5" t="s">
        <v>2413</v>
      </c>
      <c r="Q723" s="2">
        <v>45966</v>
      </c>
      <c r="V723" s="45">
        <f t="shared" si="11"/>
        <v>1</v>
      </c>
      <c r="W723" s="45" t="s">
        <v>4911</v>
      </c>
    </row>
    <row r="724" spans="1:23" hidden="1">
      <c r="A724" s="2">
        <v>45905</v>
      </c>
      <c r="B724" s="1" t="s">
        <v>2424</v>
      </c>
      <c r="C724" s="1" t="s">
        <v>4912</v>
      </c>
      <c r="D724" s="1" t="s">
        <v>2987</v>
      </c>
      <c r="E724" s="1">
        <v>85122</v>
      </c>
      <c r="F724" s="1" t="s">
        <v>4913</v>
      </c>
      <c r="G724" s="1" t="s">
        <v>4914</v>
      </c>
      <c r="H724" s="4" t="s">
        <v>1168</v>
      </c>
      <c r="I724" s="5" t="s">
        <v>2988</v>
      </c>
      <c r="J724" s="5" t="s">
        <v>24</v>
      </c>
      <c r="K724" s="5" t="s">
        <v>24</v>
      </c>
      <c r="L724" s="5" t="s">
        <v>2819</v>
      </c>
      <c r="M724" s="5" t="s">
        <v>24</v>
      </c>
      <c r="N724" s="5" t="s">
        <v>24</v>
      </c>
      <c r="O724" s="5" t="s">
        <v>75</v>
      </c>
      <c r="P724" s="5" t="s">
        <v>2413</v>
      </c>
      <c r="Q724" s="2">
        <v>45966</v>
      </c>
      <c r="V724" s="45">
        <f t="shared" si="11"/>
        <v>1</v>
      </c>
      <c r="W724" s="125" t="s">
        <v>4915</v>
      </c>
    </row>
    <row r="725" spans="1:23" hidden="1">
      <c r="A725" s="2">
        <v>45905</v>
      </c>
      <c r="B725" s="1" t="s">
        <v>4916</v>
      </c>
      <c r="C725" s="1" t="s">
        <v>2524</v>
      </c>
      <c r="D725" s="1" t="s">
        <v>2513</v>
      </c>
      <c r="E725" s="1">
        <v>85255</v>
      </c>
      <c r="F725" s="1" t="s">
        <v>2730</v>
      </c>
      <c r="G725" s="1" t="s">
        <v>4914</v>
      </c>
      <c r="H725" s="4" t="s">
        <v>1170</v>
      </c>
      <c r="I725" s="5" t="s">
        <v>2988</v>
      </c>
      <c r="J725" s="5" t="s">
        <v>24</v>
      </c>
      <c r="K725" s="5" t="s">
        <v>24</v>
      </c>
      <c r="L725" s="5" t="s">
        <v>2819</v>
      </c>
      <c r="M725" s="5" t="s">
        <v>24</v>
      </c>
      <c r="N725" s="5" t="s">
        <v>24</v>
      </c>
      <c r="O725" s="5" t="s">
        <v>75</v>
      </c>
      <c r="P725" s="5" t="s">
        <v>2413</v>
      </c>
      <c r="Q725" s="2">
        <v>45966</v>
      </c>
      <c r="V725" s="45">
        <f t="shared" si="11"/>
        <v>1</v>
      </c>
      <c r="W725" s="45" t="s">
        <v>4917</v>
      </c>
    </row>
    <row r="726" spans="1:23" hidden="1">
      <c r="A726" s="2">
        <v>45905</v>
      </c>
      <c r="B726" s="1" t="s">
        <v>4918</v>
      </c>
      <c r="C726" s="1" t="s">
        <v>4919</v>
      </c>
      <c r="D726" s="1" t="s">
        <v>2650</v>
      </c>
      <c r="E726" s="1">
        <v>85340</v>
      </c>
      <c r="F726" s="1" t="s">
        <v>2406</v>
      </c>
      <c r="G726" s="1" t="s">
        <v>4914</v>
      </c>
      <c r="H726" s="4" t="s">
        <v>1172</v>
      </c>
      <c r="I726" s="5" t="s">
        <v>2652</v>
      </c>
      <c r="J726" s="5" t="s">
        <v>24</v>
      </c>
      <c r="K726" s="5" t="s">
        <v>24</v>
      </c>
      <c r="L726" s="5" t="s">
        <v>2819</v>
      </c>
      <c r="M726" s="5" t="s">
        <v>24</v>
      </c>
      <c r="N726" s="5" t="s">
        <v>24</v>
      </c>
      <c r="O726" s="5" t="s">
        <v>75</v>
      </c>
      <c r="P726" s="5" t="s">
        <v>2413</v>
      </c>
      <c r="Q726" s="2">
        <v>45966</v>
      </c>
      <c r="V726" s="45">
        <f t="shared" si="11"/>
        <v>1</v>
      </c>
      <c r="W726" s="45" t="s">
        <v>4920</v>
      </c>
    </row>
    <row r="727" spans="1:23" hidden="1">
      <c r="A727" s="2">
        <v>45905</v>
      </c>
      <c r="B727" s="1" t="s">
        <v>4637</v>
      </c>
      <c r="C727" s="1" t="s">
        <v>2538</v>
      </c>
      <c r="D727" s="1" t="s">
        <v>2518</v>
      </c>
      <c r="E727" s="1">
        <v>85296</v>
      </c>
      <c r="F727" s="1" t="s">
        <v>2730</v>
      </c>
      <c r="G727" s="1" t="s">
        <v>4914</v>
      </c>
      <c r="H727" s="4" t="s">
        <v>1174</v>
      </c>
      <c r="I727" s="5" t="s">
        <v>2514</v>
      </c>
      <c r="J727" s="5" t="s">
        <v>24</v>
      </c>
      <c r="K727" s="5" t="s">
        <v>24</v>
      </c>
      <c r="L727" s="5" t="s">
        <v>75</v>
      </c>
      <c r="M727" s="5" t="s">
        <v>24</v>
      </c>
      <c r="N727" s="5" t="s">
        <v>24</v>
      </c>
      <c r="O727" s="5" t="s">
        <v>75</v>
      </c>
      <c r="P727" s="5" t="s">
        <v>2413</v>
      </c>
      <c r="Q727" s="2">
        <v>45966</v>
      </c>
      <c r="V727" s="45">
        <f t="shared" si="11"/>
        <v>1</v>
      </c>
      <c r="W727" s="45" t="s">
        <v>4921</v>
      </c>
    </row>
    <row r="728" spans="1:23" hidden="1">
      <c r="A728" s="2">
        <v>45905</v>
      </c>
      <c r="B728" s="1" t="s">
        <v>4922</v>
      </c>
      <c r="C728" s="1" t="s">
        <v>4923</v>
      </c>
      <c r="D728" s="1" t="s">
        <v>3090</v>
      </c>
      <c r="E728" s="1">
        <v>85281</v>
      </c>
      <c r="F728" s="1" t="s">
        <v>2730</v>
      </c>
      <c r="G728" s="1" t="s">
        <v>4914</v>
      </c>
      <c r="H728" s="4" t="s">
        <v>630</v>
      </c>
      <c r="I728" s="5" t="s">
        <v>2597</v>
      </c>
      <c r="J728" s="5" t="s">
        <v>24</v>
      </c>
      <c r="K728" s="5" t="s">
        <v>24</v>
      </c>
      <c r="L728" s="5" t="s">
        <v>75</v>
      </c>
      <c r="M728" s="5" t="s">
        <v>75</v>
      </c>
      <c r="N728" s="13">
        <v>422.52</v>
      </c>
      <c r="O728" s="5" t="s">
        <v>75</v>
      </c>
      <c r="P728" s="5" t="s">
        <v>2413</v>
      </c>
      <c r="Q728" s="2">
        <v>45966</v>
      </c>
      <c r="V728" s="45">
        <f t="shared" si="11"/>
        <v>1</v>
      </c>
      <c r="W728" s="45" t="s">
        <v>4924</v>
      </c>
    </row>
    <row r="729" spans="1:23" hidden="1">
      <c r="A729" s="2">
        <v>45905</v>
      </c>
      <c r="B729" s="1" t="s">
        <v>4925</v>
      </c>
      <c r="C729" s="1" t="s">
        <v>4113</v>
      </c>
      <c r="D729" s="1" t="s">
        <v>2800</v>
      </c>
      <c r="E729" s="1">
        <v>85225</v>
      </c>
      <c r="F729" s="1" t="s">
        <v>2730</v>
      </c>
      <c r="G729" s="1" t="s">
        <v>4914</v>
      </c>
      <c r="H729" s="4" t="s">
        <v>1176</v>
      </c>
      <c r="I729" s="5" t="s">
        <v>2412</v>
      </c>
      <c r="J729" s="5" t="s">
        <v>24</v>
      </c>
      <c r="K729" s="5" t="s">
        <v>24</v>
      </c>
      <c r="L729" s="5" t="s">
        <v>75</v>
      </c>
      <c r="M729" s="5" t="s">
        <v>24</v>
      </c>
      <c r="N729" s="5" t="s">
        <v>24</v>
      </c>
      <c r="O729" s="5" t="s">
        <v>75</v>
      </c>
      <c r="P729" s="5" t="s">
        <v>2413</v>
      </c>
      <c r="Q729" s="2">
        <v>45966</v>
      </c>
      <c r="V729" s="45">
        <f t="shared" si="11"/>
        <v>1</v>
      </c>
      <c r="W729" s="45" t="s">
        <v>4926</v>
      </c>
    </row>
    <row r="730" spans="1:23" hidden="1">
      <c r="A730" s="2">
        <v>45905</v>
      </c>
      <c r="B730" s="1" t="s">
        <v>4927</v>
      </c>
      <c r="C730" s="1" t="s">
        <v>4928</v>
      </c>
      <c r="D730" s="1" t="s">
        <v>2439</v>
      </c>
      <c r="E730" s="1">
        <v>85032</v>
      </c>
      <c r="F730" s="1" t="s">
        <v>2730</v>
      </c>
      <c r="G730" s="1" t="s">
        <v>4914</v>
      </c>
      <c r="H730" s="4" t="s">
        <v>239</v>
      </c>
      <c r="I730" s="5" t="s">
        <v>2432</v>
      </c>
      <c r="J730" s="5" t="s">
        <v>24</v>
      </c>
      <c r="K730" s="5" t="s">
        <v>24</v>
      </c>
      <c r="L730" s="5" t="s">
        <v>2831</v>
      </c>
      <c r="M730" s="5" t="s">
        <v>24</v>
      </c>
      <c r="N730" s="5" t="s">
        <v>24</v>
      </c>
      <c r="O730" s="5" t="s">
        <v>75</v>
      </c>
      <c r="P730" s="5" t="s">
        <v>2413</v>
      </c>
      <c r="Q730" s="2">
        <v>45966</v>
      </c>
      <c r="V730" s="45">
        <f t="shared" si="11"/>
        <v>1</v>
      </c>
      <c r="W730" s="45" t="s">
        <v>4929</v>
      </c>
    </row>
    <row r="731" spans="1:23" hidden="1">
      <c r="A731" s="2">
        <v>45905</v>
      </c>
      <c r="B731" s="1" t="s">
        <v>4930</v>
      </c>
      <c r="C731" s="1" t="s">
        <v>2507</v>
      </c>
      <c r="D731" s="1" t="s">
        <v>2439</v>
      </c>
      <c r="E731" s="1">
        <v>85032</v>
      </c>
      <c r="F731" s="1" t="s">
        <v>2730</v>
      </c>
      <c r="G731" s="1" t="s">
        <v>4914</v>
      </c>
      <c r="H731" s="4" t="s">
        <v>241</v>
      </c>
      <c r="I731" s="5" t="s">
        <v>2597</v>
      </c>
      <c r="J731" s="5" t="s">
        <v>24</v>
      </c>
      <c r="K731" s="5" t="s">
        <v>24</v>
      </c>
      <c r="L731" s="5" t="s">
        <v>4931</v>
      </c>
      <c r="M731" s="5" t="s">
        <v>24</v>
      </c>
      <c r="N731" s="5" t="s">
        <v>24</v>
      </c>
      <c r="O731" s="5" t="s">
        <v>75</v>
      </c>
      <c r="P731" s="5" t="s">
        <v>2413</v>
      </c>
      <c r="Q731" s="2">
        <v>45966</v>
      </c>
      <c r="V731" s="45">
        <f t="shared" si="11"/>
        <v>1</v>
      </c>
      <c r="W731" s="45" t="s">
        <v>4932</v>
      </c>
    </row>
    <row r="732" spans="1:23" hidden="1">
      <c r="A732" s="2">
        <v>45905</v>
      </c>
      <c r="B732" s="1" t="s">
        <v>2632</v>
      </c>
      <c r="C732" s="1" t="s">
        <v>4933</v>
      </c>
      <c r="D732" s="1" t="s">
        <v>2439</v>
      </c>
      <c r="E732" s="1">
        <v>85006</v>
      </c>
      <c r="F732" s="1" t="s">
        <v>2730</v>
      </c>
      <c r="G732" s="1" t="s">
        <v>4914</v>
      </c>
      <c r="H732" s="4" t="s">
        <v>1178</v>
      </c>
      <c r="I732" s="5" t="s">
        <v>2451</v>
      </c>
      <c r="J732" s="5" t="s">
        <v>24</v>
      </c>
      <c r="K732" s="5" t="s">
        <v>24</v>
      </c>
      <c r="L732" s="5" t="s">
        <v>75</v>
      </c>
      <c r="M732" s="5" t="s">
        <v>24</v>
      </c>
      <c r="N732" s="5" t="s">
        <v>24</v>
      </c>
      <c r="O732" s="5" t="s">
        <v>75</v>
      </c>
      <c r="P732" s="5" t="s">
        <v>2413</v>
      </c>
      <c r="Q732" s="2">
        <v>45966</v>
      </c>
      <c r="V732" s="45">
        <f t="shared" si="11"/>
        <v>1</v>
      </c>
      <c r="W732" s="45" t="s">
        <v>4934</v>
      </c>
    </row>
    <row r="733" spans="1:23" hidden="1">
      <c r="A733" s="2">
        <v>45905</v>
      </c>
      <c r="B733" s="1" t="s">
        <v>4935</v>
      </c>
      <c r="C733" s="1" t="s">
        <v>4936</v>
      </c>
      <c r="D733" s="1" t="s">
        <v>3211</v>
      </c>
      <c r="E733" s="1">
        <v>86326</v>
      </c>
      <c r="F733" s="1" t="s">
        <v>4721</v>
      </c>
      <c r="G733" s="1" t="s">
        <v>4914</v>
      </c>
      <c r="H733" s="4" t="s">
        <v>1180</v>
      </c>
      <c r="I733" s="5" t="s">
        <v>2420</v>
      </c>
      <c r="J733" s="5" t="s">
        <v>24</v>
      </c>
      <c r="K733" s="5" t="s">
        <v>24</v>
      </c>
      <c r="L733" s="5" t="s">
        <v>75</v>
      </c>
      <c r="M733" s="5" t="s">
        <v>24</v>
      </c>
      <c r="N733" s="5" t="s">
        <v>24</v>
      </c>
      <c r="O733" s="5" t="s">
        <v>75</v>
      </c>
      <c r="P733" s="5" t="s">
        <v>2413</v>
      </c>
      <c r="Q733" s="2">
        <v>45966</v>
      </c>
      <c r="V733" s="45">
        <f t="shared" si="11"/>
        <v>1</v>
      </c>
      <c r="W733" s="45" t="s">
        <v>4937</v>
      </c>
    </row>
    <row r="734" spans="1:23" hidden="1">
      <c r="A734" s="2">
        <v>45905</v>
      </c>
      <c r="B734" s="1" t="s">
        <v>4938</v>
      </c>
      <c r="C734" s="1" t="s">
        <v>4619</v>
      </c>
      <c r="D734" s="1" t="s">
        <v>2439</v>
      </c>
      <c r="E734" s="1">
        <v>85032</v>
      </c>
      <c r="F734" s="1" t="s">
        <v>2730</v>
      </c>
      <c r="G734" s="1" t="s">
        <v>4914</v>
      </c>
      <c r="H734" s="4" t="s">
        <v>1182</v>
      </c>
      <c r="I734" s="5" t="s">
        <v>2514</v>
      </c>
      <c r="J734" s="5" t="s">
        <v>24</v>
      </c>
      <c r="K734" s="5" t="s">
        <v>24</v>
      </c>
      <c r="L734" s="5" t="s">
        <v>75</v>
      </c>
      <c r="M734" s="5" t="s">
        <v>24</v>
      </c>
      <c r="N734" s="5" t="s">
        <v>24</v>
      </c>
      <c r="O734" s="5" t="s">
        <v>75</v>
      </c>
      <c r="P734" s="5" t="s">
        <v>2413</v>
      </c>
      <c r="Q734" s="2">
        <v>45966</v>
      </c>
      <c r="V734" s="45">
        <f t="shared" si="11"/>
        <v>1</v>
      </c>
      <c r="W734" s="45" t="s">
        <v>4939</v>
      </c>
    </row>
    <row r="735" spans="1:23" hidden="1">
      <c r="A735" s="2">
        <v>45905</v>
      </c>
      <c r="B735" s="1" t="s">
        <v>4940</v>
      </c>
      <c r="C735" s="1" t="s">
        <v>2842</v>
      </c>
      <c r="D735" s="1" t="s">
        <v>2439</v>
      </c>
      <c r="E735" s="1">
        <v>85032</v>
      </c>
      <c r="F735" s="1" t="s">
        <v>2730</v>
      </c>
      <c r="G735" s="1" t="s">
        <v>4914</v>
      </c>
      <c r="H735" s="4" t="s">
        <v>1184</v>
      </c>
      <c r="I735" s="5" t="s">
        <v>2412</v>
      </c>
      <c r="J735" s="5" t="s">
        <v>24</v>
      </c>
      <c r="K735" s="5" t="s">
        <v>24</v>
      </c>
      <c r="L735" s="5" t="s">
        <v>75</v>
      </c>
      <c r="M735" s="5" t="s">
        <v>24</v>
      </c>
      <c r="N735" s="5" t="s">
        <v>24</v>
      </c>
      <c r="O735" s="5" t="s">
        <v>75</v>
      </c>
      <c r="P735" s="5" t="s">
        <v>2413</v>
      </c>
      <c r="Q735" s="2">
        <v>45966</v>
      </c>
      <c r="V735" s="45">
        <f t="shared" si="11"/>
        <v>1</v>
      </c>
      <c r="W735" s="45" t="s">
        <v>4941</v>
      </c>
    </row>
    <row r="736" spans="1:23" hidden="1">
      <c r="A736" s="2">
        <v>45905</v>
      </c>
      <c r="B736" s="1" t="s">
        <v>4595</v>
      </c>
      <c r="C736" s="1" t="s">
        <v>4942</v>
      </c>
      <c r="D736" s="1" t="s">
        <v>2439</v>
      </c>
      <c r="E736" s="1">
        <v>85024</v>
      </c>
      <c r="F736" s="1" t="s">
        <v>2730</v>
      </c>
      <c r="G736" s="1" t="s">
        <v>4914</v>
      </c>
      <c r="H736" s="4" t="s">
        <v>1186</v>
      </c>
      <c r="I736" s="5" t="s">
        <v>2412</v>
      </c>
      <c r="J736" s="5" t="s">
        <v>24</v>
      </c>
      <c r="K736" s="5" t="s">
        <v>24</v>
      </c>
      <c r="L736" s="5" t="s">
        <v>75</v>
      </c>
      <c r="M736" s="5" t="s">
        <v>24</v>
      </c>
      <c r="N736" s="5" t="s">
        <v>24</v>
      </c>
      <c r="O736" s="5" t="s">
        <v>75</v>
      </c>
      <c r="P736" s="5" t="s">
        <v>2413</v>
      </c>
      <c r="Q736" s="2">
        <v>45966</v>
      </c>
      <c r="V736" s="45">
        <f t="shared" si="11"/>
        <v>1</v>
      </c>
      <c r="W736" s="45" t="s">
        <v>4943</v>
      </c>
    </row>
    <row r="737" spans="1:23" hidden="1">
      <c r="A737" s="2">
        <v>45905</v>
      </c>
      <c r="B737" s="1" t="s">
        <v>4944</v>
      </c>
      <c r="C737" s="1" t="s">
        <v>4945</v>
      </c>
      <c r="D737" s="1" t="s">
        <v>2439</v>
      </c>
      <c r="E737" s="1">
        <v>85053</v>
      </c>
      <c r="F737" s="1" t="s">
        <v>2730</v>
      </c>
      <c r="G737" s="1" t="s">
        <v>4914</v>
      </c>
      <c r="H737" s="4" t="s">
        <v>2401</v>
      </c>
      <c r="V737" s="45">
        <f t="shared" si="11"/>
        <v>1</v>
      </c>
      <c r="W737" s="45" t="s">
        <v>4946</v>
      </c>
    </row>
    <row r="738" spans="1:23" hidden="1">
      <c r="A738" s="2">
        <v>45905</v>
      </c>
      <c r="B738" s="1" t="s">
        <v>4947</v>
      </c>
      <c r="C738" s="1" t="s">
        <v>3175</v>
      </c>
      <c r="D738" s="1" t="s">
        <v>2439</v>
      </c>
      <c r="E738" s="1">
        <v>85020</v>
      </c>
      <c r="F738" s="1" t="s">
        <v>4948</v>
      </c>
      <c r="G738" s="1" t="s">
        <v>4914</v>
      </c>
      <c r="H738" s="21" t="s">
        <v>4949</v>
      </c>
      <c r="I738" s="5" t="s">
        <v>2412</v>
      </c>
      <c r="J738" s="5" t="s">
        <v>24</v>
      </c>
      <c r="K738" s="5" t="s">
        <v>24</v>
      </c>
      <c r="L738" s="5" t="s">
        <v>75</v>
      </c>
      <c r="M738" s="5" t="s">
        <v>24</v>
      </c>
      <c r="N738" s="5" t="s">
        <v>24</v>
      </c>
      <c r="O738" s="5" t="s">
        <v>75</v>
      </c>
      <c r="P738" s="5" t="s">
        <v>2413</v>
      </c>
      <c r="Q738" s="2">
        <v>45966</v>
      </c>
      <c r="V738" s="45">
        <f t="shared" si="11"/>
        <v>1</v>
      </c>
      <c r="W738" s="45" t="s">
        <v>4950</v>
      </c>
    </row>
    <row r="739" spans="1:23" hidden="1">
      <c r="A739" s="2">
        <v>45905</v>
      </c>
      <c r="B739" s="1" t="s">
        <v>4951</v>
      </c>
      <c r="C739" s="1" t="s">
        <v>3327</v>
      </c>
      <c r="D739" s="1" t="s">
        <v>2439</v>
      </c>
      <c r="E739" s="1">
        <v>85003</v>
      </c>
      <c r="F739" s="1" t="s">
        <v>4952</v>
      </c>
      <c r="G739" s="1" t="s">
        <v>4914</v>
      </c>
      <c r="H739" s="4" t="s">
        <v>1188</v>
      </c>
      <c r="I739" s="5" t="s">
        <v>2420</v>
      </c>
      <c r="J739" s="5" t="s">
        <v>24</v>
      </c>
      <c r="K739" s="5" t="s">
        <v>24</v>
      </c>
      <c r="L739" s="5" t="s">
        <v>75</v>
      </c>
      <c r="M739" s="5" t="s">
        <v>24</v>
      </c>
      <c r="N739" s="5" t="s">
        <v>24</v>
      </c>
      <c r="O739" s="5" t="s">
        <v>75</v>
      </c>
      <c r="P739" s="5" t="s">
        <v>2413</v>
      </c>
      <c r="Q739" s="2">
        <v>45966</v>
      </c>
      <c r="V739" s="45">
        <f t="shared" si="11"/>
        <v>1</v>
      </c>
      <c r="W739" s="45" t="s">
        <v>4953</v>
      </c>
    </row>
    <row r="740" spans="1:23" hidden="1">
      <c r="A740" s="2">
        <v>45905</v>
      </c>
      <c r="B740" s="1" t="s">
        <v>4954</v>
      </c>
      <c r="C740" s="1" t="s">
        <v>4955</v>
      </c>
      <c r="D740" s="1" t="s">
        <v>2445</v>
      </c>
      <c r="E740" s="1">
        <v>85331</v>
      </c>
      <c r="F740" s="1" t="s">
        <v>2730</v>
      </c>
      <c r="G740" s="1" t="s">
        <v>4914</v>
      </c>
      <c r="H740" s="4" t="s">
        <v>243</v>
      </c>
      <c r="I740" s="5" t="s">
        <v>2597</v>
      </c>
      <c r="J740" s="5" t="s">
        <v>24</v>
      </c>
      <c r="K740" s="5" t="s">
        <v>24</v>
      </c>
      <c r="L740" s="7" t="s">
        <v>4956</v>
      </c>
      <c r="M740" s="5" t="s">
        <v>24</v>
      </c>
      <c r="N740" s="5" t="s">
        <v>24</v>
      </c>
      <c r="O740" s="5" t="s">
        <v>75</v>
      </c>
      <c r="P740" s="2">
        <v>45971</v>
      </c>
      <c r="Q740" s="2">
        <v>45966</v>
      </c>
      <c r="R740" s="1" t="s">
        <v>4957</v>
      </c>
      <c r="V740" s="45">
        <f t="shared" si="11"/>
        <v>1</v>
      </c>
      <c r="W740" s="45" t="s">
        <v>4958</v>
      </c>
    </row>
    <row r="741" spans="1:23" hidden="1">
      <c r="A741" s="2">
        <v>45905</v>
      </c>
      <c r="B741" s="1" t="s">
        <v>4959</v>
      </c>
      <c r="C741" s="1" t="s">
        <v>2912</v>
      </c>
      <c r="D741" s="1" t="s">
        <v>2398</v>
      </c>
      <c r="E741" s="1">
        <v>85308</v>
      </c>
      <c r="F741" s="1" t="s">
        <v>2730</v>
      </c>
      <c r="G741" s="1" t="s">
        <v>4914</v>
      </c>
      <c r="H741" s="4" t="s">
        <v>1190</v>
      </c>
      <c r="I741" s="5" t="s">
        <v>2412</v>
      </c>
      <c r="J741" s="5" t="s">
        <v>24</v>
      </c>
      <c r="K741" s="5" t="s">
        <v>24</v>
      </c>
      <c r="L741" s="5" t="s">
        <v>75</v>
      </c>
      <c r="M741" s="5" t="s">
        <v>24</v>
      </c>
      <c r="N741" s="5" t="s">
        <v>24</v>
      </c>
      <c r="O741" s="5" t="s">
        <v>75</v>
      </c>
      <c r="P741" s="5" t="s">
        <v>2413</v>
      </c>
      <c r="Q741" s="2">
        <v>45966</v>
      </c>
      <c r="V741" s="45">
        <f t="shared" si="11"/>
        <v>1</v>
      </c>
      <c r="W741" s="45" t="s">
        <v>4960</v>
      </c>
    </row>
    <row r="742" spans="1:23" hidden="1">
      <c r="A742" s="2">
        <v>45905</v>
      </c>
      <c r="B742" s="1" t="s">
        <v>4961</v>
      </c>
      <c r="C742" s="1" t="s">
        <v>4962</v>
      </c>
      <c r="D742" s="1" t="s">
        <v>2498</v>
      </c>
      <c r="E742" s="1">
        <v>85388</v>
      </c>
      <c r="F742" s="1" t="s">
        <v>2730</v>
      </c>
      <c r="G742" s="1" t="s">
        <v>4914</v>
      </c>
      <c r="H742" s="4" t="s">
        <v>2401</v>
      </c>
      <c r="V742" s="45">
        <f t="shared" si="11"/>
        <v>1</v>
      </c>
      <c r="W742" s="45" t="s">
        <v>4963</v>
      </c>
    </row>
    <row r="743" spans="1:23" hidden="1">
      <c r="A743" s="2">
        <v>45905</v>
      </c>
      <c r="B743" s="1" t="s">
        <v>4964</v>
      </c>
      <c r="C743" s="1" t="s">
        <v>4568</v>
      </c>
      <c r="D743" s="1" t="s">
        <v>2498</v>
      </c>
      <c r="E743" s="1">
        <v>85388</v>
      </c>
      <c r="F743" s="1" t="s">
        <v>2730</v>
      </c>
      <c r="G743" s="1" t="s">
        <v>4914</v>
      </c>
      <c r="H743" s="4" t="s">
        <v>2471</v>
      </c>
      <c r="V743" s="45">
        <f t="shared" si="11"/>
        <v>1</v>
      </c>
      <c r="W743" s="45" t="s">
        <v>4965</v>
      </c>
    </row>
    <row r="744" spans="1:23" hidden="1">
      <c r="A744" s="2">
        <v>45905</v>
      </c>
      <c r="B744" s="1" t="s">
        <v>4966</v>
      </c>
      <c r="C744" s="1" t="s">
        <v>4967</v>
      </c>
      <c r="D744" s="1" t="s">
        <v>2564</v>
      </c>
      <c r="E744" s="1">
        <v>85338</v>
      </c>
      <c r="F744" s="1" t="s">
        <v>2730</v>
      </c>
      <c r="G744" s="1" t="s">
        <v>4914</v>
      </c>
      <c r="H744" s="4" t="s">
        <v>1192</v>
      </c>
      <c r="I744" s="5" t="s">
        <v>2514</v>
      </c>
      <c r="J744" s="5" t="s">
        <v>24</v>
      </c>
      <c r="K744" s="5" t="s">
        <v>24</v>
      </c>
      <c r="L744" s="5" t="s">
        <v>75</v>
      </c>
      <c r="M744" s="5" t="s">
        <v>24</v>
      </c>
      <c r="N744" s="5" t="s">
        <v>24</v>
      </c>
      <c r="O744" s="5" t="s">
        <v>75</v>
      </c>
      <c r="P744" s="5" t="s">
        <v>2413</v>
      </c>
      <c r="Q744" s="2">
        <v>45966</v>
      </c>
      <c r="V744" s="45">
        <f t="shared" si="11"/>
        <v>1</v>
      </c>
      <c r="W744" s="45" t="s">
        <v>4968</v>
      </c>
    </row>
    <row r="745" spans="1:23" hidden="1">
      <c r="A745" s="2">
        <v>45905</v>
      </c>
      <c r="B745" s="1" t="s">
        <v>4969</v>
      </c>
      <c r="C745" s="1" t="s">
        <v>2454</v>
      </c>
      <c r="D745" s="1" t="s">
        <v>2439</v>
      </c>
      <c r="E745" s="1">
        <v>85050</v>
      </c>
      <c r="F745" s="1" t="s">
        <v>2730</v>
      </c>
      <c r="G745" s="1" t="s">
        <v>4914</v>
      </c>
      <c r="H745" s="4" t="s">
        <v>1194</v>
      </c>
      <c r="I745" s="5" t="s">
        <v>2412</v>
      </c>
      <c r="J745" s="5" t="s">
        <v>24</v>
      </c>
      <c r="K745" s="5" t="s">
        <v>24</v>
      </c>
      <c r="L745" s="5" t="s">
        <v>75</v>
      </c>
      <c r="M745" s="5" t="s">
        <v>24</v>
      </c>
      <c r="N745" s="5" t="s">
        <v>24</v>
      </c>
      <c r="O745" s="5" t="s">
        <v>75</v>
      </c>
      <c r="P745" s="5" t="s">
        <v>2413</v>
      </c>
      <c r="Q745" s="2">
        <v>45966</v>
      </c>
      <c r="V745" s="45">
        <f t="shared" si="11"/>
        <v>1</v>
      </c>
      <c r="W745" s="45" t="s">
        <v>4970</v>
      </c>
    </row>
    <row r="746" spans="1:23" hidden="1">
      <c r="A746" s="2">
        <v>45905</v>
      </c>
      <c r="B746" s="1" t="s">
        <v>4971</v>
      </c>
      <c r="C746" s="1" t="s">
        <v>4972</v>
      </c>
      <c r="D746" s="1" t="s">
        <v>2513</v>
      </c>
      <c r="E746" s="1">
        <v>85260</v>
      </c>
      <c r="F746" s="1" t="s">
        <v>4973</v>
      </c>
      <c r="G746" s="1" t="s">
        <v>4914</v>
      </c>
      <c r="H746" s="4" t="s">
        <v>1196</v>
      </c>
      <c r="I746" s="5" t="s">
        <v>2412</v>
      </c>
      <c r="J746" s="5" t="s">
        <v>24</v>
      </c>
      <c r="K746" s="5" t="s">
        <v>24</v>
      </c>
      <c r="L746" s="5" t="s">
        <v>75</v>
      </c>
      <c r="M746" s="5" t="s">
        <v>24</v>
      </c>
      <c r="N746" s="5" t="s">
        <v>24</v>
      </c>
      <c r="O746" s="5" t="s">
        <v>75</v>
      </c>
      <c r="P746" s="5" t="s">
        <v>2413</v>
      </c>
      <c r="Q746" s="2">
        <v>45966</v>
      </c>
      <c r="V746" s="45">
        <f t="shared" si="11"/>
        <v>1</v>
      </c>
      <c r="W746" s="125" t="s">
        <v>4974</v>
      </c>
    </row>
    <row r="747" spans="1:23" hidden="1">
      <c r="A747" s="2">
        <v>45905</v>
      </c>
      <c r="B747" s="1" t="s">
        <v>4975</v>
      </c>
      <c r="C747" s="1" t="s">
        <v>4976</v>
      </c>
      <c r="D747" s="1" t="s">
        <v>2439</v>
      </c>
      <c r="E747" s="1">
        <v>85024</v>
      </c>
      <c r="F747" s="1" t="s">
        <v>4977</v>
      </c>
      <c r="G747" s="1" t="s">
        <v>4914</v>
      </c>
      <c r="H747" s="4" t="s">
        <v>30</v>
      </c>
      <c r="I747" s="5" t="s">
        <v>2597</v>
      </c>
      <c r="J747" s="5" t="s">
        <v>24</v>
      </c>
      <c r="K747" s="5" t="s">
        <v>24</v>
      </c>
      <c r="L747" s="5" t="s">
        <v>4978</v>
      </c>
      <c r="M747" s="5" t="s">
        <v>75</v>
      </c>
      <c r="N747" s="13">
        <v>470.06</v>
      </c>
      <c r="O747" s="5" t="s">
        <v>75</v>
      </c>
      <c r="P747" s="5" t="s">
        <v>2413</v>
      </c>
      <c r="Q747" s="2">
        <v>45966</v>
      </c>
      <c r="V747" s="45">
        <f t="shared" si="11"/>
        <v>1</v>
      </c>
      <c r="W747" s="45" t="s">
        <v>4979</v>
      </c>
    </row>
    <row r="748" spans="1:23" hidden="1">
      <c r="A748" s="2">
        <v>45905</v>
      </c>
      <c r="B748" s="1" t="s">
        <v>4980</v>
      </c>
      <c r="C748" s="1" t="s">
        <v>3327</v>
      </c>
      <c r="D748" s="1" t="s">
        <v>2439</v>
      </c>
      <c r="E748" s="1">
        <v>85016</v>
      </c>
      <c r="F748" s="1" t="s">
        <v>2730</v>
      </c>
      <c r="G748" s="1" t="s">
        <v>4914</v>
      </c>
      <c r="H748" s="4" t="s">
        <v>1198</v>
      </c>
      <c r="I748" s="5" t="s">
        <v>2514</v>
      </c>
      <c r="J748" s="5" t="s">
        <v>24</v>
      </c>
      <c r="K748" s="5" t="s">
        <v>24</v>
      </c>
      <c r="L748" s="5" t="s">
        <v>75</v>
      </c>
      <c r="M748" s="5" t="s">
        <v>24</v>
      </c>
      <c r="N748" s="5" t="s">
        <v>24</v>
      </c>
      <c r="O748" s="5" t="s">
        <v>75</v>
      </c>
      <c r="P748" s="5" t="s">
        <v>2413</v>
      </c>
      <c r="Q748" s="2">
        <v>45966</v>
      </c>
      <c r="V748" s="45">
        <f t="shared" si="11"/>
        <v>1</v>
      </c>
      <c r="W748" s="45" t="s">
        <v>4981</v>
      </c>
    </row>
    <row r="749" spans="1:23" hidden="1">
      <c r="A749" s="2">
        <v>45905</v>
      </c>
      <c r="B749" s="1" t="s">
        <v>4982</v>
      </c>
      <c r="C749" s="1" t="s">
        <v>2609</v>
      </c>
      <c r="D749" s="1" t="s">
        <v>2513</v>
      </c>
      <c r="E749" s="1">
        <v>85258</v>
      </c>
      <c r="F749" s="1" t="s">
        <v>4983</v>
      </c>
      <c r="G749" s="1" t="s">
        <v>4914</v>
      </c>
      <c r="H749" s="4" t="s">
        <v>245</v>
      </c>
      <c r="I749" s="5" t="s">
        <v>2412</v>
      </c>
      <c r="J749" s="5" t="s">
        <v>24</v>
      </c>
      <c r="K749" s="5" t="s">
        <v>24</v>
      </c>
      <c r="L749" s="5" t="s">
        <v>4984</v>
      </c>
      <c r="M749" s="5" t="s">
        <v>24</v>
      </c>
      <c r="N749" s="5" t="s">
        <v>24</v>
      </c>
      <c r="O749" s="5" t="s">
        <v>75</v>
      </c>
      <c r="P749" s="5" t="s">
        <v>2413</v>
      </c>
      <c r="Q749" s="2">
        <v>45966</v>
      </c>
      <c r="R749" s="1" t="s">
        <v>4088</v>
      </c>
      <c r="V749" s="45">
        <f t="shared" si="11"/>
        <v>1</v>
      </c>
      <c r="W749" s="45" t="s">
        <v>4985</v>
      </c>
    </row>
    <row r="750" spans="1:23" hidden="1">
      <c r="A750" s="2">
        <v>45905</v>
      </c>
      <c r="B750" s="1" t="s">
        <v>4986</v>
      </c>
      <c r="C750" s="1" t="s">
        <v>3175</v>
      </c>
      <c r="D750" s="1" t="s">
        <v>2439</v>
      </c>
      <c r="E750" s="1">
        <v>85022</v>
      </c>
      <c r="F750" s="1" t="s">
        <v>2730</v>
      </c>
      <c r="G750" s="1" t="s">
        <v>4914</v>
      </c>
      <c r="H750" s="4" t="s">
        <v>1200</v>
      </c>
      <c r="I750" s="5" t="s">
        <v>2451</v>
      </c>
      <c r="J750" s="5" t="s">
        <v>24</v>
      </c>
      <c r="K750" s="5" t="s">
        <v>24</v>
      </c>
      <c r="L750" s="5" t="s">
        <v>75</v>
      </c>
      <c r="M750" s="5" t="s">
        <v>24</v>
      </c>
      <c r="N750" s="5" t="s">
        <v>24</v>
      </c>
      <c r="O750" s="5" t="s">
        <v>75</v>
      </c>
      <c r="P750" s="5" t="s">
        <v>2413</v>
      </c>
      <c r="Q750" s="2">
        <v>45966</v>
      </c>
      <c r="V750" s="45">
        <f t="shared" si="11"/>
        <v>1</v>
      </c>
      <c r="W750" s="45" t="s">
        <v>4987</v>
      </c>
    </row>
    <row r="751" spans="1:23" hidden="1">
      <c r="A751" s="2">
        <v>45905</v>
      </c>
      <c r="B751" s="1" t="s">
        <v>4988</v>
      </c>
      <c r="C751" s="1" t="s">
        <v>4989</v>
      </c>
      <c r="D751" s="1" t="s">
        <v>2398</v>
      </c>
      <c r="E751" s="1">
        <v>85308</v>
      </c>
      <c r="F751" s="1" t="s">
        <v>2730</v>
      </c>
      <c r="G751" s="1" t="s">
        <v>4914</v>
      </c>
      <c r="H751" s="4" t="s">
        <v>1203</v>
      </c>
      <c r="I751" s="5" t="s">
        <v>2412</v>
      </c>
      <c r="J751" s="5" t="s">
        <v>24</v>
      </c>
      <c r="K751" s="5" t="s">
        <v>24</v>
      </c>
      <c r="L751" s="5" t="s">
        <v>75</v>
      </c>
      <c r="M751" s="5" t="s">
        <v>24</v>
      </c>
      <c r="N751" s="5" t="s">
        <v>24</v>
      </c>
      <c r="O751" s="5" t="s">
        <v>75</v>
      </c>
      <c r="P751" s="5" t="s">
        <v>2413</v>
      </c>
      <c r="Q751" s="2">
        <v>45966</v>
      </c>
      <c r="V751" s="45">
        <f t="shared" si="11"/>
        <v>1</v>
      </c>
      <c r="W751" s="45" t="s">
        <v>4990</v>
      </c>
    </row>
    <row r="752" spans="1:23" hidden="1">
      <c r="A752" s="2">
        <v>45905</v>
      </c>
      <c r="B752" s="1" t="s">
        <v>4991</v>
      </c>
      <c r="C752" s="1" t="s">
        <v>2756</v>
      </c>
      <c r="D752" s="1" t="s">
        <v>2570</v>
      </c>
      <c r="E752" s="1">
        <v>85396</v>
      </c>
      <c r="F752" s="1" t="s">
        <v>2730</v>
      </c>
      <c r="G752" s="1" t="s">
        <v>4914</v>
      </c>
      <c r="H752" s="4" t="s">
        <v>1205</v>
      </c>
      <c r="I752" s="5" t="s">
        <v>2412</v>
      </c>
      <c r="J752" s="5" t="s">
        <v>24</v>
      </c>
      <c r="K752" s="5" t="s">
        <v>24</v>
      </c>
      <c r="L752" s="5" t="s">
        <v>75</v>
      </c>
      <c r="M752" s="5" t="s">
        <v>24</v>
      </c>
      <c r="N752" s="5" t="s">
        <v>24</v>
      </c>
      <c r="O752" s="5" t="s">
        <v>75</v>
      </c>
      <c r="P752" s="5" t="s">
        <v>2413</v>
      </c>
      <c r="Q752" s="2">
        <v>45966</v>
      </c>
      <c r="V752" s="45">
        <f t="shared" si="11"/>
        <v>1</v>
      </c>
      <c r="W752" s="45" t="s">
        <v>4992</v>
      </c>
    </row>
    <row r="753" spans="1:23" hidden="1">
      <c r="A753" s="2">
        <v>45905</v>
      </c>
      <c r="B753" s="1" t="s">
        <v>4993</v>
      </c>
      <c r="C753" s="1" t="s">
        <v>3494</v>
      </c>
      <c r="D753" s="1" t="s">
        <v>4424</v>
      </c>
      <c r="E753" s="1">
        <v>85351</v>
      </c>
      <c r="F753" s="1" t="s">
        <v>4994</v>
      </c>
      <c r="G753" s="1" t="s">
        <v>4914</v>
      </c>
      <c r="H753" s="21" t="s">
        <v>4995</v>
      </c>
      <c r="I753" s="5" t="s">
        <v>2988</v>
      </c>
      <c r="J753" s="5" t="s">
        <v>24</v>
      </c>
      <c r="K753" s="5" t="s">
        <v>24</v>
      </c>
      <c r="L753" s="5" t="s">
        <v>2819</v>
      </c>
      <c r="M753" s="5" t="s">
        <v>24</v>
      </c>
      <c r="N753" s="5" t="s">
        <v>24</v>
      </c>
      <c r="O753" s="5" t="s">
        <v>75</v>
      </c>
      <c r="P753" s="5" t="s">
        <v>2413</v>
      </c>
      <c r="Q753" s="2">
        <v>45966</v>
      </c>
      <c r="V753" s="45">
        <f t="shared" si="11"/>
        <v>1</v>
      </c>
      <c r="W753" s="45" t="s">
        <v>4996</v>
      </c>
    </row>
    <row r="754" spans="1:23" hidden="1">
      <c r="A754" s="2">
        <v>45905</v>
      </c>
      <c r="B754" s="1" t="s">
        <v>4997</v>
      </c>
      <c r="C754" s="1" t="s">
        <v>2538</v>
      </c>
      <c r="D754" s="1" t="s">
        <v>2439</v>
      </c>
      <c r="E754" s="1">
        <v>85014</v>
      </c>
      <c r="F754" s="1" t="s">
        <v>2406</v>
      </c>
      <c r="G754" s="1" t="s">
        <v>4914</v>
      </c>
      <c r="H754" s="4" t="s">
        <v>247</v>
      </c>
      <c r="I754" s="5" t="s">
        <v>2514</v>
      </c>
      <c r="J754" s="5" t="s">
        <v>24</v>
      </c>
      <c r="K754" s="5" t="s">
        <v>24</v>
      </c>
      <c r="L754" s="5" t="s">
        <v>4998</v>
      </c>
      <c r="M754" s="5" t="s">
        <v>24</v>
      </c>
      <c r="N754" s="5" t="s">
        <v>24</v>
      </c>
      <c r="O754" s="5" t="s">
        <v>75</v>
      </c>
      <c r="P754" s="5" t="s">
        <v>2413</v>
      </c>
      <c r="Q754" s="2">
        <v>45966</v>
      </c>
      <c r="V754" s="45">
        <f t="shared" si="11"/>
        <v>1</v>
      </c>
      <c r="W754" s="45" t="s">
        <v>4999</v>
      </c>
    </row>
    <row r="755" spans="1:23" hidden="1">
      <c r="A755" s="2">
        <v>45905</v>
      </c>
      <c r="B755" s="1" t="s">
        <v>5000</v>
      </c>
      <c r="C755" s="1" t="s">
        <v>5001</v>
      </c>
      <c r="D755" s="1" t="s">
        <v>2605</v>
      </c>
      <c r="E755" s="1">
        <v>85383</v>
      </c>
      <c r="F755" s="1" t="s">
        <v>2730</v>
      </c>
      <c r="G755" s="1" t="s">
        <v>4914</v>
      </c>
      <c r="H755" s="4" t="s">
        <v>249</v>
      </c>
      <c r="I755" s="5" t="s">
        <v>2420</v>
      </c>
      <c r="J755" s="5" t="s">
        <v>24</v>
      </c>
      <c r="K755" s="5" t="s">
        <v>24</v>
      </c>
      <c r="L755" s="5" t="s">
        <v>5002</v>
      </c>
      <c r="M755" s="5" t="s">
        <v>24</v>
      </c>
      <c r="N755" s="5" t="s">
        <v>24</v>
      </c>
      <c r="O755" s="5" t="s">
        <v>75</v>
      </c>
      <c r="P755" s="5" t="s">
        <v>2413</v>
      </c>
      <c r="Q755" s="2">
        <v>45966</v>
      </c>
      <c r="U755" s="1" t="s">
        <v>5003</v>
      </c>
      <c r="V755" s="45">
        <f t="shared" si="11"/>
        <v>1</v>
      </c>
      <c r="W755" s="125" t="s">
        <v>5004</v>
      </c>
    </row>
    <row r="756" spans="1:23" hidden="1">
      <c r="A756" s="2">
        <v>45905</v>
      </c>
      <c r="B756" s="1" t="s">
        <v>5005</v>
      </c>
      <c r="C756" s="1" t="s">
        <v>2733</v>
      </c>
      <c r="D756" s="1" t="s">
        <v>2439</v>
      </c>
      <c r="E756" s="1">
        <v>85023</v>
      </c>
      <c r="F756" s="1" t="s">
        <v>2730</v>
      </c>
      <c r="G756" s="1" t="s">
        <v>4914</v>
      </c>
      <c r="H756" s="21" t="s">
        <v>5006</v>
      </c>
      <c r="I756" s="5" t="s">
        <v>2451</v>
      </c>
      <c r="J756" s="5" t="s">
        <v>24</v>
      </c>
      <c r="K756" s="5" t="s">
        <v>24</v>
      </c>
      <c r="L756" s="5" t="s">
        <v>75</v>
      </c>
      <c r="M756" s="5" t="s">
        <v>24</v>
      </c>
      <c r="N756" s="5" t="s">
        <v>24</v>
      </c>
      <c r="O756" s="5" t="s">
        <v>75</v>
      </c>
      <c r="P756" s="5" t="s">
        <v>2413</v>
      </c>
      <c r="Q756" s="2">
        <v>45966</v>
      </c>
      <c r="V756" s="45">
        <f t="shared" si="11"/>
        <v>1</v>
      </c>
      <c r="W756" s="45" t="s">
        <v>5007</v>
      </c>
    </row>
    <row r="757" spans="1:23" hidden="1">
      <c r="A757" s="2">
        <v>45905</v>
      </c>
      <c r="B757" s="1" t="s">
        <v>5008</v>
      </c>
      <c r="C757" s="1" t="s">
        <v>5009</v>
      </c>
      <c r="D757" s="1" t="s">
        <v>2570</v>
      </c>
      <c r="E757" s="1">
        <v>85396</v>
      </c>
      <c r="F757" s="1" t="s">
        <v>2406</v>
      </c>
      <c r="G757" s="1" t="s">
        <v>4914</v>
      </c>
      <c r="H757" s="4" t="s">
        <v>1207</v>
      </c>
      <c r="I757" s="5" t="s">
        <v>2848</v>
      </c>
      <c r="J757" s="5" t="s">
        <v>24</v>
      </c>
      <c r="K757" s="5" t="s">
        <v>24</v>
      </c>
      <c r="L757" s="5" t="s">
        <v>2819</v>
      </c>
      <c r="M757" s="5" t="s">
        <v>24</v>
      </c>
      <c r="N757" s="5" t="s">
        <v>24</v>
      </c>
      <c r="O757" s="5" t="s">
        <v>75</v>
      </c>
      <c r="P757" s="5" t="s">
        <v>2413</v>
      </c>
      <c r="Q757" s="2">
        <v>45966</v>
      </c>
      <c r="V757" s="45">
        <f t="shared" si="11"/>
        <v>1</v>
      </c>
      <c r="W757" s="45" t="s">
        <v>5010</v>
      </c>
    </row>
    <row r="758" spans="1:23" hidden="1">
      <c r="A758" s="2">
        <v>45905</v>
      </c>
      <c r="B758" s="1" t="s">
        <v>5011</v>
      </c>
      <c r="C758" s="1" t="s">
        <v>3784</v>
      </c>
      <c r="D758" s="1" t="s">
        <v>2439</v>
      </c>
      <c r="E758" s="1">
        <v>85022</v>
      </c>
      <c r="F758" s="1" t="s">
        <v>2406</v>
      </c>
      <c r="G758" s="1" t="s">
        <v>4914</v>
      </c>
      <c r="H758" s="4" t="s">
        <v>2401</v>
      </c>
      <c r="V758" s="45">
        <f t="shared" si="11"/>
        <v>1</v>
      </c>
      <c r="W758" s="45" t="s">
        <v>5012</v>
      </c>
    </row>
    <row r="759" spans="1:23" hidden="1">
      <c r="A759" s="2">
        <v>45905</v>
      </c>
      <c r="B759" s="1" t="s">
        <v>5013</v>
      </c>
      <c r="C759" s="1" t="s">
        <v>2823</v>
      </c>
      <c r="D759" s="1" t="s">
        <v>2564</v>
      </c>
      <c r="E759" s="1">
        <v>85448</v>
      </c>
      <c r="F759" s="1" t="s">
        <v>4525</v>
      </c>
      <c r="G759" s="1" t="s">
        <v>4914</v>
      </c>
      <c r="H759" s="4" t="s">
        <v>1209</v>
      </c>
      <c r="I759" s="5" t="s">
        <v>2848</v>
      </c>
      <c r="J759" s="5" t="s">
        <v>24</v>
      </c>
      <c r="K759" s="5" t="s">
        <v>24</v>
      </c>
      <c r="L759" s="5" t="s">
        <v>2819</v>
      </c>
      <c r="M759" s="5" t="s">
        <v>24</v>
      </c>
      <c r="N759" s="5" t="s">
        <v>24</v>
      </c>
      <c r="O759" s="5" t="s">
        <v>75</v>
      </c>
      <c r="P759" s="5" t="s">
        <v>2413</v>
      </c>
      <c r="Q759" s="2">
        <v>45966</v>
      </c>
      <c r="V759" s="45">
        <f t="shared" si="11"/>
        <v>1</v>
      </c>
      <c r="W759" s="45" t="s">
        <v>5014</v>
      </c>
    </row>
    <row r="760" spans="1:23" hidden="1">
      <c r="A760" s="2">
        <v>45905</v>
      </c>
      <c r="B760" s="1" t="s">
        <v>5015</v>
      </c>
      <c r="C760" s="1" t="s">
        <v>3481</v>
      </c>
      <c r="D760" s="1" t="s">
        <v>2498</v>
      </c>
      <c r="E760" s="1">
        <v>85387</v>
      </c>
      <c r="F760" s="1" t="s">
        <v>2730</v>
      </c>
      <c r="G760" s="1" t="s">
        <v>4914</v>
      </c>
      <c r="H760" s="4" t="s">
        <v>34</v>
      </c>
      <c r="I760" s="5" t="s">
        <v>2597</v>
      </c>
      <c r="J760" s="5" t="s">
        <v>24</v>
      </c>
      <c r="K760" s="5" t="s">
        <v>24</v>
      </c>
      <c r="L760" s="7" t="s">
        <v>5016</v>
      </c>
      <c r="M760" s="5" t="s">
        <v>4282</v>
      </c>
      <c r="N760" s="15">
        <v>1278.31</v>
      </c>
      <c r="O760" s="5" t="s">
        <v>75</v>
      </c>
      <c r="P760" s="2">
        <v>45936</v>
      </c>
      <c r="Q760" s="2">
        <v>45966</v>
      </c>
      <c r="R760" s="1" t="s">
        <v>5017</v>
      </c>
      <c r="V760" s="45">
        <f t="shared" si="11"/>
        <v>1</v>
      </c>
      <c r="W760" s="45" t="s">
        <v>5018</v>
      </c>
    </row>
    <row r="761" spans="1:23" hidden="1">
      <c r="A761" s="2">
        <v>45905</v>
      </c>
      <c r="B761" s="1" t="s">
        <v>5019</v>
      </c>
      <c r="C761" s="1" t="s">
        <v>2826</v>
      </c>
      <c r="D761" s="1" t="s">
        <v>5020</v>
      </c>
      <c r="E761" s="1">
        <v>85321</v>
      </c>
      <c r="F761" s="1" t="s">
        <v>2730</v>
      </c>
      <c r="G761" s="1" t="s">
        <v>4914</v>
      </c>
      <c r="H761" s="4" t="s">
        <v>1211</v>
      </c>
      <c r="I761" s="5" t="s">
        <v>2420</v>
      </c>
      <c r="J761" s="5" t="s">
        <v>24</v>
      </c>
      <c r="K761" s="5" t="s">
        <v>24</v>
      </c>
      <c r="L761" s="5" t="s">
        <v>75</v>
      </c>
      <c r="M761" s="5" t="s">
        <v>24</v>
      </c>
      <c r="N761" s="5" t="s">
        <v>24</v>
      </c>
      <c r="O761" s="5" t="s">
        <v>75</v>
      </c>
      <c r="P761" s="5" t="s">
        <v>2413</v>
      </c>
      <c r="Q761" s="2">
        <v>45966</v>
      </c>
      <c r="V761" s="45">
        <f t="shared" si="11"/>
        <v>1</v>
      </c>
      <c r="W761" s="45" t="s">
        <v>5021</v>
      </c>
    </row>
    <row r="762" spans="1:23" hidden="1">
      <c r="A762" s="2">
        <v>45905</v>
      </c>
      <c r="B762" s="1" t="s">
        <v>3722</v>
      </c>
      <c r="C762" s="1" t="s">
        <v>5022</v>
      </c>
      <c r="D762" s="1" t="s">
        <v>2564</v>
      </c>
      <c r="E762" s="1">
        <v>85338</v>
      </c>
      <c r="F762" s="1" t="s">
        <v>2730</v>
      </c>
      <c r="G762" s="1" t="s">
        <v>4914</v>
      </c>
      <c r="H762" s="4" t="s">
        <v>2613</v>
      </c>
      <c r="V762" s="45">
        <f t="shared" si="11"/>
        <v>1</v>
      </c>
      <c r="W762" s="45" t="s">
        <v>5023</v>
      </c>
    </row>
    <row r="763" spans="1:23" hidden="1">
      <c r="A763" s="2">
        <v>45905</v>
      </c>
      <c r="B763" s="1" t="s">
        <v>5024</v>
      </c>
      <c r="C763" s="1" t="s">
        <v>2806</v>
      </c>
      <c r="D763" s="1" t="s">
        <v>2564</v>
      </c>
      <c r="E763" s="1">
        <v>85338</v>
      </c>
      <c r="F763" s="1" t="s">
        <v>5025</v>
      </c>
      <c r="G763" s="1" t="s">
        <v>4914</v>
      </c>
      <c r="H763" s="4" t="s">
        <v>1213</v>
      </c>
      <c r="I763" s="5" t="s">
        <v>2420</v>
      </c>
      <c r="J763" s="5" t="s">
        <v>24</v>
      </c>
      <c r="K763" s="5" t="s">
        <v>24</v>
      </c>
      <c r="L763" s="5" t="s">
        <v>75</v>
      </c>
      <c r="M763" s="5" t="s">
        <v>24</v>
      </c>
      <c r="N763" s="5" t="s">
        <v>24</v>
      </c>
      <c r="O763" s="5" t="s">
        <v>75</v>
      </c>
      <c r="P763" s="5" t="s">
        <v>2413</v>
      </c>
      <c r="Q763" s="2">
        <v>45966</v>
      </c>
      <c r="V763" s="45">
        <f t="shared" si="11"/>
        <v>1</v>
      </c>
      <c r="W763" s="45" t="s">
        <v>5026</v>
      </c>
    </row>
    <row r="764" spans="1:23" hidden="1">
      <c r="A764" s="2">
        <v>45905</v>
      </c>
      <c r="B764" s="1" t="s">
        <v>5027</v>
      </c>
      <c r="C764" s="1" t="s">
        <v>5028</v>
      </c>
      <c r="D764" s="1" t="s">
        <v>2439</v>
      </c>
      <c r="E764" s="1">
        <v>85006</v>
      </c>
      <c r="F764" s="1" t="s">
        <v>2406</v>
      </c>
      <c r="G764" s="1" t="s">
        <v>4914</v>
      </c>
      <c r="H764" s="4" t="s">
        <v>252</v>
      </c>
      <c r="I764" s="5" t="s">
        <v>2432</v>
      </c>
      <c r="J764" s="5" t="s">
        <v>24</v>
      </c>
      <c r="K764" s="5" t="s">
        <v>24</v>
      </c>
      <c r="L764" s="7" t="s">
        <v>5029</v>
      </c>
      <c r="M764" s="5" t="s">
        <v>24</v>
      </c>
      <c r="N764" s="5" t="s">
        <v>24</v>
      </c>
      <c r="O764" s="5" t="s">
        <v>75</v>
      </c>
      <c r="P764" s="2">
        <v>45937</v>
      </c>
      <c r="Q764" s="2">
        <v>45966</v>
      </c>
      <c r="R764" s="1" t="s">
        <v>5030</v>
      </c>
      <c r="V764" s="45">
        <f t="shared" si="11"/>
        <v>1</v>
      </c>
      <c r="W764" s="45" t="s">
        <v>5031</v>
      </c>
    </row>
    <row r="765" spans="1:23" hidden="1">
      <c r="A765" s="2">
        <v>45905</v>
      </c>
      <c r="B765" s="1" t="s">
        <v>5032</v>
      </c>
      <c r="C765" s="1" t="s">
        <v>3423</v>
      </c>
      <c r="D765" s="1" t="s">
        <v>2513</v>
      </c>
      <c r="E765" s="1">
        <v>85258</v>
      </c>
      <c r="F765" s="1" t="s">
        <v>2730</v>
      </c>
      <c r="G765" s="1" t="s">
        <v>4914</v>
      </c>
      <c r="H765" s="4" t="s">
        <v>1215</v>
      </c>
      <c r="I765" s="5" t="s">
        <v>2988</v>
      </c>
      <c r="J765" s="5" t="s">
        <v>24</v>
      </c>
      <c r="K765" s="5" t="s">
        <v>24</v>
      </c>
      <c r="L765" s="5" t="s">
        <v>2819</v>
      </c>
      <c r="M765" s="5" t="s">
        <v>24</v>
      </c>
      <c r="N765" s="5" t="s">
        <v>24</v>
      </c>
      <c r="O765" s="5" t="s">
        <v>75</v>
      </c>
      <c r="P765" s="5" t="s">
        <v>2413</v>
      </c>
      <c r="Q765" s="2">
        <v>45966</v>
      </c>
      <c r="V765" s="45">
        <f t="shared" si="11"/>
        <v>1</v>
      </c>
      <c r="W765" s="45" t="s">
        <v>5033</v>
      </c>
    </row>
    <row r="766" spans="1:23" hidden="1">
      <c r="A766" s="2">
        <v>45905</v>
      </c>
      <c r="B766" s="1" t="s">
        <v>5034</v>
      </c>
      <c r="C766" s="1" t="s">
        <v>4803</v>
      </c>
      <c r="D766" s="1" t="s">
        <v>2513</v>
      </c>
      <c r="E766" s="1">
        <v>85258</v>
      </c>
      <c r="F766" s="1" t="s">
        <v>2406</v>
      </c>
      <c r="G766" s="1" t="s">
        <v>4914</v>
      </c>
      <c r="H766" s="4" t="s">
        <v>1217</v>
      </c>
      <c r="I766" s="5" t="s">
        <v>2412</v>
      </c>
      <c r="J766" s="5" t="s">
        <v>24</v>
      </c>
      <c r="K766" s="5" t="s">
        <v>24</v>
      </c>
      <c r="L766" s="5" t="s">
        <v>75</v>
      </c>
      <c r="M766" s="5" t="s">
        <v>24</v>
      </c>
      <c r="N766" s="5" t="s">
        <v>24</v>
      </c>
      <c r="O766" s="5" t="s">
        <v>75</v>
      </c>
      <c r="P766" s="5" t="s">
        <v>2413</v>
      </c>
      <c r="Q766" s="2">
        <v>45966</v>
      </c>
      <c r="V766" s="45">
        <f t="shared" si="11"/>
        <v>1</v>
      </c>
      <c r="W766" s="45" t="s">
        <v>5035</v>
      </c>
    </row>
    <row r="767" spans="1:23" hidden="1">
      <c r="A767" s="2">
        <v>45905</v>
      </c>
      <c r="B767" s="1" t="s">
        <v>5036</v>
      </c>
      <c r="C767" s="1" t="s">
        <v>3494</v>
      </c>
      <c r="D767" s="1" t="s">
        <v>2439</v>
      </c>
      <c r="E767" s="1">
        <v>85085</v>
      </c>
      <c r="F767" s="1" t="s">
        <v>5037</v>
      </c>
      <c r="G767" s="1" t="s">
        <v>4914</v>
      </c>
      <c r="H767" s="4" t="s">
        <v>1219</v>
      </c>
      <c r="I767" s="5" t="s">
        <v>2412</v>
      </c>
      <c r="J767" s="5" t="s">
        <v>24</v>
      </c>
      <c r="K767" s="5" t="s">
        <v>24</v>
      </c>
      <c r="L767" s="5" t="s">
        <v>75</v>
      </c>
      <c r="M767" s="5" t="s">
        <v>24</v>
      </c>
      <c r="N767" s="5" t="s">
        <v>24</v>
      </c>
      <c r="O767" s="5" t="s">
        <v>75</v>
      </c>
      <c r="P767" s="5" t="s">
        <v>2413</v>
      </c>
      <c r="Q767" s="2">
        <v>45966</v>
      </c>
      <c r="V767" s="45">
        <f t="shared" si="11"/>
        <v>1</v>
      </c>
      <c r="W767" s="45" t="s">
        <v>5038</v>
      </c>
    </row>
    <row r="768" spans="1:23" hidden="1">
      <c r="A768" s="2">
        <v>45905</v>
      </c>
      <c r="B768" s="1" t="s">
        <v>3151</v>
      </c>
      <c r="C768" s="1" t="s">
        <v>2881</v>
      </c>
      <c r="D768" s="1" t="s">
        <v>2439</v>
      </c>
      <c r="E768" s="1">
        <v>85014</v>
      </c>
      <c r="F768" s="1" t="s">
        <v>2730</v>
      </c>
      <c r="G768" s="1" t="s">
        <v>4914</v>
      </c>
      <c r="H768" s="4" t="s">
        <v>1221</v>
      </c>
      <c r="I768" s="5" t="s">
        <v>2451</v>
      </c>
      <c r="J768" s="5" t="s">
        <v>24</v>
      </c>
      <c r="K768" s="5" t="s">
        <v>24</v>
      </c>
      <c r="L768" s="5" t="s">
        <v>75</v>
      </c>
      <c r="M768" s="5" t="s">
        <v>24</v>
      </c>
      <c r="N768" s="5" t="s">
        <v>24</v>
      </c>
      <c r="O768" s="5" t="s">
        <v>75</v>
      </c>
      <c r="P768" s="5" t="s">
        <v>2413</v>
      </c>
      <c r="Q768" s="2">
        <v>45966</v>
      </c>
      <c r="V768" s="45">
        <f t="shared" si="11"/>
        <v>1</v>
      </c>
      <c r="W768" s="45" t="s">
        <v>5039</v>
      </c>
    </row>
    <row r="769" spans="1:23" hidden="1">
      <c r="A769" s="2">
        <v>45905</v>
      </c>
      <c r="B769" s="1" t="s">
        <v>5040</v>
      </c>
      <c r="C769" s="1" t="s">
        <v>2632</v>
      </c>
      <c r="D769" s="1" t="s">
        <v>2439</v>
      </c>
      <c r="E769" s="1">
        <v>85016</v>
      </c>
      <c r="F769" s="1" t="s">
        <v>2730</v>
      </c>
      <c r="G769" s="1" t="s">
        <v>4914</v>
      </c>
      <c r="H769" s="4" t="s">
        <v>1223</v>
      </c>
      <c r="I769" s="5" t="s">
        <v>2514</v>
      </c>
      <c r="J769" s="5" t="s">
        <v>24</v>
      </c>
      <c r="K769" s="5" t="s">
        <v>24</v>
      </c>
      <c r="L769" s="5" t="s">
        <v>75</v>
      </c>
      <c r="M769" s="5" t="s">
        <v>24</v>
      </c>
      <c r="N769" s="5" t="s">
        <v>24</v>
      </c>
      <c r="O769" s="5" t="s">
        <v>75</v>
      </c>
      <c r="P769" s="5" t="s">
        <v>2413</v>
      </c>
      <c r="Q769" s="2">
        <v>45966</v>
      </c>
      <c r="V769" s="45">
        <f t="shared" si="11"/>
        <v>1</v>
      </c>
      <c r="W769" s="45" t="s">
        <v>5041</v>
      </c>
    </row>
    <row r="770" spans="1:23" hidden="1">
      <c r="A770" s="2">
        <v>45905</v>
      </c>
      <c r="B770" s="1" t="s">
        <v>5042</v>
      </c>
      <c r="C770" s="1" t="s">
        <v>4788</v>
      </c>
      <c r="D770" s="1" t="s">
        <v>2513</v>
      </c>
      <c r="E770" s="1">
        <v>85254</v>
      </c>
      <c r="F770" s="1" t="s">
        <v>5043</v>
      </c>
      <c r="G770" s="1" t="s">
        <v>4914</v>
      </c>
      <c r="H770" s="4" t="s">
        <v>1225</v>
      </c>
      <c r="I770" s="5" t="s">
        <v>2652</v>
      </c>
      <c r="J770" s="5" t="s">
        <v>24</v>
      </c>
      <c r="K770" s="5" t="s">
        <v>24</v>
      </c>
      <c r="L770" s="5" t="s">
        <v>2819</v>
      </c>
      <c r="M770" s="5" t="s">
        <v>24</v>
      </c>
      <c r="N770" s="5" t="s">
        <v>24</v>
      </c>
      <c r="O770" s="5" t="s">
        <v>75</v>
      </c>
      <c r="P770" s="5" t="s">
        <v>2413</v>
      </c>
      <c r="Q770" s="2">
        <v>45966</v>
      </c>
      <c r="V770" s="45">
        <f t="shared" ref="V770:V833" si="12">IF(OR(ISNUMBER(SEARCH("unable to locate acct",G770)),ISNUMBER(SEARCH("unknown",G770)),ISNUMBER(SEARCH("inactive",G770)),H770=""),0,1)</f>
        <v>1</v>
      </c>
      <c r="W770" s="45" t="s">
        <v>5044</v>
      </c>
    </row>
    <row r="771" spans="1:23" hidden="1">
      <c r="A771" s="2">
        <v>45905</v>
      </c>
      <c r="B771" s="1" t="s">
        <v>5045</v>
      </c>
      <c r="C771" s="1" t="s">
        <v>2512</v>
      </c>
      <c r="D771" s="1" t="s">
        <v>2987</v>
      </c>
      <c r="E771" s="1">
        <v>85122</v>
      </c>
      <c r="F771" s="1" t="s">
        <v>5046</v>
      </c>
      <c r="G771" s="1" t="s">
        <v>4914</v>
      </c>
      <c r="H771" s="4" t="s">
        <v>2401</v>
      </c>
      <c r="V771" s="45">
        <f t="shared" si="12"/>
        <v>1</v>
      </c>
      <c r="W771" s="45" t="s">
        <v>5047</v>
      </c>
    </row>
    <row r="772" spans="1:23" hidden="1">
      <c r="A772" s="2">
        <v>45905</v>
      </c>
      <c r="B772" s="1" t="s">
        <v>5048</v>
      </c>
      <c r="C772" s="1" t="s">
        <v>5049</v>
      </c>
      <c r="D772" s="1" t="s">
        <v>3815</v>
      </c>
      <c r="E772" s="1">
        <v>85355</v>
      </c>
      <c r="F772" s="1" t="s">
        <v>2730</v>
      </c>
      <c r="G772" s="1" t="s">
        <v>4914</v>
      </c>
      <c r="H772" s="4" t="s">
        <v>2401</v>
      </c>
      <c r="V772" s="45">
        <f t="shared" si="12"/>
        <v>1</v>
      </c>
      <c r="W772" s="45" t="s">
        <v>5050</v>
      </c>
    </row>
    <row r="773" spans="1:23" hidden="1">
      <c r="A773" s="2">
        <v>45905</v>
      </c>
      <c r="B773" s="1" t="s">
        <v>4633</v>
      </c>
      <c r="C773" s="1" t="s">
        <v>2547</v>
      </c>
      <c r="D773" s="1" t="s">
        <v>2439</v>
      </c>
      <c r="E773" s="1">
        <v>85020</v>
      </c>
      <c r="F773" s="1" t="s">
        <v>3119</v>
      </c>
      <c r="G773" s="1" t="s">
        <v>4914</v>
      </c>
      <c r="H773" s="4" t="s">
        <v>2471</v>
      </c>
      <c r="V773" s="45">
        <f t="shared" si="12"/>
        <v>1</v>
      </c>
      <c r="W773" s="45" t="s">
        <v>5051</v>
      </c>
    </row>
    <row r="774" spans="1:23" hidden="1">
      <c r="A774" s="2">
        <v>45905</v>
      </c>
      <c r="B774" s="1" t="s">
        <v>5052</v>
      </c>
      <c r="C774" s="1" t="s">
        <v>2749</v>
      </c>
      <c r="D774" s="1" t="s">
        <v>2439</v>
      </c>
      <c r="E774" s="1">
        <v>85013</v>
      </c>
      <c r="F774" s="1" t="s">
        <v>2406</v>
      </c>
      <c r="G774" s="1" t="s">
        <v>4914</v>
      </c>
      <c r="H774" s="4" t="s">
        <v>2401</v>
      </c>
      <c r="V774" s="45">
        <f t="shared" si="12"/>
        <v>1</v>
      </c>
      <c r="W774" s="45" t="s">
        <v>5053</v>
      </c>
    </row>
    <row r="775" spans="1:23" hidden="1">
      <c r="A775" s="2">
        <v>45905</v>
      </c>
      <c r="B775" s="1" t="s">
        <v>5054</v>
      </c>
      <c r="C775" s="1" t="s">
        <v>3117</v>
      </c>
      <c r="D775" s="1" t="s">
        <v>2439</v>
      </c>
      <c r="E775" s="1">
        <v>85083</v>
      </c>
      <c r="F775" s="1" t="s">
        <v>2406</v>
      </c>
      <c r="G775" s="1" t="s">
        <v>4914</v>
      </c>
      <c r="H775" s="4" t="s">
        <v>1227</v>
      </c>
      <c r="I775" s="5" t="s">
        <v>2412</v>
      </c>
      <c r="J775" s="5" t="s">
        <v>24</v>
      </c>
      <c r="K775" s="5" t="s">
        <v>24</v>
      </c>
      <c r="L775" s="5" t="s">
        <v>75</v>
      </c>
      <c r="M775" s="5" t="s">
        <v>24</v>
      </c>
      <c r="N775" s="5" t="s">
        <v>24</v>
      </c>
      <c r="O775" s="5" t="s">
        <v>75</v>
      </c>
      <c r="P775" s="5" t="s">
        <v>2413</v>
      </c>
      <c r="Q775" s="2">
        <v>45966</v>
      </c>
      <c r="V775" s="45">
        <f t="shared" si="12"/>
        <v>1</v>
      </c>
      <c r="W775" s="45" t="s">
        <v>5055</v>
      </c>
    </row>
    <row r="776" spans="1:23" hidden="1">
      <c r="A776" s="2">
        <v>45905</v>
      </c>
      <c r="B776" s="1" t="s">
        <v>5056</v>
      </c>
      <c r="C776" s="1" t="s">
        <v>5057</v>
      </c>
      <c r="D776" s="1" t="s">
        <v>2800</v>
      </c>
      <c r="E776" s="1">
        <v>85225</v>
      </c>
      <c r="F776" s="1" t="s">
        <v>2730</v>
      </c>
      <c r="G776" s="1" t="s">
        <v>4914</v>
      </c>
      <c r="H776" s="21" t="s">
        <v>5058</v>
      </c>
      <c r="I776" s="5" t="s">
        <v>2848</v>
      </c>
      <c r="J776" s="5" t="s">
        <v>24</v>
      </c>
      <c r="K776" s="5" t="s">
        <v>24</v>
      </c>
      <c r="L776" s="5" t="s">
        <v>2819</v>
      </c>
      <c r="M776" s="5" t="s">
        <v>24</v>
      </c>
      <c r="N776" s="5" t="s">
        <v>24</v>
      </c>
      <c r="O776" s="5" t="s">
        <v>75</v>
      </c>
      <c r="P776" s="5" t="s">
        <v>2413</v>
      </c>
      <c r="Q776" s="2">
        <v>45966</v>
      </c>
      <c r="V776" s="45">
        <f t="shared" si="12"/>
        <v>1</v>
      </c>
      <c r="W776" s="45" t="s">
        <v>5059</v>
      </c>
    </row>
    <row r="777" spans="1:23" hidden="1">
      <c r="A777" s="2">
        <v>45905</v>
      </c>
      <c r="B777" s="1" t="s">
        <v>5060</v>
      </c>
      <c r="C777" s="1" t="s">
        <v>5061</v>
      </c>
      <c r="D777" s="1" t="s">
        <v>5062</v>
      </c>
      <c r="E777" s="1">
        <v>85603</v>
      </c>
      <c r="F777" s="1" t="s">
        <v>2406</v>
      </c>
      <c r="G777" s="1" t="s">
        <v>4914</v>
      </c>
      <c r="H777" s="4" t="s">
        <v>1229</v>
      </c>
      <c r="I777" s="5" t="s">
        <v>2412</v>
      </c>
      <c r="J777" s="5" t="s">
        <v>24</v>
      </c>
      <c r="K777" s="5" t="s">
        <v>24</v>
      </c>
      <c r="L777" s="5" t="s">
        <v>75</v>
      </c>
      <c r="M777" s="5" t="s">
        <v>24</v>
      </c>
      <c r="N777" s="5" t="s">
        <v>24</v>
      </c>
      <c r="O777" s="5" t="s">
        <v>75</v>
      </c>
      <c r="P777" s="5" t="s">
        <v>2413</v>
      </c>
      <c r="Q777" s="2">
        <v>45966</v>
      </c>
      <c r="V777" s="45">
        <f t="shared" si="12"/>
        <v>1</v>
      </c>
      <c r="W777" s="45" t="s">
        <v>5063</v>
      </c>
    </row>
    <row r="778" spans="1:23" hidden="1">
      <c r="A778" s="2">
        <v>45905</v>
      </c>
      <c r="B778" s="1" t="s">
        <v>5064</v>
      </c>
      <c r="C778" s="1" t="s">
        <v>5065</v>
      </c>
      <c r="D778" s="1" t="s">
        <v>2439</v>
      </c>
      <c r="E778" s="1">
        <v>85086</v>
      </c>
      <c r="F778" s="1" t="s">
        <v>2406</v>
      </c>
      <c r="G778" s="1" t="s">
        <v>4914</v>
      </c>
      <c r="H778" s="4" t="s">
        <v>2401</v>
      </c>
      <c r="V778" s="45">
        <f t="shared" si="12"/>
        <v>1</v>
      </c>
      <c r="W778" s="45" t="s">
        <v>5066</v>
      </c>
    </row>
    <row r="779" spans="1:23" hidden="1">
      <c r="A779" s="2">
        <v>45905</v>
      </c>
      <c r="B779" s="1" t="s">
        <v>5067</v>
      </c>
      <c r="C779" s="1" t="s">
        <v>4568</v>
      </c>
      <c r="D779" s="1" t="s">
        <v>2513</v>
      </c>
      <c r="E779" s="1">
        <v>85260</v>
      </c>
      <c r="F779" s="1" t="s">
        <v>2730</v>
      </c>
      <c r="G779" s="1" t="s">
        <v>4914</v>
      </c>
      <c r="H779" s="4" t="s">
        <v>255</v>
      </c>
      <c r="I779" s="5" t="s">
        <v>2432</v>
      </c>
      <c r="J779" s="5" t="s">
        <v>24</v>
      </c>
      <c r="K779" s="5" t="s">
        <v>24</v>
      </c>
      <c r="L779" s="7" t="s">
        <v>5068</v>
      </c>
      <c r="M779" s="5" t="s">
        <v>24</v>
      </c>
      <c r="N779" s="5" t="s">
        <v>24</v>
      </c>
      <c r="O779" s="5" t="s">
        <v>75</v>
      </c>
      <c r="P779" s="2">
        <v>45937</v>
      </c>
      <c r="Q779" s="2">
        <v>45966</v>
      </c>
      <c r="R779" s="1" t="s">
        <v>5069</v>
      </c>
      <c r="V779" s="45">
        <f t="shared" si="12"/>
        <v>1</v>
      </c>
      <c r="W779" s="45" t="s">
        <v>5070</v>
      </c>
    </row>
    <row r="780" spans="1:23" hidden="1">
      <c r="A780" s="2">
        <v>45905</v>
      </c>
      <c r="B780" s="1" t="s">
        <v>3335</v>
      </c>
      <c r="C780" s="1" t="s">
        <v>5071</v>
      </c>
      <c r="D780" s="1" t="s">
        <v>2498</v>
      </c>
      <c r="E780" s="1">
        <v>85388</v>
      </c>
      <c r="F780" s="1" t="s">
        <v>5072</v>
      </c>
      <c r="G780" s="1" t="s">
        <v>4914</v>
      </c>
      <c r="H780" s="21" t="s">
        <v>5073</v>
      </c>
      <c r="I780" s="5" t="s">
        <v>2412</v>
      </c>
      <c r="J780" s="5" t="s">
        <v>24</v>
      </c>
      <c r="K780" s="5" t="s">
        <v>24</v>
      </c>
      <c r="L780" s="5" t="s">
        <v>75</v>
      </c>
      <c r="M780" s="5" t="s">
        <v>24</v>
      </c>
      <c r="N780" s="5" t="s">
        <v>24</v>
      </c>
      <c r="O780" s="5" t="s">
        <v>75</v>
      </c>
      <c r="P780" s="5" t="s">
        <v>2413</v>
      </c>
      <c r="Q780" s="2">
        <v>45966</v>
      </c>
      <c r="V780" s="45">
        <f t="shared" si="12"/>
        <v>1</v>
      </c>
      <c r="W780" s="45" t="s">
        <v>5074</v>
      </c>
    </row>
    <row r="781" spans="1:23" hidden="1">
      <c r="A781" s="2">
        <v>45905</v>
      </c>
      <c r="B781" s="1" t="s">
        <v>5075</v>
      </c>
      <c r="C781" s="1" t="s">
        <v>4577</v>
      </c>
      <c r="D781" s="1" t="s">
        <v>2398</v>
      </c>
      <c r="E781" s="1">
        <v>85308</v>
      </c>
      <c r="F781" s="1" t="s">
        <v>2406</v>
      </c>
      <c r="G781" s="1" t="s">
        <v>4914</v>
      </c>
      <c r="H781" s="4" t="s">
        <v>1231</v>
      </c>
      <c r="I781" s="5" t="s">
        <v>2597</v>
      </c>
      <c r="J781" s="5" t="s">
        <v>24</v>
      </c>
      <c r="K781" s="5" t="s">
        <v>24</v>
      </c>
      <c r="L781" s="5" t="s">
        <v>75</v>
      </c>
      <c r="M781" s="5" t="s">
        <v>24</v>
      </c>
      <c r="N781" s="5" t="s">
        <v>24</v>
      </c>
      <c r="O781" s="5" t="s">
        <v>75</v>
      </c>
      <c r="P781" s="5" t="s">
        <v>2413</v>
      </c>
      <c r="Q781" s="2">
        <v>45966</v>
      </c>
      <c r="V781" s="45">
        <f t="shared" si="12"/>
        <v>1</v>
      </c>
      <c r="W781" s="45" t="s">
        <v>5076</v>
      </c>
    </row>
    <row r="782" spans="1:23" hidden="1">
      <c r="A782" s="2">
        <v>45905</v>
      </c>
      <c r="B782" s="1" t="s">
        <v>4868</v>
      </c>
      <c r="C782" s="1" t="s">
        <v>2620</v>
      </c>
      <c r="D782" s="1" t="s">
        <v>2439</v>
      </c>
      <c r="E782" s="1">
        <v>85028</v>
      </c>
      <c r="F782" s="1" t="s">
        <v>2730</v>
      </c>
      <c r="G782" s="1" t="s">
        <v>4914</v>
      </c>
      <c r="H782" s="21" t="s">
        <v>5077</v>
      </c>
      <c r="I782" s="5" t="s">
        <v>2420</v>
      </c>
      <c r="J782" s="5" t="s">
        <v>24</v>
      </c>
      <c r="K782" s="5" t="s">
        <v>24</v>
      </c>
      <c r="L782" s="7" t="s">
        <v>5078</v>
      </c>
      <c r="M782" s="5" t="s">
        <v>24</v>
      </c>
      <c r="N782" s="5" t="s">
        <v>24</v>
      </c>
      <c r="O782" s="5" t="s">
        <v>75</v>
      </c>
      <c r="P782" s="2">
        <v>45937</v>
      </c>
      <c r="Q782" s="2">
        <v>45966</v>
      </c>
      <c r="R782" s="1" t="s">
        <v>5079</v>
      </c>
      <c r="V782" s="45">
        <f t="shared" si="12"/>
        <v>1</v>
      </c>
      <c r="W782" s="45" t="s">
        <v>5080</v>
      </c>
    </row>
    <row r="783" spans="1:23" hidden="1">
      <c r="A783" s="2">
        <v>45905</v>
      </c>
      <c r="B783" s="1" t="s">
        <v>3092</v>
      </c>
      <c r="C783" s="1" t="s">
        <v>2632</v>
      </c>
      <c r="D783" s="1" t="s">
        <v>2439</v>
      </c>
      <c r="E783" s="1">
        <v>85050</v>
      </c>
      <c r="F783" s="1" t="s">
        <v>2730</v>
      </c>
      <c r="G783" s="1" t="s">
        <v>4914</v>
      </c>
      <c r="H783" s="4" t="s">
        <v>1233</v>
      </c>
      <c r="I783" s="5" t="s">
        <v>2412</v>
      </c>
      <c r="J783" s="5" t="s">
        <v>24</v>
      </c>
      <c r="K783" s="5" t="s">
        <v>24</v>
      </c>
      <c r="L783" s="5" t="s">
        <v>75</v>
      </c>
      <c r="M783" s="5" t="s">
        <v>24</v>
      </c>
      <c r="N783" s="5" t="s">
        <v>24</v>
      </c>
      <c r="O783" s="5" t="s">
        <v>75</v>
      </c>
      <c r="P783" s="5" t="s">
        <v>2413</v>
      </c>
      <c r="Q783" s="2">
        <v>45966</v>
      </c>
      <c r="V783" s="45">
        <f t="shared" si="12"/>
        <v>1</v>
      </c>
      <c r="W783" s="45" t="s">
        <v>5081</v>
      </c>
    </row>
    <row r="784" spans="1:23" hidden="1">
      <c r="A784" s="2">
        <v>45905</v>
      </c>
      <c r="B784" s="1" t="s">
        <v>5082</v>
      </c>
      <c r="C784" s="1" t="s">
        <v>2521</v>
      </c>
      <c r="D784" s="1" t="s">
        <v>2513</v>
      </c>
      <c r="E784" s="1">
        <v>85254</v>
      </c>
      <c r="F784" s="1" t="s">
        <v>2730</v>
      </c>
      <c r="G784" s="1" t="s">
        <v>4914</v>
      </c>
      <c r="H784" s="21" t="s">
        <v>5083</v>
      </c>
      <c r="I784" s="5" t="s">
        <v>2514</v>
      </c>
      <c r="J784" s="5" t="s">
        <v>24</v>
      </c>
      <c r="K784" s="5" t="s">
        <v>24</v>
      </c>
      <c r="L784" s="5" t="s">
        <v>5084</v>
      </c>
      <c r="M784" s="5" t="s">
        <v>24</v>
      </c>
      <c r="N784" s="5" t="s">
        <v>24</v>
      </c>
      <c r="O784" s="5" t="s">
        <v>75</v>
      </c>
      <c r="P784" s="5" t="s">
        <v>2413</v>
      </c>
      <c r="Q784" s="2">
        <v>45966</v>
      </c>
      <c r="R784" s="1" t="s">
        <v>2693</v>
      </c>
      <c r="V784" s="45">
        <f t="shared" si="12"/>
        <v>1</v>
      </c>
      <c r="W784" s="45" t="s">
        <v>5085</v>
      </c>
    </row>
    <row r="785" spans="1:23" hidden="1">
      <c r="A785" s="2">
        <v>45905</v>
      </c>
      <c r="B785" s="1" t="s">
        <v>5086</v>
      </c>
      <c r="C785" s="1" t="s">
        <v>5087</v>
      </c>
      <c r="D785" s="1" t="s">
        <v>2605</v>
      </c>
      <c r="E785" s="1">
        <v>85383</v>
      </c>
      <c r="F785" s="1" t="s">
        <v>5088</v>
      </c>
      <c r="G785" s="1" t="s">
        <v>4914</v>
      </c>
      <c r="H785" s="4" t="s">
        <v>2401</v>
      </c>
      <c r="V785" s="45">
        <f t="shared" si="12"/>
        <v>1</v>
      </c>
      <c r="W785" s="45" t="s">
        <v>5089</v>
      </c>
    </row>
    <row r="786" spans="1:23" hidden="1">
      <c r="A786" s="2">
        <v>45905</v>
      </c>
      <c r="B786" s="1" t="s">
        <v>5090</v>
      </c>
      <c r="C786" s="1" t="s">
        <v>5091</v>
      </c>
      <c r="D786" s="1" t="s">
        <v>2439</v>
      </c>
      <c r="E786" s="1">
        <v>85013</v>
      </c>
      <c r="F786" s="1" t="s">
        <v>2406</v>
      </c>
      <c r="G786" s="1" t="s">
        <v>4914</v>
      </c>
      <c r="H786" s="4" t="s">
        <v>2401</v>
      </c>
      <c r="V786" s="45">
        <f t="shared" si="12"/>
        <v>1</v>
      </c>
      <c r="W786" s="45" t="s">
        <v>5092</v>
      </c>
    </row>
    <row r="787" spans="1:23" hidden="1">
      <c r="A787" s="2">
        <v>45905</v>
      </c>
      <c r="B787" s="1" t="s">
        <v>5093</v>
      </c>
      <c r="C787" s="1" t="s">
        <v>2997</v>
      </c>
      <c r="D787" s="1" t="s">
        <v>2439</v>
      </c>
      <c r="E787" s="1">
        <v>85024</v>
      </c>
      <c r="F787" s="1" t="s">
        <v>2406</v>
      </c>
      <c r="G787" s="1" t="s">
        <v>4914</v>
      </c>
      <c r="H787" s="4" t="s">
        <v>2613</v>
      </c>
      <c r="V787" s="45">
        <f t="shared" si="12"/>
        <v>1</v>
      </c>
      <c r="W787" s="45" t="s">
        <v>5094</v>
      </c>
    </row>
    <row r="788" spans="1:23" hidden="1">
      <c r="A788" s="2">
        <v>45905</v>
      </c>
      <c r="B788" s="1" t="s">
        <v>4581</v>
      </c>
      <c r="C788" s="1" t="s">
        <v>2512</v>
      </c>
      <c r="D788" s="1" t="s">
        <v>2950</v>
      </c>
      <c r="E788" s="1">
        <v>86001</v>
      </c>
      <c r="F788" s="1" t="s">
        <v>5095</v>
      </c>
      <c r="G788" s="1" t="s">
        <v>4914</v>
      </c>
      <c r="H788" s="4" t="s">
        <v>257</v>
      </c>
      <c r="I788" s="5" t="s">
        <v>2514</v>
      </c>
      <c r="J788" s="5" t="s">
        <v>24</v>
      </c>
      <c r="K788" s="5" t="s">
        <v>24</v>
      </c>
      <c r="L788" s="7" t="s">
        <v>5096</v>
      </c>
      <c r="M788" s="5" t="s">
        <v>24</v>
      </c>
      <c r="N788" s="5" t="s">
        <v>24</v>
      </c>
      <c r="O788" s="5" t="s">
        <v>75</v>
      </c>
      <c r="P788" s="2">
        <v>45937</v>
      </c>
      <c r="Q788" s="2">
        <v>45966</v>
      </c>
      <c r="R788" s="1" t="s">
        <v>5079</v>
      </c>
      <c r="V788" s="45">
        <f t="shared" si="12"/>
        <v>1</v>
      </c>
      <c r="W788" s="45" t="s">
        <v>5097</v>
      </c>
    </row>
    <row r="789" spans="1:23" hidden="1">
      <c r="A789" s="2">
        <v>45905</v>
      </c>
      <c r="B789" s="1" t="s">
        <v>5098</v>
      </c>
      <c r="C789" s="1" t="s">
        <v>2812</v>
      </c>
      <c r="D789" s="1" t="s">
        <v>2650</v>
      </c>
      <c r="E789" s="1">
        <v>85340</v>
      </c>
      <c r="F789" s="1" t="s">
        <v>4757</v>
      </c>
      <c r="G789" s="1" t="s">
        <v>4914</v>
      </c>
      <c r="H789" s="4" t="s">
        <v>1235</v>
      </c>
      <c r="I789" s="5" t="s">
        <v>2412</v>
      </c>
      <c r="J789" s="5" t="s">
        <v>24</v>
      </c>
      <c r="K789" s="5" t="s">
        <v>24</v>
      </c>
      <c r="L789" s="5" t="s">
        <v>75</v>
      </c>
      <c r="M789" s="5" t="s">
        <v>24</v>
      </c>
      <c r="N789" s="5" t="s">
        <v>24</v>
      </c>
      <c r="O789" s="5" t="s">
        <v>75</v>
      </c>
      <c r="P789" s="5" t="s">
        <v>2413</v>
      </c>
      <c r="Q789" s="2">
        <v>45966</v>
      </c>
      <c r="V789" s="45">
        <f t="shared" si="12"/>
        <v>1</v>
      </c>
      <c r="W789" s="45" t="s">
        <v>5099</v>
      </c>
    </row>
    <row r="790" spans="1:23" hidden="1">
      <c r="A790" s="2">
        <v>45905</v>
      </c>
      <c r="B790" s="1" t="s">
        <v>2626</v>
      </c>
      <c r="C790" s="1" t="s">
        <v>2627</v>
      </c>
      <c r="D790" s="1" t="s">
        <v>2439</v>
      </c>
      <c r="E790" s="1">
        <v>85032</v>
      </c>
      <c r="F790" s="1" t="s">
        <v>2406</v>
      </c>
      <c r="G790" s="1" t="s">
        <v>4914</v>
      </c>
      <c r="H790" s="4" t="s">
        <v>748</v>
      </c>
      <c r="I790" s="5" t="s">
        <v>2514</v>
      </c>
      <c r="J790" s="5" t="s">
        <v>24</v>
      </c>
      <c r="K790" s="5" t="s">
        <v>24</v>
      </c>
      <c r="L790" s="5" t="s">
        <v>75</v>
      </c>
      <c r="M790" s="5" t="s">
        <v>24</v>
      </c>
      <c r="N790" s="5" t="s">
        <v>24</v>
      </c>
      <c r="O790" s="5" t="s">
        <v>75</v>
      </c>
      <c r="P790" s="5" t="s">
        <v>2413</v>
      </c>
      <c r="Q790" s="2">
        <v>45966</v>
      </c>
      <c r="U790" s="1" t="s">
        <v>5003</v>
      </c>
      <c r="V790" s="45">
        <f t="shared" si="12"/>
        <v>1</v>
      </c>
      <c r="W790" s="45" t="s">
        <v>5100</v>
      </c>
    </row>
    <row r="791" spans="1:23" hidden="1">
      <c r="A791" s="2">
        <v>45905</v>
      </c>
      <c r="B791" s="1" t="s">
        <v>5101</v>
      </c>
      <c r="C791" s="1" t="s">
        <v>5102</v>
      </c>
      <c r="D791" s="1" t="s">
        <v>2465</v>
      </c>
      <c r="E791" s="1">
        <v>86323</v>
      </c>
      <c r="F791" s="1" t="s">
        <v>4697</v>
      </c>
      <c r="G791" s="1" t="s">
        <v>4914</v>
      </c>
      <c r="H791" s="4" t="s">
        <v>2401</v>
      </c>
      <c r="V791" s="45">
        <f t="shared" si="12"/>
        <v>1</v>
      </c>
      <c r="W791" s="45" t="s">
        <v>5103</v>
      </c>
    </row>
    <row r="792" spans="1:23" hidden="1">
      <c r="A792" s="2">
        <v>45905</v>
      </c>
      <c r="B792" s="1" t="s">
        <v>5104</v>
      </c>
      <c r="C792" s="1" t="s">
        <v>5105</v>
      </c>
      <c r="D792" s="1" t="s">
        <v>2439</v>
      </c>
      <c r="E792" s="1">
        <v>85014</v>
      </c>
      <c r="F792" s="1" t="s">
        <v>2730</v>
      </c>
      <c r="G792" s="1" t="s">
        <v>4914</v>
      </c>
      <c r="H792" s="4" t="s">
        <v>2401</v>
      </c>
      <c r="V792" s="45">
        <f t="shared" si="12"/>
        <v>1</v>
      </c>
      <c r="W792" s="45" t="s">
        <v>5106</v>
      </c>
    </row>
    <row r="793" spans="1:23" hidden="1">
      <c r="A793" s="2">
        <v>45905</v>
      </c>
      <c r="B793" s="1" t="s">
        <v>5107</v>
      </c>
      <c r="C793" s="1" t="s">
        <v>5108</v>
      </c>
      <c r="D793" s="1" t="s">
        <v>2439</v>
      </c>
      <c r="E793" s="1">
        <v>85028</v>
      </c>
      <c r="F793" s="1" t="s">
        <v>2730</v>
      </c>
      <c r="G793" s="1" t="s">
        <v>4914</v>
      </c>
      <c r="H793" s="4" t="s">
        <v>1238</v>
      </c>
      <c r="I793" s="5" t="s">
        <v>2412</v>
      </c>
      <c r="J793" s="5" t="s">
        <v>24</v>
      </c>
      <c r="K793" s="5" t="s">
        <v>24</v>
      </c>
      <c r="L793" s="5" t="s">
        <v>75</v>
      </c>
      <c r="M793" s="5" t="s">
        <v>24</v>
      </c>
      <c r="N793" s="5" t="s">
        <v>24</v>
      </c>
      <c r="O793" s="5" t="s">
        <v>75</v>
      </c>
      <c r="P793" s="5" t="s">
        <v>2413</v>
      </c>
      <c r="Q793" s="2">
        <v>45966</v>
      </c>
      <c r="V793" s="45">
        <f t="shared" si="12"/>
        <v>1</v>
      </c>
      <c r="W793" s="45" t="s">
        <v>5109</v>
      </c>
    </row>
    <row r="794" spans="1:23" hidden="1">
      <c r="A794" s="2">
        <v>45905</v>
      </c>
      <c r="B794" s="1" t="s">
        <v>5110</v>
      </c>
      <c r="C794" s="1" t="s">
        <v>2924</v>
      </c>
      <c r="D794" s="1" t="s">
        <v>2498</v>
      </c>
      <c r="E794" s="1">
        <v>85374</v>
      </c>
      <c r="F794" s="1" t="s">
        <v>5111</v>
      </c>
      <c r="G794" s="1" t="s">
        <v>4914</v>
      </c>
      <c r="H794" s="4" t="s">
        <v>1240</v>
      </c>
      <c r="I794" s="5" t="s">
        <v>2412</v>
      </c>
      <c r="J794" s="5" t="s">
        <v>24</v>
      </c>
      <c r="K794" s="5" t="s">
        <v>24</v>
      </c>
      <c r="L794" s="5" t="s">
        <v>75</v>
      </c>
      <c r="M794" s="5" t="s">
        <v>24</v>
      </c>
      <c r="N794" s="5" t="s">
        <v>24</v>
      </c>
      <c r="O794" s="5" t="s">
        <v>75</v>
      </c>
      <c r="P794" s="5" t="s">
        <v>2413</v>
      </c>
      <c r="Q794" s="2">
        <v>45966</v>
      </c>
      <c r="V794" s="45">
        <f t="shared" si="12"/>
        <v>1</v>
      </c>
      <c r="W794" s="45" t="s">
        <v>5112</v>
      </c>
    </row>
    <row r="795" spans="1:23" hidden="1">
      <c r="A795" s="2">
        <v>45905</v>
      </c>
      <c r="B795" s="1" t="s">
        <v>5113</v>
      </c>
      <c r="C795" s="1" t="s">
        <v>5114</v>
      </c>
      <c r="D795" s="1" t="s">
        <v>2439</v>
      </c>
      <c r="E795" s="1">
        <v>85029</v>
      </c>
      <c r="F795" s="1" t="s">
        <v>2730</v>
      </c>
      <c r="G795" s="1" t="s">
        <v>4914</v>
      </c>
      <c r="H795" s="4" t="s">
        <v>1243</v>
      </c>
      <c r="I795" s="5" t="s">
        <v>2848</v>
      </c>
      <c r="J795" s="5" t="s">
        <v>24</v>
      </c>
      <c r="K795" s="5" t="s">
        <v>24</v>
      </c>
      <c r="L795" s="5" t="s">
        <v>2819</v>
      </c>
      <c r="M795" s="5" t="s">
        <v>24</v>
      </c>
      <c r="N795" s="5" t="s">
        <v>24</v>
      </c>
      <c r="O795" s="5" t="s">
        <v>75</v>
      </c>
      <c r="P795" s="5" t="s">
        <v>2413</v>
      </c>
      <c r="Q795" s="2">
        <v>45966</v>
      </c>
      <c r="V795" s="45">
        <f t="shared" si="12"/>
        <v>1</v>
      </c>
      <c r="W795" s="45" t="s">
        <v>5115</v>
      </c>
    </row>
    <row r="796" spans="1:23" hidden="1">
      <c r="A796" s="2">
        <v>45905</v>
      </c>
      <c r="B796" s="1" t="s">
        <v>5116</v>
      </c>
      <c r="C796" s="1" t="s">
        <v>5117</v>
      </c>
      <c r="D796" s="1" t="s">
        <v>2439</v>
      </c>
      <c r="E796" s="1">
        <v>85043</v>
      </c>
      <c r="F796" s="1" t="s">
        <v>5118</v>
      </c>
      <c r="G796" s="1" t="s">
        <v>4914</v>
      </c>
      <c r="H796" s="4" t="s">
        <v>2401</v>
      </c>
      <c r="V796" s="45">
        <f t="shared" si="12"/>
        <v>1</v>
      </c>
      <c r="W796" s="45" t="s">
        <v>5119</v>
      </c>
    </row>
    <row r="797" spans="1:23" hidden="1">
      <c r="A797" s="2">
        <v>45905</v>
      </c>
      <c r="B797" s="1" t="s">
        <v>5120</v>
      </c>
      <c r="C797" s="1" t="s">
        <v>2596</v>
      </c>
      <c r="D797" s="1" t="s">
        <v>2439</v>
      </c>
      <c r="E797" s="1">
        <v>85013</v>
      </c>
      <c r="F797" s="1" t="s">
        <v>2730</v>
      </c>
      <c r="G797" s="1" t="s">
        <v>4914</v>
      </c>
      <c r="H797" s="4" t="s">
        <v>1245</v>
      </c>
      <c r="I797" s="5" t="s">
        <v>2412</v>
      </c>
      <c r="J797" s="5" t="s">
        <v>24</v>
      </c>
      <c r="K797" s="5" t="s">
        <v>24</v>
      </c>
      <c r="L797" s="5" t="s">
        <v>75</v>
      </c>
      <c r="M797" s="5" t="s">
        <v>24</v>
      </c>
      <c r="N797" s="5" t="s">
        <v>24</v>
      </c>
      <c r="O797" s="5" t="s">
        <v>75</v>
      </c>
      <c r="P797" s="5" t="s">
        <v>2413</v>
      </c>
      <c r="Q797" s="2">
        <v>45965</v>
      </c>
      <c r="V797" s="45">
        <f t="shared" si="12"/>
        <v>1</v>
      </c>
      <c r="W797" s="45" t="s">
        <v>5121</v>
      </c>
    </row>
    <row r="798" spans="1:23" hidden="1">
      <c r="A798" s="2">
        <v>45905</v>
      </c>
      <c r="B798" s="1" t="s">
        <v>5122</v>
      </c>
      <c r="C798" s="1" t="s">
        <v>5123</v>
      </c>
      <c r="D798" s="1" t="s">
        <v>2800</v>
      </c>
      <c r="E798" s="1">
        <v>85225</v>
      </c>
      <c r="F798" s="1" t="s">
        <v>5124</v>
      </c>
      <c r="G798" s="1" t="s">
        <v>4914</v>
      </c>
      <c r="H798" s="21" t="s">
        <v>5125</v>
      </c>
      <c r="I798" s="5" t="s">
        <v>2412</v>
      </c>
      <c r="J798" s="5" t="s">
        <v>75</v>
      </c>
      <c r="K798" s="5" t="s">
        <v>24</v>
      </c>
      <c r="L798" s="5" t="s">
        <v>75</v>
      </c>
      <c r="M798" s="5" t="s">
        <v>24</v>
      </c>
      <c r="N798" s="5" t="s">
        <v>24</v>
      </c>
      <c r="O798" s="5" t="s">
        <v>75</v>
      </c>
      <c r="P798" s="5" t="s">
        <v>2413</v>
      </c>
      <c r="Q798" s="2">
        <v>45965</v>
      </c>
      <c r="V798" s="45">
        <f t="shared" si="12"/>
        <v>1</v>
      </c>
      <c r="W798" s="45" t="s">
        <v>5126</v>
      </c>
    </row>
    <row r="799" spans="1:23" hidden="1">
      <c r="A799" s="2">
        <v>45905</v>
      </c>
      <c r="B799" s="1" t="s">
        <v>5127</v>
      </c>
      <c r="C799" s="1" t="s">
        <v>5128</v>
      </c>
      <c r="D799" s="1" t="s">
        <v>2605</v>
      </c>
      <c r="E799" s="1">
        <v>85383</v>
      </c>
      <c r="F799" s="1" t="s">
        <v>2730</v>
      </c>
      <c r="G799" s="1" t="s">
        <v>4914</v>
      </c>
      <c r="H799" s="21" t="s">
        <v>5129</v>
      </c>
      <c r="I799" s="5" t="s">
        <v>2412</v>
      </c>
      <c r="J799" s="5" t="s">
        <v>24</v>
      </c>
      <c r="K799" s="5" t="s">
        <v>24</v>
      </c>
      <c r="L799" s="5" t="s">
        <v>75</v>
      </c>
      <c r="M799" s="5" t="s">
        <v>24</v>
      </c>
      <c r="N799" s="5" t="s">
        <v>24</v>
      </c>
      <c r="O799" s="5" t="s">
        <v>75</v>
      </c>
      <c r="P799" s="5" t="s">
        <v>2413</v>
      </c>
      <c r="Q799" s="2">
        <v>45965</v>
      </c>
      <c r="V799" s="45">
        <f t="shared" si="12"/>
        <v>1</v>
      </c>
      <c r="W799" s="125" t="s">
        <v>5130</v>
      </c>
    </row>
    <row r="800" spans="1:23" hidden="1">
      <c r="A800" s="2">
        <v>45905</v>
      </c>
      <c r="B800" s="1" t="s">
        <v>5131</v>
      </c>
      <c r="C800" s="1" t="s">
        <v>4972</v>
      </c>
      <c r="D800" s="1" t="s">
        <v>2528</v>
      </c>
      <c r="E800" s="1">
        <v>85377</v>
      </c>
      <c r="F800" s="1" t="s">
        <v>5132</v>
      </c>
      <c r="G800" s="1" t="s">
        <v>4914</v>
      </c>
      <c r="H800" s="4" t="s">
        <v>259</v>
      </c>
      <c r="I800" s="5" t="s">
        <v>2597</v>
      </c>
      <c r="J800" s="5" t="s">
        <v>24</v>
      </c>
      <c r="K800" s="5" t="s">
        <v>24</v>
      </c>
      <c r="L800" s="7" t="s">
        <v>5133</v>
      </c>
      <c r="M800" s="5" t="s">
        <v>24</v>
      </c>
      <c r="N800" s="5" t="s">
        <v>24</v>
      </c>
      <c r="O800" s="5" t="s">
        <v>75</v>
      </c>
      <c r="P800" s="2">
        <v>45937</v>
      </c>
      <c r="Q800" s="2">
        <v>45965</v>
      </c>
      <c r="R800" s="1" t="s">
        <v>5134</v>
      </c>
      <c r="V800" s="45">
        <f t="shared" si="12"/>
        <v>1</v>
      </c>
      <c r="W800" s="45" t="s">
        <v>5135</v>
      </c>
    </row>
    <row r="801" spans="1:23" hidden="1">
      <c r="A801" s="2">
        <v>45905</v>
      </c>
      <c r="B801" s="1" t="s">
        <v>5136</v>
      </c>
      <c r="C801" s="1" t="s">
        <v>5137</v>
      </c>
      <c r="D801" s="1" t="s">
        <v>2439</v>
      </c>
      <c r="E801" s="1">
        <v>85006</v>
      </c>
      <c r="F801" s="1" t="s">
        <v>5138</v>
      </c>
      <c r="G801" s="1" t="s">
        <v>4914</v>
      </c>
      <c r="H801" s="4" t="s">
        <v>1247</v>
      </c>
      <c r="I801" s="5" t="s">
        <v>2451</v>
      </c>
      <c r="J801" s="5" t="s">
        <v>24</v>
      </c>
      <c r="K801" s="5" t="s">
        <v>24</v>
      </c>
      <c r="L801" s="5" t="s">
        <v>75</v>
      </c>
      <c r="M801" s="5" t="s">
        <v>24</v>
      </c>
      <c r="N801" s="5" t="s">
        <v>24</v>
      </c>
      <c r="O801" s="5" t="s">
        <v>75</v>
      </c>
      <c r="P801" s="5" t="s">
        <v>2413</v>
      </c>
      <c r="Q801" s="2">
        <v>45965</v>
      </c>
      <c r="V801" s="45">
        <f t="shared" si="12"/>
        <v>1</v>
      </c>
      <c r="W801" s="45" t="s">
        <v>5139</v>
      </c>
    </row>
    <row r="802" spans="1:23" hidden="1">
      <c r="A802" s="2">
        <v>45905</v>
      </c>
      <c r="B802" s="1" t="s">
        <v>5140</v>
      </c>
      <c r="C802" s="1" t="s">
        <v>5141</v>
      </c>
      <c r="D802" s="1" t="s">
        <v>3090</v>
      </c>
      <c r="E802" s="1">
        <v>85281</v>
      </c>
      <c r="F802" s="1" t="s">
        <v>2730</v>
      </c>
      <c r="G802" s="1" t="s">
        <v>4914</v>
      </c>
      <c r="H802" s="4" t="s">
        <v>261</v>
      </c>
      <c r="I802" s="5" t="s">
        <v>2514</v>
      </c>
      <c r="J802" s="5" t="s">
        <v>24</v>
      </c>
      <c r="K802" s="5" t="s">
        <v>24</v>
      </c>
      <c r="L802" s="5" t="s">
        <v>5142</v>
      </c>
      <c r="M802" s="5" t="s">
        <v>24</v>
      </c>
      <c r="N802" s="5" t="s">
        <v>24</v>
      </c>
      <c r="O802" s="5" t="s">
        <v>75</v>
      </c>
      <c r="P802" s="5" t="s">
        <v>2413</v>
      </c>
      <c r="Q802" s="2">
        <v>45965</v>
      </c>
      <c r="V802" s="45">
        <f t="shared" si="12"/>
        <v>1</v>
      </c>
      <c r="W802" s="45" t="s">
        <v>5143</v>
      </c>
    </row>
    <row r="803" spans="1:23" hidden="1">
      <c r="A803" s="2">
        <v>45905</v>
      </c>
      <c r="B803" s="1" t="s">
        <v>5144</v>
      </c>
      <c r="C803" s="1" t="s">
        <v>5145</v>
      </c>
      <c r="D803" s="1" t="s">
        <v>2439</v>
      </c>
      <c r="E803" s="1">
        <v>85032</v>
      </c>
      <c r="F803" s="1" t="s">
        <v>5146</v>
      </c>
      <c r="G803" s="1" t="s">
        <v>4914</v>
      </c>
      <c r="H803" s="4" t="s">
        <v>2401</v>
      </c>
      <c r="V803" s="45">
        <f t="shared" si="12"/>
        <v>1</v>
      </c>
      <c r="W803" s="45" t="s">
        <v>5147</v>
      </c>
    </row>
    <row r="804" spans="1:23" hidden="1">
      <c r="A804" s="2">
        <v>45905</v>
      </c>
      <c r="B804" s="1" t="s">
        <v>5148</v>
      </c>
      <c r="C804" s="1" t="s">
        <v>5149</v>
      </c>
      <c r="D804" s="1" t="s">
        <v>3090</v>
      </c>
      <c r="E804" s="1">
        <v>85281</v>
      </c>
      <c r="F804" s="1" t="s">
        <v>2730</v>
      </c>
      <c r="G804" s="1" t="s">
        <v>4914</v>
      </c>
      <c r="H804" s="4" t="s">
        <v>2471</v>
      </c>
      <c r="V804" s="45">
        <f t="shared" si="12"/>
        <v>1</v>
      </c>
      <c r="W804" s="45" t="s">
        <v>5150</v>
      </c>
    </row>
    <row r="805" spans="1:23" hidden="1">
      <c r="A805" s="2">
        <v>45905</v>
      </c>
      <c r="B805" s="1" t="s">
        <v>5151</v>
      </c>
      <c r="C805" s="1" t="s">
        <v>5152</v>
      </c>
      <c r="D805" s="1" t="s">
        <v>2570</v>
      </c>
      <c r="E805" s="1">
        <v>85326</v>
      </c>
      <c r="F805" s="1" t="s">
        <v>2730</v>
      </c>
      <c r="G805" s="1" t="s">
        <v>4914</v>
      </c>
      <c r="H805" s="4" t="s">
        <v>1249</v>
      </c>
      <c r="I805" s="5" t="s">
        <v>2988</v>
      </c>
      <c r="J805" s="5" t="s">
        <v>75</v>
      </c>
      <c r="K805" s="5" t="s">
        <v>24</v>
      </c>
      <c r="L805" s="5" t="s">
        <v>2819</v>
      </c>
      <c r="M805" s="5" t="s">
        <v>24</v>
      </c>
      <c r="N805" s="5" t="s">
        <v>24</v>
      </c>
      <c r="O805" s="5" t="s">
        <v>75</v>
      </c>
      <c r="P805" s="5" t="s">
        <v>2413</v>
      </c>
      <c r="Q805" s="2">
        <v>45965</v>
      </c>
      <c r="V805" s="45">
        <f t="shared" si="12"/>
        <v>1</v>
      </c>
      <c r="W805" s="45" t="s">
        <v>5153</v>
      </c>
    </row>
    <row r="806" spans="1:23" hidden="1">
      <c r="A806" s="2">
        <v>45905</v>
      </c>
      <c r="B806" s="1" t="s">
        <v>5093</v>
      </c>
      <c r="C806" s="1" t="s">
        <v>5154</v>
      </c>
      <c r="D806" s="1" t="s">
        <v>2439</v>
      </c>
      <c r="E806" s="1">
        <v>85024</v>
      </c>
      <c r="F806" s="1" t="s">
        <v>2406</v>
      </c>
      <c r="G806" s="1" t="s">
        <v>4914</v>
      </c>
      <c r="H806" s="4" t="s">
        <v>1251</v>
      </c>
      <c r="I806" s="5" t="s">
        <v>2412</v>
      </c>
      <c r="J806" s="5" t="s">
        <v>24</v>
      </c>
      <c r="K806" s="5" t="s">
        <v>24</v>
      </c>
      <c r="L806" s="5" t="s">
        <v>75</v>
      </c>
      <c r="M806" s="5" t="s">
        <v>24</v>
      </c>
      <c r="N806" s="5" t="s">
        <v>24</v>
      </c>
      <c r="O806" s="5" t="s">
        <v>75</v>
      </c>
      <c r="P806" s="5" t="s">
        <v>2413</v>
      </c>
      <c r="Q806" s="2">
        <v>45965</v>
      </c>
      <c r="V806" s="45">
        <f t="shared" si="12"/>
        <v>1</v>
      </c>
      <c r="W806" s="45" t="s">
        <v>5155</v>
      </c>
    </row>
    <row r="807" spans="1:23" hidden="1">
      <c r="A807" s="2">
        <v>45905</v>
      </c>
      <c r="B807" s="1" t="s">
        <v>5156</v>
      </c>
      <c r="C807" s="1" t="s">
        <v>2454</v>
      </c>
      <c r="D807" s="1" t="s">
        <v>2439</v>
      </c>
      <c r="E807" s="1">
        <v>85012</v>
      </c>
      <c r="F807" s="1" t="s">
        <v>2730</v>
      </c>
      <c r="G807" s="1" t="s">
        <v>4914</v>
      </c>
      <c r="H807" s="21" t="s">
        <v>5157</v>
      </c>
      <c r="I807" s="5" t="s">
        <v>2451</v>
      </c>
      <c r="J807" s="5" t="s">
        <v>24</v>
      </c>
      <c r="K807" s="5" t="s">
        <v>24</v>
      </c>
      <c r="L807" s="5" t="s">
        <v>2831</v>
      </c>
      <c r="M807" s="5" t="s">
        <v>24</v>
      </c>
      <c r="N807" s="5" t="s">
        <v>24</v>
      </c>
      <c r="O807" s="5" t="s">
        <v>75</v>
      </c>
      <c r="P807" s="5" t="s">
        <v>2413</v>
      </c>
      <c r="Q807" s="2">
        <v>38660</v>
      </c>
      <c r="R807" s="1" t="s">
        <v>5158</v>
      </c>
      <c r="V807" s="45">
        <f t="shared" si="12"/>
        <v>1</v>
      </c>
      <c r="W807" s="45" t="s">
        <v>5159</v>
      </c>
    </row>
    <row r="808" spans="1:23" hidden="1">
      <c r="A808" s="2">
        <v>45905</v>
      </c>
      <c r="B808" s="1" t="s">
        <v>5160</v>
      </c>
      <c r="C808" s="1" t="s">
        <v>5161</v>
      </c>
      <c r="D808" s="1" t="s">
        <v>2439</v>
      </c>
      <c r="E808" s="1">
        <v>85008</v>
      </c>
      <c r="F808" s="1" t="s">
        <v>2406</v>
      </c>
      <c r="G808" s="1" t="s">
        <v>4914</v>
      </c>
      <c r="H808" s="4" t="s">
        <v>263</v>
      </c>
      <c r="I808" s="5" t="s">
        <v>2597</v>
      </c>
      <c r="J808" s="5" t="s">
        <v>24</v>
      </c>
      <c r="K808" s="5" t="s">
        <v>24</v>
      </c>
      <c r="L808" s="7" t="s">
        <v>5162</v>
      </c>
      <c r="M808" s="5" t="s">
        <v>24</v>
      </c>
      <c r="N808" s="5" t="s">
        <v>24</v>
      </c>
      <c r="O808" s="5" t="s">
        <v>75</v>
      </c>
      <c r="P808" s="2">
        <v>45937</v>
      </c>
      <c r="Q808" s="2">
        <v>45965</v>
      </c>
      <c r="R808" s="1" t="s">
        <v>5163</v>
      </c>
      <c r="V808" s="45">
        <f t="shared" si="12"/>
        <v>1</v>
      </c>
      <c r="W808" s="45" t="s">
        <v>5164</v>
      </c>
    </row>
    <row r="809" spans="1:23" hidden="1">
      <c r="A809" s="2">
        <v>45905</v>
      </c>
      <c r="B809" s="1" t="s">
        <v>5165</v>
      </c>
      <c r="C809" s="1" t="s">
        <v>5166</v>
      </c>
      <c r="D809" s="1" t="s">
        <v>2439</v>
      </c>
      <c r="E809" s="1">
        <v>85027</v>
      </c>
      <c r="F809" s="1" t="s">
        <v>2730</v>
      </c>
      <c r="G809" s="1" t="s">
        <v>4914</v>
      </c>
      <c r="H809" s="21" t="s">
        <v>5167</v>
      </c>
      <c r="I809" s="5" t="s">
        <v>2988</v>
      </c>
      <c r="J809" s="5" t="s">
        <v>24</v>
      </c>
      <c r="K809" s="5" t="s">
        <v>24</v>
      </c>
      <c r="L809" s="5" t="s">
        <v>2819</v>
      </c>
      <c r="M809" s="5" t="s">
        <v>24</v>
      </c>
      <c r="N809" s="5" t="s">
        <v>24</v>
      </c>
      <c r="O809" s="5" t="s">
        <v>75</v>
      </c>
      <c r="P809" s="5" t="s">
        <v>2413</v>
      </c>
      <c r="Q809" s="2">
        <v>45965</v>
      </c>
      <c r="V809" s="45">
        <f t="shared" si="12"/>
        <v>1</v>
      </c>
      <c r="W809" s="45" t="s">
        <v>5168</v>
      </c>
    </row>
    <row r="810" spans="1:23" hidden="1">
      <c r="A810" s="2">
        <v>45905</v>
      </c>
      <c r="B810" s="1" t="s">
        <v>5169</v>
      </c>
      <c r="C810" s="1" t="s">
        <v>5009</v>
      </c>
      <c r="D810" s="1" t="s">
        <v>2405</v>
      </c>
      <c r="E810" s="23" t="s">
        <v>2405</v>
      </c>
      <c r="F810" s="1" t="s">
        <v>5170</v>
      </c>
      <c r="G810" s="1" t="s">
        <v>4914</v>
      </c>
      <c r="H810" s="4" t="s">
        <v>1253</v>
      </c>
      <c r="I810" s="5" t="s">
        <v>2514</v>
      </c>
      <c r="J810" s="5" t="s">
        <v>24</v>
      </c>
      <c r="K810" s="5" t="s">
        <v>24</v>
      </c>
      <c r="L810" s="5" t="s">
        <v>75</v>
      </c>
      <c r="M810" s="5" t="s">
        <v>24</v>
      </c>
      <c r="N810" s="5" t="s">
        <v>24</v>
      </c>
      <c r="O810" s="5" t="s">
        <v>75</v>
      </c>
      <c r="P810" s="5" t="s">
        <v>2413</v>
      </c>
      <c r="Q810" s="2">
        <v>45965</v>
      </c>
      <c r="V810" s="45">
        <f t="shared" si="12"/>
        <v>1</v>
      </c>
      <c r="W810" s="45" t="s">
        <v>5171</v>
      </c>
    </row>
    <row r="811" spans="1:23" hidden="1">
      <c r="A811" s="14">
        <v>45905</v>
      </c>
      <c r="B811" s="24" t="s">
        <v>5172</v>
      </c>
      <c r="C811" s="24" t="s">
        <v>5173</v>
      </c>
      <c r="D811" s="24" t="s">
        <v>5174</v>
      </c>
      <c r="E811" s="24">
        <v>86335</v>
      </c>
      <c r="F811" s="24" t="s">
        <v>2406</v>
      </c>
      <c r="G811" s="25" t="s">
        <v>5175</v>
      </c>
      <c r="H811" s="4" t="s">
        <v>2401</v>
      </c>
      <c r="V811" s="45">
        <f t="shared" si="12"/>
        <v>1</v>
      </c>
      <c r="W811" s="45" t="s">
        <v>5176</v>
      </c>
    </row>
    <row r="812" spans="1:23" hidden="1">
      <c r="A812" s="2">
        <v>45905</v>
      </c>
      <c r="B812" s="1" t="s">
        <v>3221</v>
      </c>
      <c r="C812" s="1" t="s">
        <v>4726</v>
      </c>
      <c r="D812" s="1" t="s">
        <v>2405</v>
      </c>
      <c r="E812" s="1" t="s">
        <v>2405</v>
      </c>
      <c r="F812" s="1" t="s">
        <v>2406</v>
      </c>
      <c r="G812" s="1" t="s">
        <v>4914</v>
      </c>
      <c r="H812" s="4" t="s">
        <v>2613</v>
      </c>
      <c r="V812" s="45">
        <f t="shared" si="12"/>
        <v>1</v>
      </c>
      <c r="W812" s="45" t="s">
        <v>5177</v>
      </c>
    </row>
    <row r="813" spans="1:23" hidden="1">
      <c r="A813" s="2">
        <v>45906</v>
      </c>
      <c r="B813" s="1" t="s">
        <v>5178</v>
      </c>
      <c r="C813" s="1" t="s">
        <v>3382</v>
      </c>
      <c r="D813" s="1" t="s">
        <v>2498</v>
      </c>
      <c r="E813" s="1">
        <v>85388</v>
      </c>
      <c r="F813" s="1" t="s">
        <v>2730</v>
      </c>
      <c r="G813" s="1" t="s">
        <v>5179</v>
      </c>
      <c r="H813" s="4" t="s">
        <v>2401</v>
      </c>
      <c r="V813" s="45">
        <f t="shared" si="12"/>
        <v>1</v>
      </c>
      <c r="W813" s="45" t="s">
        <v>5180</v>
      </c>
    </row>
    <row r="814" spans="1:23" hidden="1">
      <c r="A814" s="2">
        <v>45906</v>
      </c>
      <c r="B814" s="1" t="s">
        <v>5181</v>
      </c>
      <c r="C814" s="1" t="s">
        <v>3000</v>
      </c>
      <c r="D814" s="1" t="s">
        <v>2439</v>
      </c>
      <c r="E814" s="1">
        <v>85004</v>
      </c>
      <c r="F814" s="1" t="s">
        <v>5182</v>
      </c>
      <c r="G814" s="1" t="s">
        <v>5179</v>
      </c>
      <c r="H814" s="4" t="s">
        <v>1255</v>
      </c>
      <c r="I814" s="5" t="s">
        <v>2412</v>
      </c>
      <c r="J814" s="5" t="s">
        <v>24</v>
      </c>
      <c r="K814" s="5" t="s">
        <v>24</v>
      </c>
      <c r="L814" s="5" t="s">
        <v>75</v>
      </c>
      <c r="M814" s="5" t="s">
        <v>24</v>
      </c>
      <c r="N814" s="5" t="s">
        <v>24</v>
      </c>
      <c r="O814" s="5" t="s">
        <v>75</v>
      </c>
      <c r="P814" s="5" t="s">
        <v>2413</v>
      </c>
      <c r="Q814" s="2">
        <v>45965</v>
      </c>
      <c r="V814" s="45">
        <f t="shared" si="12"/>
        <v>1</v>
      </c>
      <c r="W814" s="45" t="s">
        <v>5183</v>
      </c>
    </row>
    <row r="815" spans="1:23" hidden="1">
      <c r="A815" s="2">
        <v>45906</v>
      </c>
      <c r="B815" s="1" t="s">
        <v>5184</v>
      </c>
      <c r="C815" s="1" t="s">
        <v>4899</v>
      </c>
      <c r="D815" s="1" t="s">
        <v>2439</v>
      </c>
      <c r="E815" s="1">
        <v>85022</v>
      </c>
      <c r="F815" s="1" t="s">
        <v>2730</v>
      </c>
      <c r="G815" s="1" t="s">
        <v>5179</v>
      </c>
      <c r="H815" s="4" t="s">
        <v>266</v>
      </c>
      <c r="I815" s="5" t="s">
        <v>2597</v>
      </c>
      <c r="J815" s="5" t="s">
        <v>24</v>
      </c>
      <c r="K815" s="5" t="s">
        <v>24</v>
      </c>
      <c r="L815" s="5" t="s">
        <v>5185</v>
      </c>
      <c r="M815" s="5" t="s">
        <v>24</v>
      </c>
      <c r="N815" s="5" t="s">
        <v>24</v>
      </c>
      <c r="O815" s="5" t="s">
        <v>75</v>
      </c>
      <c r="P815" s="5" t="s">
        <v>2413</v>
      </c>
      <c r="Q815" s="2">
        <v>45965</v>
      </c>
      <c r="V815" s="45">
        <f t="shared" si="12"/>
        <v>1</v>
      </c>
      <c r="W815" s="45" t="s">
        <v>5186</v>
      </c>
    </row>
    <row r="816" spans="1:23" hidden="1">
      <c r="A816" s="2">
        <v>45906</v>
      </c>
      <c r="B816" s="1" t="s">
        <v>5187</v>
      </c>
      <c r="C816" s="1" t="s">
        <v>2949</v>
      </c>
      <c r="D816" s="1" t="s">
        <v>2513</v>
      </c>
      <c r="E816" s="1">
        <v>85260</v>
      </c>
      <c r="F816" s="1" t="s">
        <v>2730</v>
      </c>
      <c r="G816" s="1" t="s">
        <v>5179</v>
      </c>
      <c r="H816" s="4" t="s">
        <v>1257</v>
      </c>
      <c r="I816" s="5" t="s">
        <v>2412</v>
      </c>
      <c r="J816" s="5" t="s">
        <v>24</v>
      </c>
      <c r="K816" s="5" t="s">
        <v>24</v>
      </c>
      <c r="L816" s="5" t="s">
        <v>75</v>
      </c>
      <c r="M816" s="5" t="s">
        <v>24</v>
      </c>
      <c r="N816" s="5" t="s">
        <v>24</v>
      </c>
      <c r="O816" s="5" t="s">
        <v>75</v>
      </c>
      <c r="P816" s="5" t="s">
        <v>2413</v>
      </c>
      <c r="Q816" s="2">
        <v>45965</v>
      </c>
      <c r="V816" s="45">
        <f t="shared" si="12"/>
        <v>1</v>
      </c>
      <c r="W816" s="45" t="s">
        <v>5188</v>
      </c>
    </row>
    <row r="817" spans="1:23" hidden="1">
      <c r="A817" s="2">
        <v>45906</v>
      </c>
      <c r="B817" s="1" t="s">
        <v>5189</v>
      </c>
      <c r="C817" s="1" t="s">
        <v>5149</v>
      </c>
      <c r="D817" s="1" t="s">
        <v>2439</v>
      </c>
      <c r="E817" s="1">
        <v>85016</v>
      </c>
      <c r="F817" s="1" t="s">
        <v>5190</v>
      </c>
      <c r="G817" s="1" t="s">
        <v>5179</v>
      </c>
      <c r="H817" s="4" t="s">
        <v>1259</v>
      </c>
      <c r="I817" s="5" t="s">
        <v>2514</v>
      </c>
      <c r="J817" s="5" t="s">
        <v>24</v>
      </c>
      <c r="K817" s="5" t="s">
        <v>24</v>
      </c>
      <c r="L817" s="5" t="s">
        <v>75</v>
      </c>
      <c r="M817" s="5" t="s">
        <v>24</v>
      </c>
      <c r="N817" s="5" t="s">
        <v>24</v>
      </c>
      <c r="O817" s="5" t="s">
        <v>75</v>
      </c>
      <c r="P817" s="5" t="s">
        <v>2413</v>
      </c>
      <c r="Q817" s="2">
        <v>45965</v>
      </c>
      <c r="V817" s="45">
        <f t="shared" si="12"/>
        <v>1</v>
      </c>
      <c r="W817" s="45" t="s">
        <v>5191</v>
      </c>
    </row>
    <row r="818" spans="1:23" hidden="1">
      <c r="A818" s="2">
        <v>45906</v>
      </c>
      <c r="B818" s="1" t="s">
        <v>5192</v>
      </c>
      <c r="C818" s="1" t="s">
        <v>5193</v>
      </c>
      <c r="D818" s="1" t="s">
        <v>3383</v>
      </c>
      <c r="E818" s="1">
        <v>85086</v>
      </c>
      <c r="F818" s="1" t="s">
        <v>5194</v>
      </c>
      <c r="G818" s="1" t="s">
        <v>5179</v>
      </c>
      <c r="H818" s="4" t="s">
        <v>2401</v>
      </c>
      <c r="V818" s="45">
        <f t="shared" si="12"/>
        <v>1</v>
      </c>
      <c r="W818" s="45" t="s">
        <v>5195</v>
      </c>
    </row>
    <row r="819" spans="1:23" hidden="1">
      <c r="A819" s="2">
        <v>45906</v>
      </c>
      <c r="B819" s="1" t="s">
        <v>5196</v>
      </c>
      <c r="C819" s="1" t="s">
        <v>5197</v>
      </c>
      <c r="D819" s="1" t="s">
        <v>2439</v>
      </c>
      <c r="E819" s="1">
        <v>37204</v>
      </c>
      <c r="F819" s="1" t="s">
        <v>5198</v>
      </c>
      <c r="G819" s="1" t="s">
        <v>5179</v>
      </c>
      <c r="H819" s="4" t="s">
        <v>1261</v>
      </c>
      <c r="I819" s="5" t="s">
        <v>2988</v>
      </c>
      <c r="J819" s="5" t="s">
        <v>24</v>
      </c>
      <c r="K819" s="5" t="s">
        <v>24</v>
      </c>
      <c r="L819" s="5" t="s">
        <v>2819</v>
      </c>
      <c r="M819" s="5" t="s">
        <v>24</v>
      </c>
      <c r="N819" s="5" t="s">
        <v>24</v>
      </c>
      <c r="O819" s="5" t="s">
        <v>75</v>
      </c>
      <c r="P819" s="5" t="s">
        <v>2413</v>
      </c>
      <c r="Q819" s="2">
        <v>45965</v>
      </c>
      <c r="U819" s="1" t="s">
        <v>3196</v>
      </c>
      <c r="V819" s="45">
        <f t="shared" si="12"/>
        <v>1</v>
      </c>
      <c r="W819" s="45" t="s">
        <v>5199</v>
      </c>
    </row>
    <row r="820" spans="1:23" hidden="1">
      <c r="A820" s="2">
        <v>45906</v>
      </c>
      <c r="B820" s="1" t="s">
        <v>5200</v>
      </c>
      <c r="C820" s="1" t="s">
        <v>2656</v>
      </c>
      <c r="D820" s="1" t="s">
        <v>2678</v>
      </c>
      <c r="E820" s="1">
        <v>85541</v>
      </c>
      <c r="F820" s="1" t="s">
        <v>5201</v>
      </c>
      <c r="G820" s="1" t="s">
        <v>5179</v>
      </c>
      <c r="H820" s="4" t="s">
        <v>1263</v>
      </c>
      <c r="I820" s="5" t="s">
        <v>2412</v>
      </c>
      <c r="J820" s="5" t="s">
        <v>24</v>
      </c>
      <c r="K820" s="5" t="s">
        <v>24</v>
      </c>
      <c r="L820" s="5" t="s">
        <v>75</v>
      </c>
      <c r="M820" s="5" t="s">
        <v>24</v>
      </c>
      <c r="N820" s="5" t="s">
        <v>24</v>
      </c>
      <c r="O820" s="5" t="s">
        <v>75</v>
      </c>
      <c r="P820" s="5" t="s">
        <v>2413</v>
      </c>
      <c r="Q820" s="2">
        <v>45965</v>
      </c>
      <c r="V820" s="45">
        <f t="shared" si="12"/>
        <v>1</v>
      </c>
      <c r="W820" s="45" t="s">
        <v>5202</v>
      </c>
    </row>
    <row r="821" spans="1:23" hidden="1">
      <c r="A821" s="2">
        <v>45906</v>
      </c>
      <c r="B821" s="1" t="s">
        <v>5203</v>
      </c>
      <c r="C821" s="1" t="s">
        <v>3165</v>
      </c>
      <c r="D821" s="1" t="s">
        <v>4424</v>
      </c>
      <c r="E821" s="1">
        <v>85373</v>
      </c>
      <c r="F821" s="1" t="s">
        <v>5204</v>
      </c>
      <c r="G821" s="1" t="s">
        <v>5179</v>
      </c>
      <c r="H821" s="4" t="s">
        <v>1265</v>
      </c>
      <c r="I821" s="5" t="s">
        <v>2420</v>
      </c>
      <c r="J821" s="5" t="s">
        <v>24</v>
      </c>
      <c r="K821" s="5" t="s">
        <v>24</v>
      </c>
      <c r="L821" s="5" t="s">
        <v>75</v>
      </c>
      <c r="M821" s="5" t="s">
        <v>24</v>
      </c>
      <c r="N821" s="5" t="s">
        <v>24</v>
      </c>
      <c r="O821" s="5" t="s">
        <v>75</v>
      </c>
      <c r="P821" s="5" t="s">
        <v>2413</v>
      </c>
      <c r="Q821" s="2">
        <v>45965</v>
      </c>
      <c r="V821" s="45">
        <f t="shared" si="12"/>
        <v>1</v>
      </c>
      <c r="W821" s="45" t="s">
        <v>5205</v>
      </c>
    </row>
    <row r="822" spans="1:23" hidden="1">
      <c r="A822" s="2">
        <v>45906</v>
      </c>
      <c r="B822" s="1" t="s">
        <v>5206</v>
      </c>
      <c r="C822" s="1" t="s">
        <v>5207</v>
      </c>
      <c r="D822" s="1" t="s">
        <v>2439</v>
      </c>
      <c r="E822" s="1">
        <v>85023</v>
      </c>
      <c r="F822" s="1" t="s">
        <v>2730</v>
      </c>
      <c r="G822" s="1" t="s">
        <v>5179</v>
      </c>
      <c r="H822" s="4" t="s">
        <v>2401</v>
      </c>
      <c r="V822" s="45">
        <f t="shared" si="12"/>
        <v>1</v>
      </c>
      <c r="W822" s="45" t="s">
        <v>5208</v>
      </c>
    </row>
    <row r="823" spans="1:23" hidden="1">
      <c r="A823" s="2">
        <v>45906</v>
      </c>
      <c r="B823" s="1" t="s">
        <v>5209</v>
      </c>
      <c r="C823" s="1" t="s">
        <v>5210</v>
      </c>
      <c r="D823" s="1" t="s">
        <v>2439</v>
      </c>
      <c r="E823" s="1">
        <v>85029</v>
      </c>
      <c r="F823" s="1" t="s">
        <v>2723</v>
      </c>
      <c r="G823" s="1" t="s">
        <v>5179</v>
      </c>
      <c r="H823" s="4" t="s">
        <v>1267</v>
      </c>
      <c r="I823" s="5" t="s">
        <v>2514</v>
      </c>
      <c r="J823" s="5" t="s">
        <v>24</v>
      </c>
      <c r="K823" s="5" t="s">
        <v>24</v>
      </c>
      <c r="L823" s="5" t="s">
        <v>75</v>
      </c>
      <c r="M823" s="5" t="s">
        <v>24</v>
      </c>
      <c r="N823" s="5" t="s">
        <v>24</v>
      </c>
      <c r="O823" s="5" t="s">
        <v>75</v>
      </c>
      <c r="P823" s="5" t="s">
        <v>2413</v>
      </c>
      <c r="Q823" s="2">
        <v>45965</v>
      </c>
      <c r="V823" s="45">
        <f t="shared" si="12"/>
        <v>1</v>
      </c>
      <c r="W823" s="45" t="s">
        <v>5211</v>
      </c>
    </row>
    <row r="824" spans="1:23" hidden="1">
      <c r="A824" s="2">
        <v>45906</v>
      </c>
      <c r="B824" s="1" t="s">
        <v>5212</v>
      </c>
      <c r="C824" s="1" t="s">
        <v>5213</v>
      </c>
      <c r="D824" s="1" t="s">
        <v>2513</v>
      </c>
      <c r="E824" s="1">
        <v>85260</v>
      </c>
      <c r="F824" s="1" t="s">
        <v>2406</v>
      </c>
      <c r="G824" s="1" t="s">
        <v>5179</v>
      </c>
      <c r="H824" s="4" t="s">
        <v>268</v>
      </c>
      <c r="I824" s="5" t="s">
        <v>2597</v>
      </c>
      <c r="J824" s="5" t="s">
        <v>24</v>
      </c>
      <c r="K824" s="5" t="s">
        <v>24</v>
      </c>
      <c r="L824" s="7" t="s">
        <v>5214</v>
      </c>
      <c r="M824" s="5" t="s">
        <v>24</v>
      </c>
      <c r="N824" s="5" t="s">
        <v>24</v>
      </c>
      <c r="O824" s="5" t="s">
        <v>75</v>
      </c>
      <c r="P824" s="2">
        <v>45964</v>
      </c>
      <c r="Q824" s="2">
        <v>45965</v>
      </c>
      <c r="R824" s="1" t="s">
        <v>5215</v>
      </c>
      <c r="V824" s="45">
        <f t="shared" si="12"/>
        <v>1</v>
      </c>
      <c r="W824" s="45" t="s">
        <v>5216</v>
      </c>
    </row>
    <row r="825" spans="1:23" hidden="1">
      <c r="A825" s="2">
        <v>45906</v>
      </c>
      <c r="B825" s="1" t="s">
        <v>5217</v>
      </c>
      <c r="C825" s="1" t="s">
        <v>5218</v>
      </c>
      <c r="D825" s="1" t="s">
        <v>2564</v>
      </c>
      <c r="E825" s="1">
        <v>85338</v>
      </c>
      <c r="F825" s="1" t="s">
        <v>2730</v>
      </c>
      <c r="G825" s="1" t="s">
        <v>5179</v>
      </c>
      <c r="H825" s="4" t="s">
        <v>2401</v>
      </c>
      <c r="V825" s="45">
        <f t="shared" si="12"/>
        <v>1</v>
      </c>
      <c r="W825" s="45" t="s">
        <v>5219</v>
      </c>
    </row>
    <row r="826" spans="1:23" hidden="1">
      <c r="A826" s="2">
        <v>45906</v>
      </c>
      <c r="B826" s="1" t="s">
        <v>5220</v>
      </c>
      <c r="C826" s="1" t="s">
        <v>2760</v>
      </c>
      <c r="D826" s="1" t="s">
        <v>2439</v>
      </c>
      <c r="E826" s="1">
        <v>85012</v>
      </c>
      <c r="F826" s="1" t="s">
        <v>2730</v>
      </c>
      <c r="G826" s="1" t="s">
        <v>5179</v>
      </c>
      <c r="H826" s="4" t="s">
        <v>1269</v>
      </c>
      <c r="I826" s="5" t="s">
        <v>2451</v>
      </c>
      <c r="J826" s="5" t="s">
        <v>24</v>
      </c>
      <c r="K826" s="5" t="s">
        <v>24</v>
      </c>
      <c r="L826" s="5" t="s">
        <v>75</v>
      </c>
      <c r="M826" s="5" t="s">
        <v>24</v>
      </c>
      <c r="N826" s="5" t="s">
        <v>24</v>
      </c>
      <c r="O826" s="5" t="s">
        <v>75</v>
      </c>
      <c r="P826" s="5" t="s">
        <v>2413</v>
      </c>
      <c r="Q826" s="2">
        <v>45965</v>
      </c>
      <c r="V826" s="45">
        <f t="shared" si="12"/>
        <v>1</v>
      </c>
      <c r="W826" s="45" t="s">
        <v>5221</v>
      </c>
    </row>
    <row r="827" spans="1:23" hidden="1">
      <c r="A827" s="2">
        <v>45906</v>
      </c>
      <c r="B827" s="1" t="s">
        <v>5222</v>
      </c>
      <c r="C827" s="1" t="s">
        <v>5223</v>
      </c>
      <c r="D827" s="1" t="s">
        <v>2513</v>
      </c>
      <c r="E827" s="1">
        <v>85251</v>
      </c>
      <c r="F827" s="1" t="s">
        <v>5224</v>
      </c>
      <c r="G827" s="26" t="s">
        <v>5179</v>
      </c>
      <c r="H827" s="4" t="s">
        <v>1271</v>
      </c>
      <c r="I827" s="5" t="s">
        <v>2412</v>
      </c>
      <c r="J827" s="5" t="s">
        <v>24</v>
      </c>
      <c r="K827" s="5" t="s">
        <v>24</v>
      </c>
      <c r="L827" s="5" t="s">
        <v>75</v>
      </c>
      <c r="M827" s="5" t="s">
        <v>24</v>
      </c>
      <c r="N827" s="5" t="s">
        <v>24</v>
      </c>
      <c r="O827" s="5" t="s">
        <v>75</v>
      </c>
      <c r="P827" s="5" t="s">
        <v>2413</v>
      </c>
      <c r="Q827" s="2">
        <v>45965</v>
      </c>
      <c r="V827" s="45">
        <f t="shared" si="12"/>
        <v>1</v>
      </c>
      <c r="W827" s="45" t="s">
        <v>5225</v>
      </c>
    </row>
    <row r="828" spans="1:23" hidden="1">
      <c r="A828" s="2">
        <v>45906</v>
      </c>
      <c r="B828" s="1" t="s">
        <v>3777</v>
      </c>
      <c r="C828" s="1" t="s">
        <v>2904</v>
      </c>
      <c r="D828" s="1" t="s">
        <v>2439</v>
      </c>
      <c r="E828" s="1">
        <v>85022</v>
      </c>
      <c r="F828" s="1" t="s">
        <v>5226</v>
      </c>
      <c r="G828" s="1" t="s">
        <v>5179</v>
      </c>
      <c r="H828" s="4" t="s">
        <v>2401</v>
      </c>
      <c r="V828" s="45">
        <f t="shared" si="12"/>
        <v>1</v>
      </c>
      <c r="W828" s="45" t="s">
        <v>5227</v>
      </c>
    </row>
    <row r="829" spans="1:23" hidden="1">
      <c r="A829" s="2">
        <v>45906</v>
      </c>
      <c r="B829" s="1" t="s">
        <v>5228</v>
      </c>
      <c r="C829" s="1" t="s">
        <v>2784</v>
      </c>
      <c r="D829" s="1" t="s">
        <v>2398</v>
      </c>
      <c r="E829" s="1">
        <v>85310</v>
      </c>
      <c r="F829" s="1" t="s">
        <v>5229</v>
      </c>
      <c r="G829" s="1" t="s">
        <v>5179</v>
      </c>
      <c r="H829" s="4" t="s">
        <v>1273</v>
      </c>
      <c r="I829" s="5" t="s">
        <v>2514</v>
      </c>
      <c r="J829" s="5" t="s">
        <v>24</v>
      </c>
      <c r="K829" s="5" t="s">
        <v>24</v>
      </c>
      <c r="L829" s="5" t="s">
        <v>75</v>
      </c>
      <c r="M829" s="5" t="s">
        <v>24</v>
      </c>
      <c r="N829" s="5" t="s">
        <v>24</v>
      </c>
      <c r="O829" s="5" t="s">
        <v>75</v>
      </c>
      <c r="P829" s="5" t="s">
        <v>2413</v>
      </c>
      <c r="Q829" s="2">
        <v>45965</v>
      </c>
      <c r="V829" s="45">
        <f t="shared" si="12"/>
        <v>1</v>
      </c>
      <c r="W829" s="45" t="s">
        <v>5230</v>
      </c>
    </row>
    <row r="830" spans="1:23" hidden="1">
      <c r="A830" s="2">
        <v>45906</v>
      </c>
      <c r="B830" s="1" t="s">
        <v>5231</v>
      </c>
      <c r="C830" s="1" t="s">
        <v>5232</v>
      </c>
      <c r="D830" s="1" t="s">
        <v>2439</v>
      </c>
      <c r="E830" s="1">
        <v>85027</v>
      </c>
      <c r="F830" s="1" t="s">
        <v>2730</v>
      </c>
      <c r="G830" s="1" t="s">
        <v>5179</v>
      </c>
      <c r="H830" s="4" t="s">
        <v>2401</v>
      </c>
      <c r="V830" s="45">
        <f t="shared" si="12"/>
        <v>1</v>
      </c>
      <c r="W830" s="45" t="s">
        <v>5233</v>
      </c>
    </row>
    <row r="831" spans="1:23" hidden="1">
      <c r="A831" s="2">
        <v>45906</v>
      </c>
      <c r="B831" s="1" t="s">
        <v>5234</v>
      </c>
      <c r="C831" s="1" t="s">
        <v>2861</v>
      </c>
      <c r="D831" s="1" t="s">
        <v>2398</v>
      </c>
      <c r="E831" s="1">
        <v>85308</v>
      </c>
      <c r="F831" s="1" t="s">
        <v>5235</v>
      </c>
      <c r="G831" s="1" t="s">
        <v>5179</v>
      </c>
      <c r="H831" s="4" t="s">
        <v>1275</v>
      </c>
      <c r="I831" s="5" t="s">
        <v>2412</v>
      </c>
      <c r="J831" s="5" t="s">
        <v>24</v>
      </c>
      <c r="K831" s="5" t="s">
        <v>24</v>
      </c>
      <c r="L831" s="5" t="s">
        <v>75</v>
      </c>
      <c r="M831" s="5" t="s">
        <v>24</v>
      </c>
      <c r="N831" s="5" t="s">
        <v>24</v>
      </c>
      <c r="O831" s="5" t="s">
        <v>75</v>
      </c>
      <c r="P831" s="5" t="s">
        <v>2413</v>
      </c>
      <c r="Q831" s="2">
        <v>45965</v>
      </c>
      <c r="V831" s="45">
        <f t="shared" si="12"/>
        <v>1</v>
      </c>
      <c r="W831" s="45" t="s">
        <v>5236</v>
      </c>
    </row>
    <row r="832" spans="1:23" hidden="1">
      <c r="A832" s="2">
        <v>45906</v>
      </c>
      <c r="B832" s="1" t="s">
        <v>5237</v>
      </c>
      <c r="C832" s="1" t="s">
        <v>3189</v>
      </c>
      <c r="D832" s="1" t="s">
        <v>2405</v>
      </c>
      <c r="E832" s="1" t="s">
        <v>2405</v>
      </c>
      <c r="F832" s="1" t="s">
        <v>5238</v>
      </c>
      <c r="G832" s="1" t="s">
        <v>5179</v>
      </c>
      <c r="H832" s="4" t="s">
        <v>270</v>
      </c>
      <c r="I832" s="5" t="s">
        <v>2514</v>
      </c>
      <c r="J832" s="5" t="s">
        <v>24</v>
      </c>
      <c r="K832" s="5" t="s">
        <v>24</v>
      </c>
      <c r="L832" s="5" t="s">
        <v>5239</v>
      </c>
      <c r="M832" s="5" t="s">
        <v>24</v>
      </c>
      <c r="N832" s="5" t="s">
        <v>24</v>
      </c>
      <c r="O832" s="5" t="s">
        <v>75</v>
      </c>
      <c r="P832" s="5" t="s">
        <v>2413</v>
      </c>
      <c r="Q832" s="2">
        <v>45965</v>
      </c>
      <c r="V832" s="45">
        <f t="shared" si="12"/>
        <v>1</v>
      </c>
      <c r="W832" s="45" t="s">
        <v>5240</v>
      </c>
    </row>
    <row r="833" spans="1:23" hidden="1">
      <c r="A833" s="2">
        <v>45906</v>
      </c>
      <c r="B833" s="1" t="s">
        <v>5241</v>
      </c>
      <c r="C833" s="1" t="s">
        <v>3065</v>
      </c>
      <c r="D833" s="1" t="s">
        <v>2518</v>
      </c>
      <c r="E833" s="1">
        <v>85233</v>
      </c>
      <c r="F833" s="1" t="s">
        <v>2730</v>
      </c>
      <c r="G833" s="1" t="s">
        <v>5179</v>
      </c>
      <c r="H833" s="4" t="s">
        <v>1277</v>
      </c>
      <c r="I833" s="5" t="s">
        <v>2652</v>
      </c>
      <c r="J833" s="5" t="s">
        <v>24</v>
      </c>
      <c r="K833" s="5" t="s">
        <v>24</v>
      </c>
      <c r="L833" s="5" t="s">
        <v>2819</v>
      </c>
      <c r="M833" s="5" t="s">
        <v>24</v>
      </c>
      <c r="N833" s="5" t="s">
        <v>24</v>
      </c>
      <c r="O833" s="5" t="s">
        <v>75</v>
      </c>
      <c r="P833" s="5" t="s">
        <v>2413</v>
      </c>
      <c r="Q833" s="2">
        <v>45965</v>
      </c>
      <c r="V833" s="45">
        <f t="shared" si="12"/>
        <v>1</v>
      </c>
      <c r="W833" s="45" t="s">
        <v>5242</v>
      </c>
    </row>
    <row r="834" spans="1:23" hidden="1">
      <c r="A834" s="2">
        <v>45906</v>
      </c>
      <c r="B834" s="1" t="s">
        <v>2424</v>
      </c>
      <c r="C834" s="1" t="s">
        <v>5243</v>
      </c>
      <c r="D834" s="1" t="s">
        <v>2398</v>
      </c>
      <c r="E834" s="1">
        <v>85306</v>
      </c>
      <c r="F834" s="1" t="s">
        <v>2730</v>
      </c>
      <c r="G834" s="1" t="s">
        <v>5179</v>
      </c>
      <c r="H834" s="21" t="s">
        <v>5244</v>
      </c>
      <c r="I834" s="5" t="s">
        <v>2412</v>
      </c>
      <c r="J834" s="5" t="s">
        <v>24</v>
      </c>
      <c r="K834" s="5" t="s">
        <v>24</v>
      </c>
      <c r="L834" s="5" t="s">
        <v>75</v>
      </c>
      <c r="M834" s="5" t="s">
        <v>24</v>
      </c>
      <c r="N834" s="5" t="s">
        <v>24</v>
      </c>
      <c r="O834" s="5" t="s">
        <v>75</v>
      </c>
      <c r="P834" s="5" t="s">
        <v>2413</v>
      </c>
      <c r="Q834" s="2">
        <v>45965</v>
      </c>
      <c r="V834" s="45">
        <f t="shared" ref="V834:V897" si="13">IF(OR(ISNUMBER(SEARCH("unable to locate acct",G834)),ISNUMBER(SEARCH("unknown",G834)),ISNUMBER(SEARCH("inactive",G834)),H834=""),0,1)</f>
        <v>1</v>
      </c>
      <c r="W834" s="45" t="s">
        <v>5245</v>
      </c>
    </row>
    <row r="835" spans="1:23" hidden="1">
      <c r="A835" s="2">
        <v>45906</v>
      </c>
      <c r="B835" s="1" t="s">
        <v>4966</v>
      </c>
      <c r="C835" s="1" t="s">
        <v>4879</v>
      </c>
      <c r="D835" s="1" t="s">
        <v>2439</v>
      </c>
      <c r="E835" s="1">
        <v>85028</v>
      </c>
      <c r="F835" s="1" t="s">
        <v>2730</v>
      </c>
      <c r="G835" s="1" t="s">
        <v>5179</v>
      </c>
      <c r="H835" s="21" t="s">
        <v>5246</v>
      </c>
      <c r="I835" s="5" t="s">
        <v>2988</v>
      </c>
      <c r="J835" s="5" t="s">
        <v>24</v>
      </c>
      <c r="K835" s="5" t="s">
        <v>24</v>
      </c>
      <c r="L835" s="5" t="s">
        <v>2819</v>
      </c>
      <c r="M835" s="5" t="s">
        <v>24</v>
      </c>
      <c r="N835" s="5" t="s">
        <v>24</v>
      </c>
      <c r="O835" s="5" t="s">
        <v>75</v>
      </c>
      <c r="P835" s="5" t="s">
        <v>2413</v>
      </c>
      <c r="Q835" s="2">
        <v>45965</v>
      </c>
      <c r="V835" s="45">
        <f t="shared" si="13"/>
        <v>1</v>
      </c>
      <c r="W835" s="45" t="s">
        <v>5247</v>
      </c>
    </row>
    <row r="836" spans="1:23" hidden="1">
      <c r="A836" s="2">
        <v>45906</v>
      </c>
      <c r="B836" s="1" t="s">
        <v>5248</v>
      </c>
      <c r="C836" s="1" t="s">
        <v>5249</v>
      </c>
      <c r="D836" s="1" t="s">
        <v>2439</v>
      </c>
      <c r="E836" s="1">
        <v>85085</v>
      </c>
      <c r="F836" s="1" t="s">
        <v>2730</v>
      </c>
      <c r="G836" s="1" t="s">
        <v>5179</v>
      </c>
      <c r="H836" s="4" t="s">
        <v>1279</v>
      </c>
      <c r="I836" s="5" t="s">
        <v>2451</v>
      </c>
      <c r="J836" s="5" t="s">
        <v>24</v>
      </c>
      <c r="K836" s="5" t="s">
        <v>24</v>
      </c>
      <c r="L836" s="5" t="s">
        <v>75</v>
      </c>
      <c r="M836" s="5" t="s">
        <v>24</v>
      </c>
      <c r="N836" s="5" t="s">
        <v>24</v>
      </c>
      <c r="O836" s="5" t="s">
        <v>75</v>
      </c>
      <c r="P836" s="5" t="s">
        <v>2413</v>
      </c>
      <c r="Q836" s="2">
        <v>45965</v>
      </c>
      <c r="V836" s="45">
        <f t="shared" si="13"/>
        <v>1</v>
      </c>
      <c r="W836" s="45" t="s">
        <v>5250</v>
      </c>
    </row>
    <row r="837" spans="1:23" hidden="1">
      <c r="A837" s="2">
        <v>45906</v>
      </c>
      <c r="B837" s="1" t="s">
        <v>5251</v>
      </c>
      <c r="C837" s="1" t="s">
        <v>3377</v>
      </c>
      <c r="D837" s="1" t="s">
        <v>5252</v>
      </c>
      <c r="E837" s="1">
        <v>85132</v>
      </c>
      <c r="F837" s="1" t="s">
        <v>5253</v>
      </c>
      <c r="G837" s="1" t="s">
        <v>5179</v>
      </c>
      <c r="H837" s="4" t="s">
        <v>1281</v>
      </c>
      <c r="I837" s="5" t="s">
        <v>2420</v>
      </c>
      <c r="J837" s="5" t="s">
        <v>24</v>
      </c>
      <c r="K837" s="5" t="s">
        <v>24</v>
      </c>
      <c r="L837" s="5" t="s">
        <v>75</v>
      </c>
      <c r="M837" s="5" t="s">
        <v>24</v>
      </c>
      <c r="N837" s="5" t="s">
        <v>24</v>
      </c>
      <c r="O837" s="5" t="s">
        <v>75</v>
      </c>
      <c r="P837" s="5" t="s">
        <v>2413</v>
      </c>
      <c r="Q837" s="2">
        <v>45965</v>
      </c>
      <c r="V837" s="45">
        <f t="shared" si="13"/>
        <v>1</v>
      </c>
      <c r="W837" s="45" t="s">
        <v>5254</v>
      </c>
    </row>
    <row r="838" spans="1:23" hidden="1">
      <c r="A838" s="2">
        <v>45906</v>
      </c>
      <c r="B838" s="1" t="s">
        <v>5255</v>
      </c>
      <c r="C838" s="1" t="s">
        <v>2924</v>
      </c>
      <c r="D838" s="1" t="s">
        <v>2398</v>
      </c>
      <c r="E838" s="1">
        <v>85308</v>
      </c>
      <c r="F838" s="1" t="s">
        <v>2406</v>
      </c>
      <c r="G838" s="1" t="s">
        <v>5179</v>
      </c>
      <c r="H838" s="4" t="s">
        <v>1283</v>
      </c>
      <c r="I838" s="5" t="s">
        <v>2412</v>
      </c>
      <c r="J838" s="5" t="s">
        <v>24</v>
      </c>
      <c r="K838" s="5" t="s">
        <v>24</v>
      </c>
      <c r="L838" s="5" t="s">
        <v>75</v>
      </c>
      <c r="M838" s="5" t="s">
        <v>24</v>
      </c>
      <c r="N838" s="5" t="s">
        <v>24</v>
      </c>
      <c r="O838" s="5" t="s">
        <v>75</v>
      </c>
      <c r="P838" s="5" t="s">
        <v>2413</v>
      </c>
      <c r="Q838" s="2">
        <v>45965</v>
      </c>
      <c r="V838" s="45">
        <f t="shared" si="13"/>
        <v>1</v>
      </c>
      <c r="W838" s="45" t="s">
        <v>5256</v>
      </c>
    </row>
    <row r="839" spans="1:23" hidden="1">
      <c r="A839" s="2">
        <v>45906</v>
      </c>
      <c r="B839" s="1" t="s">
        <v>5257</v>
      </c>
      <c r="C839" s="1" t="s">
        <v>2667</v>
      </c>
      <c r="D839" s="1" t="s">
        <v>2498</v>
      </c>
      <c r="E839" s="1">
        <v>85379</v>
      </c>
      <c r="F839" s="1" t="s">
        <v>2406</v>
      </c>
      <c r="G839" s="1" t="s">
        <v>5179</v>
      </c>
      <c r="H839" s="4" t="s">
        <v>1285</v>
      </c>
      <c r="I839" s="5" t="s">
        <v>2420</v>
      </c>
      <c r="J839" s="5" t="s">
        <v>24</v>
      </c>
      <c r="K839" s="5" t="s">
        <v>24</v>
      </c>
      <c r="L839" s="5" t="s">
        <v>75</v>
      </c>
      <c r="M839" s="5" t="s">
        <v>24</v>
      </c>
      <c r="N839" s="5" t="s">
        <v>24</v>
      </c>
      <c r="O839" s="5" t="s">
        <v>75</v>
      </c>
      <c r="P839" s="5" t="s">
        <v>2413</v>
      </c>
      <c r="Q839" s="2">
        <v>45965</v>
      </c>
      <c r="V839" s="45">
        <f t="shared" si="13"/>
        <v>1</v>
      </c>
      <c r="W839" s="45" t="s">
        <v>5258</v>
      </c>
    </row>
    <row r="840" spans="1:23" hidden="1">
      <c r="A840" s="2">
        <v>45906</v>
      </c>
      <c r="B840" s="1" t="s">
        <v>5259</v>
      </c>
      <c r="C840" s="1" t="s">
        <v>2632</v>
      </c>
      <c r="D840" s="1" t="s">
        <v>2513</v>
      </c>
      <c r="E840" s="1">
        <v>85260</v>
      </c>
      <c r="F840" s="1" t="s">
        <v>5260</v>
      </c>
      <c r="G840" s="1" t="s">
        <v>5179</v>
      </c>
      <c r="H840" s="4" t="s">
        <v>272</v>
      </c>
      <c r="I840" s="5" t="s">
        <v>2412</v>
      </c>
      <c r="J840" s="5" t="s">
        <v>24</v>
      </c>
      <c r="K840" s="5" t="s">
        <v>24</v>
      </c>
      <c r="L840" s="7" t="s">
        <v>5261</v>
      </c>
      <c r="M840" s="5" t="s">
        <v>24</v>
      </c>
      <c r="N840" s="5" t="s">
        <v>24</v>
      </c>
      <c r="O840" s="5" t="s">
        <v>75</v>
      </c>
      <c r="P840" s="2">
        <v>45945</v>
      </c>
      <c r="Q840" s="2">
        <v>45965</v>
      </c>
      <c r="R840" s="1" t="s">
        <v>5262</v>
      </c>
      <c r="V840" s="45">
        <f t="shared" si="13"/>
        <v>1</v>
      </c>
      <c r="W840" s="45" t="s">
        <v>5263</v>
      </c>
    </row>
    <row r="841" spans="1:23" hidden="1">
      <c r="A841" s="2">
        <v>45906</v>
      </c>
      <c r="B841" s="1" t="s">
        <v>5264</v>
      </c>
      <c r="C841" s="1" t="s">
        <v>2449</v>
      </c>
      <c r="D841" s="1" t="s">
        <v>2439</v>
      </c>
      <c r="E841" s="1">
        <v>85006</v>
      </c>
      <c r="F841" s="1" t="s">
        <v>2730</v>
      </c>
      <c r="G841" s="1" t="s">
        <v>5179</v>
      </c>
      <c r="H841" s="4" t="s">
        <v>1287</v>
      </c>
      <c r="I841" s="5" t="s">
        <v>2451</v>
      </c>
      <c r="J841" s="5" t="s">
        <v>24</v>
      </c>
      <c r="K841" s="5" t="s">
        <v>24</v>
      </c>
      <c r="L841" s="5" t="s">
        <v>75</v>
      </c>
      <c r="M841" s="5" t="s">
        <v>24</v>
      </c>
      <c r="N841" s="5" t="s">
        <v>24</v>
      </c>
      <c r="O841" s="5" t="s">
        <v>75</v>
      </c>
      <c r="P841" s="5" t="s">
        <v>2413</v>
      </c>
      <c r="Q841" s="2">
        <v>45965</v>
      </c>
      <c r="V841" s="45">
        <f t="shared" si="13"/>
        <v>1</v>
      </c>
      <c r="W841" s="45" t="s">
        <v>5265</v>
      </c>
    </row>
    <row r="842" spans="1:23" hidden="1">
      <c r="A842" s="2">
        <v>45906</v>
      </c>
      <c r="B842" s="1" t="s">
        <v>5266</v>
      </c>
      <c r="C842" s="1" t="s">
        <v>5267</v>
      </c>
      <c r="D842" s="1" t="s">
        <v>2605</v>
      </c>
      <c r="E842" s="1">
        <v>85383</v>
      </c>
      <c r="F842" s="1" t="s">
        <v>2730</v>
      </c>
      <c r="G842" s="1" t="s">
        <v>5179</v>
      </c>
      <c r="H842" s="4" t="s">
        <v>275</v>
      </c>
      <c r="I842" s="5" t="s">
        <v>2420</v>
      </c>
      <c r="J842" s="5" t="s">
        <v>24</v>
      </c>
      <c r="K842" s="5" t="s">
        <v>24</v>
      </c>
      <c r="L842" s="7" t="s">
        <v>5268</v>
      </c>
      <c r="M842" s="5" t="s">
        <v>24</v>
      </c>
      <c r="N842" s="5" t="s">
        <v>24</v>
      </c>
      <c r="O842" s="5" t="s">
        <v>75</v>
      </c>
      <c r="P842" s="2">
        <v>45939</v>
      </c>
      <c r="Q842" s="2">
        <v>45965</v>
      </c>
      <c r="R842" s="1" t="s">
        <v>2926</v>
      </c>
      <c r="V842" s="45">
        <f t="shared" si="13"/>
        <v>1</v>
      </c>
      <c r="W842" s="45" t="s">
        <v>5269</v>
      </c>
    </row>
    <row r="843" spans="1:23" hidden="1">
      <c r="A843" s="2">
        <v>45906</v>
      </c>
      <c r="B843" s="1" t="s">
        <v>5270</v>
      </c>
      <c r="C843" s="1" t="s">
        <v>2761</v>
      </c>
      <c r="D843" s="1" t="s">
        <v>2439</v>
      </c>
      <c r="E843" s="1">
        <v>85027</v>
      </c>
      <c r="F843" s="1" t="s">
        <v>2730</v>
      </c>
      <c r="G843" s="1" t="s">
        <v>5179</v>
      </c>
      <c r="H843" s="4" t="s">
        <v>1290</v>
      </c>
      <c r="I843" s="5" t="s">
        <v>2659</v>
      </c>
      <c r="J843" s="5" t="s">
        <v>24</v>
      </c>
      <c r="K843" s="5" t="s">
        <v>24</v>
      </c>
      <c r="L843" s="5" t="s">
        <v>75</v>
      </c>
      <c r="M843" s="5" t="s">
        <v>24</v>
      </c>
      <c r="N843" s="5" t="s">
        <v>24</v>
      </c>
      <c r="O843" s="5" t="s">
        <v>75</v>
      </c>
      <c r="P843" s="5" t="s">
        <v>2413</v>
      </c>
      <c r="Q843" s="2">
        <v>45965</v>
      </c>
      <c r="V843" s="45">
        <f t="shared" si="13"/>
        <v>1</v>
      </c>
      <c r="W843" s="45" t="s">
        <v>5271</v>
      </c>
    </row>
    <row r="844" spans="1:23" hidden="1">
      <c r="A844" s="2">
        <v>45906</v>
      </c>
      <c r="B844" s="1" t="s">
        <v>5272</v>
      </c>
      <c r="C844" s="1" t="s">
        <v>5273</v>
      </c>
      <c r="D844" s="1" t="s">
        <v>2498</v>
      </c>
      <c r="E844" s="1">
        <v>85338</v>
      </c>
      <c r="F844" s="1" t="s">
        <v>2730</v>
      </c>
      <c r="G844" s="1" t="s">
        <v>5179</v>
      </c>
      <c r="H844" s="4" t="s">
        <v>1292</v>
      </c>
      <c r="I844" s="5" t="s">
        <v>2412</v>
      </c>
      <c r="J844" s="5" t="s">
        <v>24</v>
      </c>
      <c r="K844" s="5" t="s">
        <v>24</v>
      </c>
      <c r="L844" s="5" t="s">
        <v>75</v>
      </c>
      <c r="M844" s="5" t="s">
        <v>24</v>
      </c>
      <c r="N844" s="5" t="s">
        <v>24</v>
      </c>
      <c r="O844" s="5" t="s">
        <v>75</v>
      </c>
      <c r="P844" s="5" t="s">
        <v>2413</v>
      </c>
      <c r="Q844" s="2">
        <v>45964</v>
      </c>
      <c r="V844" s="45">
        <f t="shared" si="13"/>
        <v>1</v>
      </c>
      <c r="W844" s="45" t="s">
        <v>5274</v>
      </c>
    </row>
    <row r="845" spans="1:23" hidden="1">
      <c r="A845" s="2">
        <v>45906</v>
      </c>
      <c r="B845" s="1" t="s">
        <v>5275</v>
      </c>
      <c r="C845" s="1" t="s">
        <v>5213</v>
      </c>
      <c r="D845" s="1" t="s">
        <v>2439</v>
      </c>
      <c r="E845" s="1">
        <v>85050</v>
      </c>
      <c r="F845" s="1" t="s">
        <v>2730</v>
      </c>
      <c r="G845" s="1" t="s">
        <v>5179</v>
      </c>
      <c r="H845" s="4" t="s">
        <v>2401</v>
      </c>
      <c r="V845" s="45">
        <f t="shared" si="13"/>
        <v>1</v>
      </c>
      <c r="W845" s="45" t="s">
        <v>5276</v>
      </c>
    </row>
    <row r="846" spans="1:23" hidden="1">
      <c r="A846" s="2">
        <v>45906</v>
      </c>
      <c r="B846" s="1" t="s">
        <v>5277</v>
      </c>
      <c r="C846" s="1" t="s">
        <v>5278</v>
      </c>
      <c r="D846" s="1" t="s">
        <v>2439</v>
      </c>
      <c r="E846" s="1">
        <v>85024</v>
      </c>
      <c r="F846" s="1" t="s">
        <v>2730</v>
      </c>
      <c r="G846" s="1" t="s">
        <v>5179</v>
      </c>
      <c r="H846" s="4" t="s">
        <v>278</v>
      </c>
      <c r="I846" s="5" t="s">
        <v>2432</v>
      </c>
      <c r="J846" s="5" t="s">
        <v>24</v>
      </c>
      <c r="K846" s="5" t="s">
        <v>24</v>
      </c>
      <c r="L846" s="5" t="s">
        <v>5279</v>
      </c>
      <c r="M846" s="5" t="s">
        <v>24</v>
      </c>
      <c r="N846" s="5" t="s">
        <v>24</v>
      </c>
      <c r="O846" s="5" t="s">
        <v>75</v>
      </c>
      <c r="P846" s="5" t="s">
        <v>2413</v>
      </c>
      <c r="Q846" s="2">
        <v>45964</v>
      </c>
      <c r="V846" s="45">
        <f t="shared" si="13"/>
        <v>1</v>
      </c>
      <c r="W846" s="45" t="s">
        <v>5280</v>
      </c>
    </row>
    <row r="847" spans="1:23" hidden="1">
      <c r="A847" s="2">
        <v>45906</v>
      </c>
      <c r="B847" s="1" t="s">
        <v>5281</v>
      </c>
      <c r="C847" s="1" t="s">
        <v>5282</v>
      </c>
      <c r="D847" s="1" t="s">
        <v>3090</v>
      </c>
      <c r="E847" s="1">
        <v>85281</v>
      </c>
      <c r="F847" s="1" t="s">
        <v>2406</v>
      </c>
      <c r="G847" s="1" t="s">
        <v>5179</v>
      </c>
      <c r="H847" s="4" t="s">
        <v>280</v>
      </c>
      <c r="I847" s="5" t="s">
        <v>2597</v>
      </c>
      <c r="J847" s="5" t="s">
        <v>24</v>
      </c>
      <c r="K847" s="5" t="s">
        <v>24</v>
      </c>
      <c r="L847" s="5" t="s">
        <v>5283</v>
      </c>
      <c r="M847" s="5" t="s">
        <v>24</v>
      </c>
      <c r="N847" s="5" t="s">
        <v>24</v>
      </c>
      <c r="O847" s="5" t="s">
        <v>75</v>
      </c>
      <c r="P847" s="5" t="s">
        <v>2413</v>
      </c>
      <c r="Q847" s="2">
        <v>45964</v>
      </c>
      <c r="V847" s="45">
        <f t="shared" si="13"/>
        <v>1</v>
      </c>
      <c r="W847" s="45" t="s">
        <v>5284</v>
      </c>
    </row>
    <row r="848" spans="1:23" hidden="1">
      <c r="A848" s="2">
        <v>45906</v>
      </c>
      <c r="B848" s="1" t="s">
        <v>2800</v>
      </c>
      <c r="C848" s="1" t="s">
        <v>3245</v>
      </c>
      <c r="D848" s="1" t="s">
        <v>2439</v>
      </c>
      <c r="E848" s="1">
        <v>85024</v>
      </c>
      <c r="F848" s="1" t="s">
        <v>5285</v>
      </c>
      <c r="G848" s="1" t="s">
        <v>5179</v>
      </c>
      <c r="H848" s="4" t="s">
        <v>282</v>
      </c>
      <c r="I848" s="5" t="s">
        <v>2432</v>
      </c>
      <c r="J848" s="5" t="s">
        <v>24</v>
      </c>
      <c r="K848" s="5" t="s">
        <v>24</v>
      </c>
      <c r="L848" s="7" t="s">
        <v>5286</v>
      </c>
      <c r="M848" s="5" t="s">
        <v>24</v>
      </c>
      <c r="N848" s="5" t="s">
        <v>24</v>
      </c>
      <c r="O848" s="5" t="s">
        <v>75</v>
      </c>
      <c r="P848" s="5" t="s">
        <v>2413</v>
      </c>
      <c r="Q848" s="2">
        <v>45964</v>
      </c>
      <c r="R848" s="1" t="s">
        <v>5287</v>
      </c>
      <c r="V848" s="45">
        <f t="shared" si="13"/>
        <v>1</v>
      </c>
      <c r="W848" s="45" t="s">
        <v>5288</v>
      </c>
    </row>
    <row r="849" spans="1:23" hidden="1">
      <c r="A849" s="2">
        <v>45906</v>
      </c>
      <c r="B849" s="1" t="s">
        <v>5289</v>
      </c>
      <c r="C849" s="1" t="s">
        <v>5290</v>
      </c>
      <c r="D849" s="1" t="s">
        <v>2439</v>
      </c>
      <c r="E849" s="1">
        <v>85018</v>
      </c>
      <c r="F849" s="1" t="s">
        <v>2730</v>
      </c>
      <c r="G849" s="1" t="s">
        <v>5179</v>
      </c>
      <c r="H849" s="4" t="s">
        <v>2401</v>
      </c>
      <c r="V849" s="45">
        <f t="shared" si="13"/>
        <v>1</v>
      </c>
      <c r="W849" s="45" t="s">
        <v>5291</v>
      </c>
    </row>
    <row r="850" spans="1:23" hidden="1">
      <c r="A850" s="2">
        <v>45906</v>
      </c>
      <c r="B850" s="1" t="s">
        <v>5292</v>
      </c>
      <c r="C850" s="1" t="s">
        <v>2812</v>
      </c>
      <c r="D850" s="1" t="s">
        <v>2439</v>
      </c>
      <c r="E850" s="1">
        <v>85023</v>
      </c>
      <c r="F850" s="1" t="s">
        <v>2730</v>
      </c>
      <c r="G850" s="1" t="s">
        <v>5179</v>
      </c>
      <c r="H850" s="4" t="s">
        <v>2471</v>
      </c>
      <c r="V850" s="45">
        <f t="shared" si="13"/>
        <v>1</v>
      </c>
      <c r="W850" s="45" t="s">
        <v>5293</v>
      </c>
    </row>
    <row r="851" spans="1:23" ht="11.45" hidden="1" customHeight="1">
      <c r="A851" s="2">
        <v>45906</v>
      </c>
      <c r="B851" s="1" t="s">
        <v>5294</v>
      </c>
      <c r="C851" s="1" t="s">
        <v>2924</v>
      </c>
      <c r="D851" s="1" t="s">
        <v>2950</v>
      </c>
      <c r="E851" s="1">
        <v>86005</v>
      </c>
      <c r="F851" s="1" t="s">
        <v>2730</v>
      </c>
      <c r="G851" s="1" t="s">
        <v>5179</v>
      </c>
      <c r="H851" s="4" t="s">
        <v>1294</v>
      </c>
      <c r="I851" s="5" t="s">
        <v>2451</v>
      </c>
      <c r="J851" s="5" t="s">
        <v>24</v>
      </c>
      <c r="K851" s="5" t="s">
        <v>24</v>
      </c>
      <c r="L851" s="5" t="s">
        <v>75</v>
      </c>
      <c r="M851" s="5" t="s">
        <v>24</v>
      </c>
      <c r="N851" s="5" t="s">
        <v>24</v>
      </c>
      <c r="O851" s="5" t="s">
        <v>75</v>
      </c>
      <c r="P851" s="5" t="s">
        <v>2413</v>
      </c>
      <c r="Q851" s="2">
        <v>45964</v>
      </c>
      <c r="V851" s="45">
        <f t="shared" si="13"/>
        <v>1</v>
      </c>
      <c r="W851" s="45" t="s">
        <v>5295</v>
      </c>
    </row>
    <row r="852" spans="1:23" hidden="1">
      <c r="A852" s="2">
        <v>45906</v>
      </c>
      <c r="B852" s="1" t="s">
        <v>2676</v>
      </c>
      <c r="C852" s="1" t="s">
        <v>3117</v>
      </c>
      <c r="D852" s="1" t="s">
        <v>2439</v>
      </c>
      <c r="E852" s="1">
        <v>85028</v>
      </c>
      <c r="F852" s="1" t="s">
        <v>2730</v>
      </c>
      <c r="G852" s="1" t="s">
        <v>5179</v>
      </c>
      <c r="H852" s="4" t="s">
        <v>1296</v>
      </c>
      <c r="I852" s="5" t="s">
        <v>2420</v>
      </c>
      <c r="J852" s="5" t="s">
        <v>24</v>
      </c>
      <c r="K852" s="5" t="s">
        <v>24</v>
      </c>
      <c r="L852" s="5" t="s">
        <v>75</v>
      </c>
      <c r="M852" s="5" t="s">
        <v>24</v>
      </c>
      <c r="N852" s="5" t="s">
        <v>24</v>
      </c>
      <c r="O852" s="5" t="s">
        <v>75</v>
      </c>
      <c r="P852" s="5" t="s">
        <v>2413</v>
      </c>
      <c r="Q852" s="2">
        <v>45964</v>
      </c>
      <c r="V852" s="45">
        <f t="shared" si="13"/>
        <v>1</v>
      </c>
      <c r="W852" s="45" t="s">
        <v>5296</v>
      </c>
    </row>
    <row r="853" spans="1:23" hidden="1">
      <c r="A853" s="2">
        <v>45906</v>
      </c>
      <c r="B853" s="1" t="s">
        <v>5297</v>
      </c>
      <c r="C853" s="1" t="s">
        <v>2806</v>
      </c>
      <c r="D853" s="1" t="s">
        <v>2445</v>
      </c>
      <c r="E853" s="1">
        <v>85331</v>
      </c>
      <c r="F853" s="1" t="s">
        <v>2730</v>
      </c>
      <c r="G853" s="1" t="s">
        <v>5179</v>
      </c>
      <c r="H853" s="4" t="s">
        <v>285</v>
      </c>
      <c r="I853" s="5" t="s">
        <v>2597</v>
      </c>
      <c r="J853" s="5" t="s">
        <v>24</v>
      </c>
      <c r="K853" s="5" t="s">
        <v>24</v>
      </c>
      <c r="L853" s="7" t="s">
        <v>5298</v>
      </c>
      <c r="M853" s="5" t="s">
        <v>24</v>
      </c>
      <c r="N853" s="5" t="s">
        <v>24</v>
      </c>
      <c r="O853" s="5" t="s">
        <v>75</v>
      </c>
      <c r="P853" s="2">
        <v>45939</v>
      </c>
      <c r="Q853" s="2">
        <v>45964</v>
      </c>
      <c r="R853" s="27" t="s">
        <v>5299</v>
      </c>
      <c r="V853" s="45">
        <f t="shared" si="13"/>
        <v>1</v>
      </c>
      <c r="W853" s="45" t="s">
        <v>5300</v>
      </c>
    </row>
    <row r="854" spans="1:23" hidden="1">
      <c r="A854" s="2">
        <v>45906</v>
      </c>
      <c r="B854" s="1" t="s">
        <v>5301</v>
      </c>
      <c r="C854" s="1" t="s">
        <v>5302</v>
      </c>
      <c r="D854" s="1" t="s">
        <v>2439</v>
      </c>
      <c r="E854" s="1">
        <v>85032</v>
      </c>
      <c r="F854" s="1" t="s">
        <v>2730</v>
      </c>
      <c r="G854" s="1" t="s">
        <v>5179</v>
      </c>
      <c r="H854" s="4" t="s">
        <v>1298</v>
      </c>
      <c r="I854" s="5" t="s">
        <v>2848</v>
      </c>
      <c r="J854" s="5" t="s">
        <v>24</v>
      </c>
      <c r="K854" s="5" t="s">
        <v>24</v>
      </c>
      <c r="L854" s="5" t="s">
        <v>2819</v>
      </c>
      <c r="M854" s="5" t="s">
        <v>24</v>
      </c>
      <c r="N854" s="5" t="s">
        <v>24</v>
      </c>
      <c r="O854" s="5" t="s">
        <v>75</v>
      </c>
      <c r="P854" s="5" t="s">
        <v>2413</v>
      </c>
      <c r="Q854" s="2">
        <v>45964</v>
      </c>
      <c r="V854" s="45">
        <f t="shared" si="13"/>
        <v>1</v>
      </c>
      <c r="W854" s="45" t="s">
        <v>5303</v>
      </c>
    </row>
    <row r="855" spans="1:23" hidden="1">
      <c r="A855" s="2">
        <v>45906</v>
      </c>
      <c r="B855" s="1" t="s">
        <v>3116</v>
      </c>
      <c r="C855" s="1" t="s">
        <v>5304</v>
      </c>
      <c r="D855" s="1" t="s">
        <v>2518</v>
      </c>
      <c r="E855" s="1">
        <v>85234</v>
      </c>
      <c r="F855" s="1" t="s">
        <v>2406</v>
      </c>
      <c r="G855" s="1" t="s">
        <v>5179</v>
      </c>
      <c r="H855" s="4" t="s">
        <v>1300</v>
      </c>
      <c r="I855" s="5" t="s">
        <v>2514</v>
      </c>
      <c r="J855" s="5" t="s">
        <v>24</v>
      </c>
      <c r="K855" s="5" t="s">
        <v>24</v>
      </c>
      <c r="L855" s="5" t="s">
        <v>75</v>
      </c>
      <c r="M855" s="5" t="s">
        <v>24</v>
      </c>
      <c r="N855" s="5" t="s">
        <v>24</v>
      </c>
      <c r="O855" s="5" t="s">
        <v>75</v>
      </c>
      <c r="P855" s="5" t="s">
        <v>2413</v>
      </c>
      <c r="Q855" s="2">
        <v>45964</v>
      </c>
      <c r="V855" s="45">
        <f t="shared" si="13"/>
        <v>1</v>
      </c>
      <c r="W855" s="45" t="s">
        <v>5305</v>
      </c>
    </row>
    <row r="856" spans="1:23" hidden="1">
      <c r="A856" s="2">
        <v>45906</v>
      </c>
      <c r="B856" s="1" t="s">
        <v>5306</v>
      </c>
      <c r="C856" s="1" t="s">
        <v>2792</v>
      </c>
      <c r="D856" s="1" t="s">
        <v>3073</v>
      </c>
      <c r="E856" s="1">
        <v>85367</v>
      </c>
      <c r="F856" s="1" t="s">
        <v>2406</v>
      </c>
      <c r="G856" s="1" t="s">
        <v>5179</v>
      </c>
      <c r="H856" s="4" t="s">
        <v>632</v>
      </c>
      <c r="I856" s="5" t="s">
        <v>2420</v>
      </c>
      <c r="J856" s="5" t="s">
        <v>24</v>
      </c>
      <c r="K856" s="5" t="s">
        <v>24</v>
      </c>
      <c r="L856" s="5" t="s">
        <v>75</v>
      </c>
      <c r="M856" s="5" t="s">
        <v>75</v>
      </c>
      <c r="N856" s="13">
        <v>122.88</v>
      </c>
      <c r="O856" s="5" t="s">
        <v>75</v>
      </c>
      <c r="P856" s="5" t="s">
        <v>2413</v>
      </c>
      <c r="Q856" s="2">
        <v>45964</v>
      </c>
      <c r="V856" s="45">
        <f t="shared" si="13"/>
        <v>1</v>
      </c>
      <c r="W856" s="45" t="s">
        <v>5307</v>
      </c>
    </row>
    <row r="857" spans="1:23" hidden="1">
      <c r="A857" s="2">
        <v>45906</v>
      </c>
      <c r="B857" s="1" t="s">
        <v>5308</v>
      </c>
      <c r="C857" s="1" t="s">
        <v>2438</v>
      </c>
      <c r="D857" s="1" t="s">
        <v>2439</v>
      </c>
      <c r="E857" s="1">
        <v>85024</v>
      </c>
      <c r="F857" s="1" t="s">
        <v>5182</v>
      </c>
      <c r="G857" s="1" t="s">
        <v>5179</v>
      </c>
      <c r="H857" s="4" t="s">
        <v>1302</v>
      </c>
      <c r="I857" s="5" t="s">
        <v>2412</v>
      </c>
      <c r="J857" s="5" t="s">
        <v>24</v>
      </c>
      <c r="K857" s="5" t="s">
        <v>24</v>
      </c>
      <c r="L857" s="5" t="s">
        <v>75</v>
      </c>
      <c r="M857" s="5" t="s">
        <v>24</v>
      </c>
      <c r="N857" s="5" t="s">
        <v>24</v>
      </c>
      <c r="O857" s="5" t="s">
        <v>75</v>
      </c>
      <c r="P857" s="5" t="s">
        <v>2413</v>
      </c>
      <c r="Q857" s="2">
        <v>45964</v>
      </c>
      <c r="V857" s="45">
        <f t="shared" si="13"/>
        <v>1</v>
      </c>
      <c r="W857" s="45" t="s">
        <v>5309</v>
      </c>
    </row>
    <row r="858" spans="1:23" hidden="1">
      <c r="A858" s="2">
        <v>45906</v>
      </c>
      <c r="B858" s="1" t="s">
        <v>5310</v>
      </c>
      <c r="C858" s="1" t="s">
        <v>2745</v>
      </c>
      <c r="D858" s="1" t="s">
        <v>2950</v>
      </c>
      <c r="E858" s="1">
        <v>86005</v>
      </c>
      <c r="F858" s="1" t="s">
        <v>2730</v>
      </c>
      <c r="G858" s="1" t="s">
        <v>5179</v>
      </c>
      <c r="H858" s="4" t="s">
        <v>2401</v>
      </c>
      <c r="V858" s="45">
        <f t="shared" si="13"/>
        <v>1</v>
      </c>
      <c r="W858" s="45" t="s">
        <v>5311</v>
      </c>
    </row>
    <row r="859" spans="1:23" hidden="1">
      <c r="A859" s="2">
        <v>45906</v>
      </c>
      <c r="B859" s="1" t="s">
        <v>5312</v>
      </c>
      <c r="C859" s="1" t="s">
        <v>3233</v>
      </c>
      <c r="D859" s="1" t="s">
        <v>3090</v>
      </c>
      <c r="E859" s="1">
        <v>85281</v>
      </c>
      <c r="F859" s="1" t="s">
        <v>2730</v>
      </c>
      <c r="G859" s="1" t="s">
        <v>5179</v>
      </c>
      <c r="H859" s="4" t="s">
        <v>1304</v>
      </c>
      <c r="I859" s="5" t="s">
        <v>2412</v>
      </c>
      <c r="J859" s="5" t="s">
        <v>24</v>
      </c>
      <c r="K859" s="5" t="s">
        <v>24</v>
      </c>
      <c r="L859" s="5" t="s">
        <v>75</v>
      </c>
      <c r="M859" s="5" t="s">
        <v>24</v>
      </c>
      <c r="N859" s="5" t="s">
        <v>24</v>
      </c>
      <c r="O859" s="5" t="s">
        <v>75</v>
      </c>
      <c r="P859" s="5" t="s">
        <v>2413</v>
      </c>
      <c r="Q859" s="2">
        <v>45964</v>
      </c>
      <c r="V859" s="45">
        <f t="shared" si="13"/>
        <v>1</v>
      </c>
      <c r="W859" s="45" t="s">
        <v>5313</v>
      </c>
    </row>
    <row r="860" spans="1:23" hidden="1">
      <c r="A860" s="2">
        <v>45906</v>
      </c>
      <c r="B860" s="1" t="s">
        <v>2850</v>
      </c>
      <c r="C860" s="1" t="s">
        <v>5314</v>
      </c>
      <c r="D860" s="1" t="s">
        <v>2398</v>
      </c>
      <c r="E860" s="1">
        <v>85301</v>
      </c>
      <c r="F860" s="1" t="s">
        <v>2730</v>
      </c>
      <c r="G860" s="1" t="s">
        <v>5179</v>
      </c>
      <c r="H860" s="4" t="s">
        <v>2401</v>
      </c>
      <c r="V860" s="45">
        <f t="shared" si="13"/>
        <v>1</v>
      </c>
      <c r="W860" s="45" t="s">
        <v>5315</v>
      </c>
    </row>
    <row r="861" spans="1:23" hidden="1">
      <c r="A861" s="2">
        <v>45906</v>
      </c>
      <c r="B861" s="1" t="s">
        <v>5316</v>
      </c>
      <c r="C861" s="1" t="s">
        <v>2924</v>
      </c>
      <c r="D861" s="1" t="s">
        <v>2439</v>
      </c>
      <c r="E861" s="1">
        <v>85004</v>
      </c>
      <c r="F861" s="1" t="s">
        <v>2730</v>
      </c>
      <c r="G861" s="1" t="s">
        <v>5179</v>
      </c>
      <c r="H861" s="4" t="s">
        <v>287</v>
      </c>
      <c r="I861" s="5" t="s">
        <v>2514</v>
      </c>
      <c r="J861" s="5" t="s">
        <v>24</v>
      </c>
      <c r="K861" s="5" t="s">
        <v>24</v>
      </c>
      <c r="L861" s="5" t="s">
        <v>5317</v>
      </c>
      <c r="M861" s="5" t="s">
        <v>24</v>
      </c>
      <c r="N861" s="5" t="s">
        <v>24</v>
      </c>
      <c r="O861" s="5" t="s">
        <v>75</v>
      </c>
      <c r="P861" s="5" t="s">
        <v>2413</v>
      </c>
      <c r="Q861" s="2">
        <v>45964</v>
      </c>
      <c r="V861" s="45">
        <f t="shared" si="13"/>
        <v>1</v>
      </c>
      <c r="W861" s="45" t="s">
        <v>5318</v>
      </c>
    </row>
    <row r="862" spans="1:23" hidden="1">
      <c r="A862" s="2">
        <v>45906</v>
      </c>
      <c r="B862" s="1" t="s">
        <v>5319</v>
      </c>
      <c r="C862" s="1" t="s">
        <v>5320</v>
      </c>
      <c r="D862" s="1" t="s">
        <v>2605</v>
      </c>
      <c r="E862" s="1">
        <v>85382</v>
      </c>
      <c r="F862" s="1" t="s">
        <v>2730</v>
      </c>
      <c r="G862" s="1" t="s">
        <v>5179</v>
      </c>
      <c r="H862" s="4" t="s">
        <v>1306</v>
      </c>
      <c r="I862" s="5" t="s">
        <v>2412</v>
      </c>
      <c r="J862" s="5" t="s">
        <v>24</v>
      </c>
      <c r="K862" s="5" t="s">
        <v>24</v>
      </c>
      <c r="L862" s="5" t="s">
        <v>75</v>
      </c>
      <c r="M862" s="5" t="s">
        <v>24</v>
      </c>
      <c r="N862" s="5" t="s">
        <v>24</v>
      </c>
      <c r="O862" s="5" t="s">
        <v>75</v>
      </c>
      <c r="P862" s="5" t="s">
        <v>2413</v>
      </c>
      <c r="Q862" s="2">
        <v>45964</v>
      </c>
      <c r="V862" s="45">
        <f t="shared" si="13"/>
        <v>1</v>
      </c>
      <c r="W862" s="45" t="s">
        <v>5321</v>
      </c>
    </row>
    <row r="863" spans="1:23" ht="11.45" hidden="1" customHeight="1">
      <c r="A863" s="2">
        <v>45906</v>
      </c>
      <c r="B863" s="1" t="s">
        <v>5322</v>
      </c>
      <c r="C863" s="1" t="s">
        <v>5323</v>
      </c>
      <c r="D863" s="1" t="s">
        <v>2439</v>
      </c>
      <c r="E863" s="1">
        <v>85014</v>
      </c>
      <c r="F863" s="1" t="s">
        <v>2730</v>
      </c>
      <c r="G863" s="1" t="s">
        <v>5179</v>
      </c>
      <c r="H863" s="4" t="s">
        <v>289</v>
      </c>
      <c r="I863" s="5" t="s">
        <v>2597</v>
      </c>
      <c r="J863" s="5" t="s">
        <v>24</v>
      </c>
      <c r="K863" s="5" t="s">
        <v>24</v>
      </c>
      <c r="L863" s="5" t="s">
        <v>5324</v>
      </c>
      <c r="M863" s="5" t="s">
        <v>24</v>
      </c>
      <c r="N863" s="5" t="s">
        <v>24</v>
      </c>
      <c r="O863" s="5" t="s">
        <v>75</v>
      </c>
      <c r="P863" s="5" t="s">
        <v>2413</v>
      </c>
      <c r="Q863" s="2">
        <v>45964</v>
      </c>
      <c r="V863" s="45">
        <f t="shared" si="13"/>
        <v>1</v>
      </c>
      <c r="W863" s="45" t="s">
        <v>5325</v>
      </c>
    </row>
    <row r="864" spans="1:23" ht="11.45" hidden="1" customHeight="1">
      <c r="A864" s="2">
        <v>45906</v>
      </c>
      <c r="B864" s="1" t="s">
        <v>5326</v>
      </c>
      <c r="C864" s="1" t="s">
        <v>5327</v>
      </c>
      <c r="D864" s="1" t="s">
        <v>2605</v>
      </c>
      <c r="E864" s="1">
        <v>85383</v>
      </c>
      <c r="F864" s="1" t="s">
        <v>5328</v>
      </c>
      <c r="G864" s="1" t="s">
        <v>5179</v>
      </c>
      <c r="H864" s="4" t="s">
        <v>291</v>
      </c>
      <c r="I864" s="5" t="s">
        <v>2420</v>
      </c>
      <c r="J864" s="5" t="s">
        <v>24</v>
      </c>
      <c r="K864" s="5" t="s">
        <v>24</v>
      </c>
      <c r="L864" s="5" t="s">
        <v>5329</v>
      </c>
      <c r="M864" s="5" t="s">
        <v>24</v>
      </c>
      <c r="N864" s="5" t="s">
        <v>24</v>
      </c>
      <c r="O864" s="5" t="s">
        <v>75</v>
      </c>
      <c r="P864" s="2">
        <v>45939</v>
      </c>
      <c r="Q864" s="2">
        <v>45964</v>
      </c>
      <c r="R864" s="1" t="s">
        <v>5330</v>
      </c>
      <c r="V864" s="45">
        <f t="shared" si="13"/>
        <v>1</v>
      </c>
      <c r="W864" s="45" t="s">
        <v>5331</v>
      </c>
    </row>
    <row r="865" spans="1:23" ht="11.45" hidden="1" customHeight="1">
      <c r="A865" s="2">
        <v>45906</v>
      </c>
      <c r="B865" s="1" t="s">
        <v>5332</v>
      </c>
      <c r="C865" s="1" t="s">
        <v>5333</v>
      </c>
      <c r="D865" s="1" t="s">
        <v>2445</v>
      </c>
      <c r="E865" s="1">
        <v>85331</v>
      </c>
      <c r="F865" s="1" t="s">
        <v>2730</v>
      </c>
      <c r="G865" s="1" t="s">
        <v>5179</v>
      </c>
      <c r="H865" s="4" t="s">
        <v>1308</v>
      </c>
      <c r="I865" s="5" t="s">
        <v>2597</v>
      </c>
      <c r="J865" s="5" t="s">
        <v>24</v>
      </c>
      <c r="K865" s="5" t="s">
        <v>24</v>
      </c>
      <c r="L865" s="5" t="s">
        <v>75</v>
      </c>
      <c r="M865" s="5" t="s">
        <v>24</v>
      </c>
      <c r="N865" s="5" t="s">
        <v>24</v>
      </c>
      <c r="O865" s="5" t="s">
        <v>75</v>
      </c>
      <c r="P865" s="5" t="s">
        <v>2413</v>
      </c>
      <c r="Q865" s="2">
        <v>45964</v>
      </c>
      <c r="V865" s="45">
        <f t="shared" si="13"/>
        <v>1</v>
      </c>
      <c r="W865" s="45" t="s">
        <v>5334</v>
      </c>
    </row>
    <row r="866" spans="1:23" ht="11.45" hidden="1" customHeight="1">
      <c r="A866" s="2">
        <v>45906</v>
      </c>
      <c r="B866" s="1" t="s">
        <v>5335</v>
      </c>
      <c r="C866" s="1" t="s">
        <v>2444</v>
      </c>
      <c r="D866" s="1" t="s">
        <v>2498</v>
      </c>
      <c r="E866" s="1">
        <v>85378</v>
      </c>
      <c r="F866" s="1" t="s">
        <v>3215</v>
      </c>
      <c r="G866" s="1" t="s">
        <v>5179</v>
      </c>
      <c r="H866" s="4" t="s">
        <v>1310</v>
      </c>
      <c r="I866" s="5" t="s">
        <v>2412</v>
      </c>
      <c r="J866" s="5" t="s">
        <v>24</v>
      </c>
      <c r="K866" s="5" t="s">
        <v>24</v>
      </c>
      <c r="L866" s="5" t="s">
        <v>75</v>
      </c>
      <c r="M866" s="5" t="s">
        <v>24</v>
      </c>
      <c r="N866" s="5" t="s">
        <v>24</v>
      </c>
      <c r="O866" s="5" t="s">
        <v>75</v>
      </c>
      <c r="P866" s="5" t="s">
        <v>2413</v>
      </c>
      <c r="Q866" s="2">
        <v>45964</v>
      </c>
      <c r="R866" s="1" t="s">
        <v>5336</v>
      </c>
      <c r="V866" s="45">
        <f t="shared" si="13"/>
        <v>1</v>
      </c>
      <c r="W866" s="45" t="s">
        <v>5337</v>
      </c>
    </row>
    <row r="867" spans="1:23" ht="11.45" hidden="1" customHeight="1">
      <c r="A867" s="2">
        <v>45906</v>
      </c>
      <c r="B867" s="1" t="s">
        <v>5338</v>
      </c>
      <c r="C867" s="1" t="s">
        <v>2792</v>
      </c>
      <c r="D867" s="1" t="s">
        <v>2439</v>
      </c>
      <c r="E867" s="1">
        <v>85083</v>
      </c>
      <c r="F867" s="1" t="s">
        <v>2406</v>
      </c>
      <c r="G867" s="1" t="s">
        <v>5179</v>
      </c>
      <c r="H867" s="4" t="s">
        <v>1312</v>
      </c>
      <c r="I867" s="5" t="s">
        <v>2412</v>
      </c>
      <c r="J867" s="5" t="s">
        <v>24</v>
      </c>
      <c r="K867" s="5" t="s">
        <v>24</v>
      </c>
      <c r="L867" s="5" t="s">
        <v>75</v>
      </c>
      <c r="M867" s="5" t="s">
        <v>24</v>
      </c>
      <c r="N867" s="5" t="s">
        <v>24</v>
      </c>
      <c r="O867" s="5" t="s">
        <v>75</v>
      </c>
      <c r="P867" s="5" t="s">
        <v>2413</v>
      </c>
      <c r="Q867" s="2">
        <v>45964</v>
      </c>
      <c r="V867" s="45">
        <f t="shared" si="13"/>
        <v>1</v>
      </c>
      <c r="W867" s="45" t="s">
        <v>5339</v>
      </c>
    </row>
    <row r="868" spans="1:23" ht="11.45" hidden="1" customHeight="1">
      <c r="A868" s="2">
        <v>45906</v>
      </c>
      <c r="B868" s="1" t="s">
        <v>5340</v>
      </c>
      <c r="C868" s="1" t="s">
        <v>3027</v>
      </c>
      <c r="D868" s="1" t="s">
        <v>2445</v>
      </c>
      <c r="E868" s="1">
        <v>85331</v>
      </c>
      <c r="F868" s="1" t="s">
        <v>2730</v>
      </c>
      <c r="G868" s="1" t="s">
        <v>5179</v>
      </c>
      <c r="H868" s="4" t="s">
        <v>2401</v>
      </c>
      <c r="V868" s="45">
        <f t="shared" si="13"/>
        <v>1</v>
      </c>
      <c r="W868" s="45" t="s">
        <v>5341</v>
      </c>
    </row>
    <row r="869" spans="1:23" ht="11.45" hidden="1" customHeight="1">
      <c r="A869" s="2">
        <v>45906</v>
      </c>
      <c r="B869" s="1" t="s">
        <v>3107</v>
      </c>
      <c r="C869" s="1" t="s">
        <v>4568</v>
      </c>
      <c r="D869" s="1" t="s">
        <v>2513</v>
      </c>
      <c r="E869" s="1">
        <v>85260</v>
      </c>
      <c r="F869" s="1" t="s">
        <v>2730</v>
      </c>
      <c r="G869" s="1" t="s">
        <v>5179</v>
      </c>
      <c r="H869" s="4" t="s">
        <v>293</v>
      </c>
      <c r="I869" s="5" t="s">
        <v>2451</v>
      </c>
      <c r="J869" s="5" t="s">
        <v>24</v>
      </c>
      <c r="K869" s="5" t="s">
        <v>24</v>
      </c>
      <c r="L869" s="5" t="s">
        <v>2831</v>
      </c>
      <c r="M869" s="5" t="s">
        <v>24</v>
      </c>
      <c r="N869" s="5" t="s">
        <v>24</v>
      </c>
      <c r="O869" s="5" t="s">
        <v>75</v>
      </c>
      <c r="P869" s="5" t="s">
        <v>2413</v>
      </c>
      <c r="Q869" s="2">
        <v>45964</v>
      </c>
      <c r="V869" s="45">
        <f t="shared" si="13"/>
        <v>1</v>
      </c>
      <c r="W869" s="45" t="s">
        <v>5342</v>
      </c>
    </row>
    <row r="870" spans="1:23" ht="11.45" hidden="1" customHeight="1">
      <c r="A870" s="2">
        <v>45906</v>
      </c>
      <c r="B870" s="1" t="s">
        <v>5343</v>
      </c>
      <c r="C870" s="1" t="s">
        <v>4637</v>
      </c>
      <c r="D870" s="1" t="s">
        <v>2513</v>
      </c>
      <c r="E870" s="1">
        <v>85260</v>
      </c>
      <c r="F870" s="1" t="s">
        <v>2406</v>
      </c>
      <c r="G870" s="1" t="s">
        <v>5179</v>
      </c>
      <c r="H870" s="4" t="s">
        <v>1314</v>
      </c>
      <c r="I870" s="5" t="s">
        <v>2412</v>
      </c>
      <c r="J870" s="5" t="s">
        <v>24</v>
      </c>
      <c r="K870" s="5" t="s">
        <v>24</v>
      </c>
      <c r="L870" s="5" t="s">
        <v>75</v>
      </c>
      <c r="M870" s="5" t="s">
        <v>24</v>
      </c>
      <c r="N870" s="5" t="s">
        <v>24</v>
      </c>
      <c r="O870" s="5" t="s">
        <v>75</v>
      </c>
      <c r="P870" s="5" t="s">
        <v>2413</v>
      </c>
      <c r="Q870" s="2">
        <v>45964</v>
      </c>
      <c r="V870" s="45">
        <f t="shared" si="13"/>
        <v>1</v>
      </c>
      <c r="W870" s="45" t="s">
        <v>5344</v>
      </c>
    </row>
    <row r="871" spans="1:23" ht="11.45" hidden="1" customHeight="1">
      <c r="A871" s="2">
        <v>45906</v>
      </c>
      <c r="B871" s="1" t="s">
        <v>5345</v>
      </c>
      <c r="C871" s="1" t="s">
        <v>3729</v>
      </c>
      <c r="D871" s="1" t="s">
        <v>2513</v>
      </c>
      <c r="E871" s="1">
        <v>85260</v>
      </c>
      <c r="F871" s="1" t="s">
        <v>2730</v>
      </c>
      <c r="G871" s="1" t="s">
        <v>5179</v>
      </c>
      <c r="H871" s="4" t="s">
        <v>1316</v>
      </c>
      <c r="I871" s="5" t="s">
        <v>2514</v>
      </c>
      <c r="J871" s="5" t="s">
        <v>24</v>
      </c>
      <c r="K871" s="5" t="s">
        <v>24</v>
      </c>
      <c r="L871" s="5" t="s">
        <v>75</v>
      </c>
      <c r="M871" s="5" t="s">
        <v>24</v>
      </c>
      <c r="N871" s="5" t="s">
        <v>24</v>
      </c>
      <c r="O871" s="5" t="s">
        <v>75</v>
      </c>
      <c r="P871" s="5" t="s">
        <v>2413</v>
      </c>
      <c r="Q871" s="2">
        <v>45964</v>
      </c>
      <c r="V871" s="45">
        <f t="shared" si="13"/>
        <v>1</v>
      </c>
      <c r="W871" s="45" t="s">
        <v>5346</v>
      </c>
    </row>
    <row r="872" spans="1:23" ht="11.45" hidden="1" customHeight="1">
      <c r="A872" s="2">
        <v>45906</v>
      </c>
      <c r="B872" s="1" t="s">
        <v>2760</v>
      </c>
      <c r="C872" s="1" t="s">
        <v>2538</v>
      </c>
      <c r="D872" s="1" t="s">
        <v>2439</v>
      </c>
      <c r="E872" s="1">
        <v>85085</v>
      </c>
      <c r="F872" s="1" t="s">
        <v>5347</v>
      </c>
      <c r="G872" s="1" t="s">
        <v>5179</v>
      </c>
      <c r="H872" s="4" t="s">
        <v>1318</v>
      </c>
      <c r="I872" s="5" t="s">
        <v>2412</v>
      </c>
      <c r="J872" s="5" t="s">
        <v>24</v>
      </c>
      <c r="K872" s="5" t="s">
        <v>24</v>
      </c>
      <c r="L872" s="5" t="s">
        <v>75</v>
      </c>
      <c r="M872" s="5" t="s">
        <v>24</v>
      </c>
      <c r="N872" s="5" t="s">
        <v>24</v>
      </c>
      <c r="O872" s="5" t="s">
        <v>75</v>
      </c>
      <c r="P872" s="5" t="s">
        <v>2413</v>
      </c>
      <c r="Q872" s="2">
        <v>45964</v>
      </c>
      <c r="V872" s="45">
        <f t="shared" si="13"/>
        <v>1</v>
      </c>
      <c r="W872" s="45" t="s">
        <v>5348</v>
      </c>
    </row>
    <row r="873" spans="1:23" ht="11.45" hidden="1" customHeight="1">
      <c r="A873" s="2">
        <v>45906</v>
      </c>
      <c r="B873" s="1" t="s">
        <v>5349</v>
      </c>
      <c r="C873" s="1" t="s">
        <v>5350</v>
      </c>
      <c r="D873" s="1" t="s">
        <v>2564</v>
      </c>
      <c r="E873" s="1">
        <v>85338</v>
      </c>
      <c r="F873" s="1" t="s">
        <v>5351</v>
      </c>
      <c r="G873" s="1" t="s">
        <v>5179</v>
      </c>
      <c r="H873" s="4" t="s">
        <v>2401</v>
      </c>
      <c r="V873" s="45">
        <f t="shared" si="13"/>
        <v>1</v>
      </c>
      <c r="W873" s="45" t="s">
        <v>5352</v>
      </c>
    </row>
    <row r="874" spans="1:23" ht="11.45" hidden="1" customHeight="1">
      <c r="A874" s="2">
        <v>45906</v>
      </c>
      <c r="B874" s="1" t="s">
        <v>5353</v>
      </c>
      <c r="C874" s="1" t="s">
        <v>3236</v>
      </c>
      <c r="D874" s="1" t="s">
        <v>5354</v>
      </c>
      <c r="E874" s="1">
        <v>85122</v>
      </c>
      <c r="F874" s="1" t="s">
        <v>5355</v>
      </c>
      <c r="G874" s="1" t="s">
        <v>5179</v>
      </c>
      <c r="H874" s="4" t="s">
        <v>1320</v>
      </c>
      <c r="I874" s="5" t="s">
        <v>2412</v>
      </c>
      <c r="J874" s="5" t="s">
        <v>24</v>
      </c>
      <c r="K874" s="5" t="s">
        <v>24</v>
      </c>
      <c r="L874" s="5" t="s">
        <v>75</v>
      </c>
      <c r="M874" s="5" t="s">
        <v>24</v>
      </c>
      <c r="N874" s="5" t="s">
        <v>24</v>
      </c>
      <c r="O874" s="5" t="s">
        <v>75</v>
      </c>
      <c r="P874" s="5" t="s">
        <v>2413</v>
      </c>
      <c r="Q874" s="2">
        <v>45964</v>
      </c>
      <c r="V874" s="45">
        <f t="shared" si="13"/>
        <v>1</v>
      </c>
      <c r="W874" s="45" t="s">
        <v>5356</v>
      </c>
    </row>
    <row r="875" spans="1:23" ht="11.45" hidden="1" customHeight="1">
      <c r="A875" s="2">
        <v>45906</v>
      </c>
      <c r="B875" s="1" t="s">
        <v>5357</v>
      </c>
      <c r="C875" s="1" t="s">
        <v>5358</v>
      </c>
      <c r="D875" s="1" t="s">
        <v>2605</v>
      </c>
      <c r="E875" s="1">
        <v>85383</v>
      </c>
      <c r="F875" s="1" t="s">
        <v>2730</v>
      </c>
      <c r="G875" s="1" t="s">
        <v>5179</v>
      </c>
      <c r="H875" s="4" t="s">
        <v>295</v>
      </c>
      <c r="I875" s="5" t="s">
        <v>2432</v>
      </c>
      <c r="J875" s="5" t="s">
        <v>24</v>
      </c>
      <c r="K875" s="5" t="s">
        <v>24</v>
      </c>
      <c r="L875" s="7" t="s">
        <v>5359</v>
      </c>
      <c r="M875" s="5" t="s">
        <v>24</v>
      </c>
      <c r="N875" s="5" t="s">
        <v>24</v>
      </c>
      <c r="O875" s="5" t="s">
        <v>75</v>
      </c>
      <c r="P875" s="2">
        <v>45939</v>
      </c>
      <c r="Q875" s="2">
        <v>45964</v>
      </c>
      <c r="R875" s="1" t="s">
        <v>5299</v>
      </c>
      <c r="V875" s="45">
        <f t="shared" si="13"/>
        <v>1</v>
      </c>
      <c r="W875" s="45" t="s">
        <v>5360</v>
      </c>
    </row>
    <row r="876" spans="1:23" ht="11.45" hidden="1" customHeight="1">
      <c r="A876" s="2">
        <v>45906</v>
      </c>
      <c r="B876" s="1" t="s">
        <v>5361</v>
      </c>
      <c r="C876" s="1" t="s">
        <v>2977</v>
      </c>
      <c r="D876" s="1" t="s">
        <v>2398</v>
      </c>
      <c r="E876" s="1">
        <v>85307</v>
      </c>
      <c r="F876" s="1" t="s">
        <v>5362</v>
      </c>
      <c r="G876" s="1" t="s">
        <v>5179</v>
      </c>
      <c r="H876" s="4" t="s">
        <v>1322</v>
      </c>
      <c r="I876" s="5" t="s">
        <v>2420</v>
      </c>
      <c r="J876" s="5" t="s">
        <v>24</v>
      </c>
      <c r="K876" s="5" t="s">
        <v>24</v>
      </c>
      <c r="L876" s="5" t="s">
        <v>75</v>
      </c>
      <c r="M876" s="5" t="s">
        <v>24</v>
      </c>
      <c r="N876" s="5" t="s">
        <v>24</v>
      </c>
      <c r="O876" s="5" t="s">
        <v>75</v>
      </c>
      <c r="P876" s="5" t="s">
        <v>2413</v>
      </c>
      <c r="Q876" s="2">
        <v>45964</v>
      </c>
      <c r="V876" s="45">
        <f t="shared" si="13"/>
        <v>1</v>
      </c>
      <c r="W876" s="45" t="s">
        <v>5363</v>
      </c>
    </row>
    <row r="877" spans="1:23" ht="11.45" hidden="1" customHeight="1">
      <c r="A877" s="2">
        <v>45906</v>
      </c>
      <c r="B877" s="1" t="s">
        <v>5364</v>
      </c>
      <c r="C877" s="1" t="s">
        <v>2574</v>
      </c>
      <c r="D877" s="1" t="s">
        <v>2439</v>
      </c>
      <c r="E877" s="1">
        <v>85053</v>
      </c>
      <c r="F877" s="1" t="s">
        <v>2730</v>
      </c>
      <c r="G877" s="1" t="s">
        <v>5179</v>
      </c>
      <c r="H877" s="4" t="s">
        <v>1324</v>
      </c>
      <c r="I877" s="5" t="s">
        <v>2412</v>
      </c>
      <c r="J877" s="5" t="s">
        <v>24</v>
      </c>
      <c r="K877" s="5" t="s">
        <v>24</v>
      </c>
      <c r="L877" s="5" t="s">
        <v>75</v>
      </c>
      <c r="M877" s="5" t="s">
        <v>24</v>
      </c>
      <c r="N877" s="5" t="s">
        <v>24</v>
      </c>
      <c r="O877" s="5" t="s">
        <v>75</v>
      </c>
      <c r="P877" s="5" t="s">
        <v>2413</v>
      </c>
      <c r="Q877" s="2">
        <v>45964</v>
      </c>
      <c r="V877" s="45">
        <f t="shared" si="13"/>
        <v>1</v>
      </c>
      <c r="W877" s="45" t="s">
        <v>5365</v>
      </c>
    </row>
    <row r="878" spans="1:23" ht="11.45" hidden="1" customHeight="1">
      <c r="A878" s="2">
        <v>45906</v>
      </c>
      <c r="B878" s="1" t="s">
        <v>5366</v>
      </c>
      <c r="C878" s="1" t="s">
        <v>2527</v>
      </c>
      <c r="D878" s="1" t="s">
        <v>2470</v>
      </c>
      <c r="E878" s="1">
        <v>86336</v>
      </c>
      <c r="F878" s="1" t="s">
        <v>4913</v>
      </c>
      <c r="G878" s="1" t="s">
        <v>5179</v>
      </c>
      <c r="H878" s="4" t="s">
        <v>1326</v>
      </c>
      <c r="I878" s="5" t="s">
        <v>2652</v>
      </c>
      <c r="J878" s="5" t="s">
        <v>24</v>
      </c>
      <c r="K878" s="5" t="s">
        <v>24</v>
      </c>
      <c r="L878" s="5" t="s">
        <v>2819</v>
      </c>
      <c r="M878" s="5" t="s">
        <v>24</v>
      </c>
      <c r="N878" s="5" t="s">
        <v>24</v>
      </c>
      <c r="O878" s="5" t="s">
        <v>75</v>
      </c>
      <c r="P878" s="5" t="s">
        <v>2413</v>
      </c>
      <c r="Q878" s="2">
        <v>45964</v>
      </c>
      <c r="V878" s="45">
        <f t="shared" si="13"/>
        <v>1</v>
      </c>
      <c r="W878" s="45" t="s">
        <v>5367</v>
      </c>
    </row>
    <row r="879" spans="1:23" ht="11.45" hidden="1" customHeight="1">
      <c r="A879" s="2">
        <v>45906</v>
      </c>
      <c r="B879" s="1" t="s">
        <v>5368</v>
      </c>
      <c r="C879" s="1" t="s">
        <v>4928</v>
      </c>
      <c r="D879" s="1" t="s">
        <v>2439</v>
      </c>
      <c r="E879" s="1">
        <v>85012</v>
      </c>
      <c r="F879" s="1" t="s">
        <v>2730</v>
      </c>
      <c r="G879" s="1" t="s">
        <v>5179</v>
      </c>
      <c r="H879" s="4" t="s">
        <v>297</v>
      </c>
      <c r="I879" s="5" t="s">
        <v>2412</v>
      </c>
      <c r="J879" s="5" t="s">
        <v>24</v>
      </c>
      <c r="K879" s="5" t="s">
        <v>24</v>
      </c>
      <c r="L879" s="5" t="s">
        <v>2831</v>
      </c>
      <c r="M879" s="5" t="s">
        <v>24</v>
      </c>
      <c r="N879" s="5" t="s">
        <v>24</v>
      </c>
      <c r="O879" s="5" t="s">
        <v>75</v>
      </c>
      <c r="P879" s="5" t="s">
        <v>2413</v>
      </c>
      <c r="Q879" s="2">
        <v>45964</v>
      </c>
      <c r="V879" s="45">
        <f t="shared" si="13"/>
        <v>1</v>
      </c>
      <c r="W879" s="45" t="s">
        <v>5369</v>
      </c>
    </row>
    <row r="880" spans="1:23" ht="11.45" hidden="1" customHeight="1">
      <c r="A880" s="2">
        <v>45906</v>
      </c>
      <c r="B880" s="1" t="s">
        <v>5370</v>
      </c>
      <c r="C880" s="1" t="s">
        <v>5371</v>
      </c>
      <c r="D880" s="1" t="s">
        <v>5372</v>
      </c>
      <c r="E880" s="1">
        <v>86325</v>
      </c>
      <c r="F880" s="1" t="s">
        <v>5373</v>
      </c>
      <c r="G880" s="1" t="s">
        <v>5179</v>
      </c>
      <c r="H880" s="4" t="s">
        <v>1328</v>
      </c>
      <c r="I880" s="5" t="s">
        <v>2451</v>
      </c>
      <c r="J880" s="5" t="s">
        <v>24</v>
      </c>
      <c r="K880" s="5" t="s">
        <v>24</v>
      </c>
      <c r="L880" s="5" t="s">
        <v>75</v>
      </c>
      <c r="M880" s="5" t="s">
        <v>24</v>
      </c>
      <c r="N880" s="5" t="s">
        <v>24</v>
      </c>
      <c r="O880" s="5" t="s">
        <v>75</v>
      </c>
      <c r="P880" s="5" t="s">
        <v>2413</v>
      </c>
      <c r="Q880" s="2">
        <v>45964</v>
      </c>
      <c r="V880" s="45">
        <f t="shared" si="13"/>
        <v>1</v>
      </c>
      <c r="W880" s="45" t="s">
        <v>5374</v>
      </c>
    </row>
    <row r="881" spans="1:23" ht="11.45" hidden="1" customHeight="1">
      <c r="A881" s="2">
        <v>45906</v>
      </c>
      <c r="B881" s="1" t="s">
        <v>5375</v>
      </c>
      <c r="C881" s="1" t="s">
        <v>2991</v>
      </c>
      <c r="D881" s="1" t="s">
        <v>2439</v>
      </c>
      <c r="E881" s="1">
        <v>85003</v>
      </c>
      <c r="F881" s="1" t="s">
        <v>2730</v>
      </c>
      <c r="G881" s="1" t="s">
        <v>5179</v>
      </c>
      <c r="H881" s="4" t="s">
        <v>1330</v>
      </c>
      <c r="I881" s="5" t="s">
        <v>2451</v>
      </c>
      <c r="J881" s="5" t="s">
        <v>24</v>
      </c>
      <c r="K881" s="5" t="s">
        <v>24</v>
      </c>
      <c r="L881" s="5" t="s">
        <v>75</v>
      </c>
      <c r="M881" s="5" t="s">
        <v>24</v>
      </c>
      <c r="N881" s="5" t="s">
        <v>24</v>
      </c>
      <c r="O881" s="5" t="s">
        <v>75</v>
      </c>
      <c r="P881" s="5" t="s">
        <v>2413</v>
      </c>
      <c r="Q881" s="2">
        <v>45964</v>
      </c>
      <c r="V881" s="45">
        <f t="shared" si="13"/>
        <v>1</v>
      </c>
      <c r="W881" s="45" t="s">
        <v>5376</v>
      </c>
    </row>
    <row r="882" spans="1:23" ht="11.45" hidden="1" customHeight="1">
      <c r="A882" s="2">
        <v>45906</v>
      </c>
      <c r="B882" s="1" t="s">
        <v>5377</v>
      </c>
      <c r="C882" s="1" t="s">
        <v>3065</v>
      </c>
      <c r="D882" s="1" t="s">
        <v>2605</v>
      </c>
      <c r="E882" s="1">
        <v>85383</v>
      </c>
      <c r="F882" s="1" t="s">
        <v>5378</v>
      </c>
      <c r="G882" s="1" t="s">
        <v>5179</v>
      </c>
      <c r="H882" s="4" t="s">
        <v>1332</v>
      </c>
      <c r="I882" s="5" t="s">
        <v>2848</v>
      </c>
      <c r="J882" s="5" t="s">
        <v>75</v>
      </c>
      <c r="K882" s="5" t="s">
        <v>24</v>
      </c>
      <c r="L882" s="5" t="s">
        <v>2819</v>
      </c>
      <c r="M882" s="5" t="s">
        <v>24</v>
      </c>
      <c r="N882" s="5" t="s">
        <v>24</v>
      </c>
      <c r="O882" s="5" t="s">
        <v>75</v>
      </c>
      <c r="P882" s="5" t="s">
        <v>2413</v>
      </c>
      <c r="Q882" s="2">
        <v>45964</v>
      </c>
      <c r="V882" s="45">
        <f t="shared" si="13"/>
        <v>1</v>
      </c>
      <c r="W882" s="45" t="s">
        <v>5379</v>
      </c>
    </row>
    <row r="883" spans="1:23" ht="11.45" hidden="1" customHeight="1">
      <c r="A883" s="2">
        <v>45906</v>
      </c>
      <c r="B883" s="1" t="s">
        <v>5380</v>
      </c>
      <c r="C883" s="1" t="s">
        <v>5381</v>
      </c>
      <c r="D883" s="1" t="s">
        <v>2564</v>
      </c>
      <c r="E883" s="1">
        <v>85338</v>
      </c>
      <c r="F883" s="1" t="s">
        <v>2406</v>
      </c>
      <c r="G883" s="1" t="s">
        <v>5179</v>
      </c>
      <c r="H883" s="4" t="s">
        <v>1334</v>
      </c>
      <c r="I883" s="5" t="s">
        <v>2412</v>
      </c>
      <c r="J883" s="5" t="s">
        <v>24</v>
      </c>
      <c r="K883" s="5" t="s">
        <v>24</v>
      </c>
      <c r="L883" s="5" t="s">
        <v>75</v>
      </c>
      <c r="M883" s="5" t="s">
        <v>24</v>
      </c>
      <c r="N883" s="5" t="s">
        <v>24</v>
      </c>
      <c r="O883" s="5" t="s">
        <v>75</v>
      </c>
      <c r="P883" s="5" t="s">
        <v>2413</v>
      </c>
      <c r="Q883" s="2">
        <v>45964</v>
      </c>
      <c r="V883" s="45">
        <f t="shared" si="13"/>
        <v>1</v>
      </c>
      <c r="W883" s="45" t="s">
        <v>5382</v>
      </c>
    </row>
    <row r="884" spans="1:23" ht="11.45" hidden="1" customHeight="1">
      <c r="A884" s="2">
        <v>45906</v>
      </c>
      <c r="B884" s="1" t="s">
        <v>5383</v>
      </c>
      <c r="C884" s="1" t="s">
        <v>5384</v>
      </c>
      <c r="D884" s="1" t="s">
        <v>2439</v>
      </c>
      <c r="E884" s="1">
        <v>85032</v>
      </c>
      <c r="F884" s="1" t="s">
        <v>2730</v>
      </c>
      <c r="G884" s="1" t="s">
        <v>5179</v>
      </c>
      <c r="H884" s="21" t="s">
        <v>5385</v>
      </c>
      <c r="I884" s="5" t="s">
        <v>2432</v>
      </c>
      <c r="J884" s="5" t="s">
        <v>24</v>
      </c>
      <c r="K884" s="5" t="s">
        <v>24</v>
      </c>
      <c r="L884" s="5" t="s">
        <v>5386</v>
      </c>
      <c r="M884" s="5" t="s">
        <v>24</v>
      </c>
      <c r="N884" s="5" t="s">
        <v>24</v>
      </c>
      <c r="O884" s="5" t="s">
        <v>75</v>
      </c>
      <c r="P884" s="5" t="s">
        <v>2413</v>
      </c>
      <c r="Q884" s="2">
        <v>45964</v>
      </c>
      <c r="V884" s="45">
        <f t="shared" si="13"/>
        <v>1</v>
      </c>
      <c r="W884" s="45" t="s">
        <v>5387</v>
      </c>
    </row>
    <row r="885" spans="1:23" ht="11.45" hidden="1" customHeight="1">
      <c r="A885" s="2">
        <v>45906</v>
      </c>
      <c r="B885" s="1" t="s">
        <v>5388</v>
      </c>
      <c r="C885" s="1" t="s">
        <v>5389</v>
      </c>
      <c r="D885" s="1" t="s">
        <v>2439</v>
      </c>
      <c r="E885" s="1">
        <v>85014</v>
      </c>
      <c r="F885" s="1" t="s">
        <v>5390</v>
      </c>
      <c r="G885" s="1" t="s">
        <v>5179</v>
      </c>
      <c r="H885" s="4" t="s">
        <v>1336</v>
      </c>
      <c r="I885" s="5" t="s">
        <v>2451</v>
      </c>
      <c r="J885" s="5" t="s">
        <v>24</v>
      </c>
      <c r="K885" s="5" t="s">
        <v>24</v>
      </c>
      <c r="L885" s="5" t="s">
        <v>75</v>
      </c>
      <c r="M885" s="5" t="s">
        <v>24</v>
      </c>
      <c r="N885" s="5" t="s">
        <v>24</v>
      </c>
      <c r="O885" s="5" t="s">
        <v>75</v>
      </c>
      <c r="P885" s="5" t="s">
        <v>2413</v>
      </c>
      <c r="Q885" s="2">
        <v>45964</v>
      </c>
      <c r="V885" s="45">
        <f t="shared" si="13"/>
        <v>1</v>
      </c>
      <c r="W885" s="45" t="s">
        <v>5391</v>
      </c>
    </row>
    <row r="886" spans="1:23" ht="11.45" hidden="1" customHeight="1">
      <c r="A886" s="2">
        <v>45906</v>
      </c>
      <c r="B886" s="1" t="s">
        <v>5392</v>
      </c>
      <c r="C886" s="1" t="s">
        <v>5393</v>
      </c>
      <c r="D886" s="1" t="s">
        <v>2498</v>
      </c>
      <c r="E886" s="1">
        <v>85388</v>
      </c>
      <c r="F886" s="1" t="s">
        <v>2730</v>
      </c>
      <c r="G886" s="1" t="s">
        <v>5394</v>
      </c>
      <c r="H886" s="4" t="s">
        <v>1338</v>
      </c>
      <c r="I886" s="5" t="s">
        <v>2420</v>
      </c>
      <c r="J886" s="5" t="s">
        <v>24</v>
      </c>
      <c r="K886" s="5" t="s">
        <v>24</v>
      </c>
      <c r="L886" s="5" t="s">
        <v>4282</v>
      </c>
      <c r="M886" s="5" t="s">
        <v>24</v>
      </c>
      <c r="N886" s="5" t="s">
        <v>24</v>
      </c>
      <c r="O886" s="5" t="s">
        <v>75</v>
      </c>
      <c r="P886" s="5" t="s">
        <v>2413</v>
      </c>
      <c r="Q886" s="2">
        <v>45960</v>
      </c>
      <c r="R886" s="1" t="s">
        <v>5395</v>
      </c>
      <c r="V886" s="45">
        <f t="shared" si="13"/>
        <v>1</v>
      </c>
      <c r="W886" s="45" t="s">
        <v>5396</v>
      </c>
    </row>
    <row r="887" spans="1:23" ht="11.45" hidden="1" customHeight="1">
      <c r="A887" s="2">
        <v>45906</v>
      </c>
      <c r="B887" s="1" t="s">
        <v>5397</v>
      </c>
      <c r="C887" s="1" t="s">
        <v>2878</v>
      </c>
      <c r="D887" s="1" t="s">
        <v>2498</v>
      </c>
      <c r="E887" s="1">
        <v>85379</v>
      </c>
      <c r="F887" s="1" t="s">
        <v>5398</v>
      </c>
      <c r="G887" s="1" t="s">
        <v>5179</v>
      </c>
      <c r="H887" s="4" t="s">
        <v>2401</v>
      </c>
      <c r="V887" s="45">
        <f t="shared" si="13"/>
        <v>1</v>
      </c>
      <c r="W887" s="45" t="s">
        <v>5399</v>
      </c>
    </row>
    <row r="888" spans="1:23" ht="11.45" hidden="1" customHeight="1">
      <c r="A888" s="2">
        <v>45906</v>
      </c>
      <c r="B888" s="1" t="s">
        <v>5400</v>
      </c>
      <c r="C888" s="1" t="s">
        <v>5401</v>
      </c>
      <c r="D888" s="1" t="s">
        <v>2605</v>
      </c>
      <c r="E888" s="1">
        <v>85383</v>
      </c>
      <c r="F888" s="1" t="s">
        <v>2399</v>
      </c>
      <c r="G888" s="1" t="s">
        <v>5179</v>
      </c>
      <c r="H888" s="21" t="s">
        <v>5402</v>
      </c>
      <c r="I888" s="5" t="s">
        <v>2412</v>
      </c>
      <c r="J888" s="5" t="s">
        <v>24</v>
      </c>
      <c r="K888" s="5" t="s">
        <v>24</v>
      </c>
      <c r="L888" s="5" t="s">
        <v>75</v>
      </c>
      <c r="M888" s="5" t="s">
        <v>24</v>
      </c>
      <c r="N888" s="5" t="s">
        <v>24</v>
      </c>
      <c r="O888" s="5" t="s">
        <v>75</v>
      </c>
      <c r="P888" s="5" t="s">
        <v>2413</v>
      </c>
      <c r="Q888" s="2">
        <v>45964</v>
      </c>
      <c r="V888" s="45">
        <f t="shared" si="13"/>
        <v>1</v>
      </c>
      <c r="W888" s="45" t="s">
        <v>5403</v>
      </c>
    </row>
    <row r="889" spans="1:23" ht="11.45" hidden="1" customHeight="1">
      <c r="A889" s="2">
        <v>45907</v>
      </c>
      <c r="B889" s="1" t="s">
        <v>5404</v>
      </c>
      <c r="C889" s="1" t="s">
        <v>5405</v>
      </c>
      <c r="D889" s="1" t="s">
        <v>3073</v>
      </c>
      <c r="E889" s="1">
        <v>85364</v>
      </c>
      <c r="F889" s="1" t="s">
        <v>2730</v>
      </c>
      <c r="G889" s="1" t="s">
        <v>5179</v>
      </c>
      <c r="H889" s="4" t="s">
        <v>2613</v>
      </c>
      <c r="V889" s="45">
        <f t="shared" si="13"/>
        <v>1</v>
      </c>
      <c r="W889" s="45" t="s">
        <v>5406</v>
      </c>
    </row>
    <row r="890" spans="1:23" ht="11.45" hidden="1" customHeight="1">
      <c r="A890" s="2">
        <v>45907</v>
      </c>
      <c r="B890" s="1" t="s">
        <v>5407</v>
      </c>
      <c r="C890" s="1" t="s">
        <v>2733</v>
      </c>
      <c r="D890" s="1" t="s">
        <v>2513</v>
      </c>
      <c r="E890" s="1">
        <v>85254</v>
      </c>
      <c r="F890" s="1" t="s">
        <v>5408</v>
      </c>
      <c r="G890" s="1" t="s">
        <v>5179</v>
      </c>
      <c r="H890" s="4" t="s">
        <v>1340</v>
      </c>
      <c r="I890" s="5" t="s">
        <v>2412</v>
      </c>
      <c r="J890" s="5" t="s">
        <v>24</v>
      </c>
      <c r="K890" s="5" t="s">
        <v>24</v>
      </c>
      <c r="L890" s="5" t="s">
        <v>75</v>
      </c>
      <c r="M890" s="5" t="s">
        <v>24</v>
      </c>
      <c r="N890" s="5" t="s">
        <v>24</v>
      </c>
      <c r="O890" s="5" t="s">
        <v>75</v>
      </c>
      <c r="P890" s="5" t="s">
        <v>2413</v>
      </c>
      <c r="Q890" s="2">
        <v>45964</v>
      </c>
      <c r="V890" s="45">
        <f t="shared" si="13"/>
        <v>1</v>
      </c>
      <c r="W890" s="45" t="s">
        <v>5409</v>
      </c>
    </row>
    <row r="891" spans="1:23" ht="11.45" hidden="1" customHeight="1">
      <c r="A891" s="2">
        <v>45907</v>
      </c>
      <c r="B891" s="1" t="s">
        <v>5410</v>
      </c>
      <c r="C891" s="1" t="s">
        <v>5411</v>
      </c>
      <c r="D891" s="1" t="s">
        <v>2605</v>
      </c>
      <c r="E891" s="1">
        <v>85382</v>
      </c>
      <c r="F891" s="1" t="s">
        <v>2730</v>
      </c>
      <c r="G891" s="1" t="s">
        <v>5179</v>
      </c>
      <c r="H891" s="4" t="s">
        <v>299</v>
      </c>
      <c r="I891" s="5" t="s">
        <v>2597</v>
      </c>
      <c r="J891" s="5" t="s">
        <v>24</v>
      </c>
      <c r="K891" s="5" t="s">
        <v>24</v>
      </c>
      <c r="L891" s="7" t="s">
        <v>5412</v>
      </c>
      <c r="M891" s="5" t="s">
        <v>24</v>
      </c>
      <c r="N891" s="5" t="s">
        <v>24</v>
      </c>
      <c r="O891" s="5" t="s">
        <v>75</v>
      </c>
      <c r="P891" s="2">
        <v>45939</v>
      </c>
      <c r="Q891" s="2">
        <v>45964</v>
      </c>
      <c r="R891" s="1" t="s">
        <v>5299</v>
      </c>
      <c r="V891" s="45">
        <f t="shared" si="13"/>
        <v>1</v>
      </c>
      <c r="W891" s="45" t="s">
        <v>5413</v>
      </c>
    </row>
    <row r="892" spans="1:23" ht="11.45" hidden="1" customHeight="1">
      <c r="A892" s="2">
        <v>45907</v>
      </c>
      <c r="B892" s="1" t="s">
        <v>5414</v>
      </c>
      <c r="C892" s="1" t="s">
        <v>3490</v>
      </c>
      <c r="D892" s="1" t="s">
        <v>2439</v>
      </c>
      <c r="E892" s="1">
        <v>85022</v>
      </c>
      <c r="F892" s="1" t="s">
        <v>5415</v>
      </c>
      <c r="G892" s="1" t="s">
        <v>5179</v>
      </c>
      <c r="H892" s="4" t="s">
        <v>1342</v>
      </c>
      <c r="I892" s="5" t="s">
        <v>2412</v>
      </c>
      <c r="J892" s="5" t="s">
        <v>24</v>
      </c>
      <c r="K892" s="5" t="s">
        <v>24</v>
      </c>
      <c r="L892" s="5" t="s">
        <v>75</v>
      </c>
      <c r="M892" s="5" t="s">
        <v>24</v>
      </c>
      <c r="N892" s="5" t="s">
        <v>24</v>
      </c>
      <c r="O892" s="5" t="s">
        <v>75</v>
      </c>
      <c r="P892" s="5" t="s">
        <v>2413</v>
      </c>
      <c r="Q892" s="2">
        <v>45964</v>
      </c>
      <c r="V892" s="45">
        <f t="shared" si="13"/>
        <v>1</v>
      </c>
      <c r="W892" s="45" t="s">
        <v>5416</v>
      </c>
    </row>
    <row r="893" spans="1:23" ht="11.45" hidden="1" customHeight="1">
      <c r="A893" s="2">
        <v>45907</v>
      </c>
      <c r="B893" s="1" t="s">
        <v>5417</v>
      </c>
      <c r="C893" s="1" t="s">
        <v>5302</v>
      </c>
      <c r="D893" s="1" t="s">
        <v>2439</v>
      </c>
      <c r="E893" s="1">
        <v>85024</v>
      </c>
      <c r="F893" s="1" t="s">
        <v>2730</v>
      </c>
      <c r="G893" s="1" t="s">
        <v>5179</v>
      </c>
      <c r="H893" s="4" t="s">
        <v>2401</v>
      </c>
      <c r="V893" s="45">
        <f t="shared" si="13"/>
        <v>1</v>
      </c>
      <c r="W893" s="45" t="s">
        <v>5418</v>
      </c>
    </row>
    <row r="894" spans="1:23" ht="11.45" hidden="1" customHeight="1">
      <c r="A894" s="2">
        <v>45907</v>
      </c>
      <c r="B894" s="1" t="s">
        <v>5419</v>
      </c>
      <c r="C894" s="1" t="s">
        <v>2788</v>
      </c>
      <c r="D894" s="1" t="s">
        <v>2498</v>
      </c>
      <c r="E894" s="1">
        <v>85387</v>
      </c>
      <c r="F894" s="1" t="s">
        <v>2730</v>
      </c>
      <c r="G894" s="1" t="s">
        <v>5179</v>
      </c>
      <c r="H894" s="4" t="s">
        <v>1344</v>
      </c>
      <c r="I894" s="5" t="s">
        <v>2597</v>
      </c>
      <c r="J894" s="5" t="s">
        <v>24</v>
      </c>
      <c r="K894" s="5" t="s">
        <v>24</v>
      </c>
      <c r="L894" s="5" t="s">
        <v>75</v>
      </c>
      <c r="M894" s="5" t="s">
        <v>24</v>
      </c>
      <c r="N894" s="5" t="s">
        <v>24</v>
      </c>
      <c r="O894" s="5" t="s">
        <v>75</v>
      </c>
      <c r="P894" s="5" t="s">
        <v>2413</v>
      </c>
      <c r="Q894" s="2">
        <v>45964</v>
      </c>
      <c r="V894" s="45">
        <f t="shared" si="13"/>
        <v>1</v>
      </c>
      <c r="W894" s="45" t="s">
        <v>5420</v>
      </c>
    </row>
    <row r="895" spans="1:23" ht="11.45" hidden="1" customHeight="1">
      <c r="A895" s="2">
        <v>45907</v>
      </c>
      <c r="B895" s="1" t="s">
        <v>5421</v>
      </c>
      <c r="C895" s="1" t="s">
        <v>5422</v>
      </c>
      <c r="D895" s="1" t="s">
        <v>2513</v>
      </c>
      <c r="E895" s="1">
        <v>85251</v>
      </c>
      <c r="F895" s="1" t="s">
        <v>5423</v>
      </c>
      <c r="G895" s="1" t="s">
        <v>5179</v>
      </c>
      <c r="H895" s="21" t="s">
        <v>5424</v>
      </c>
      <c r="I895" s="5" t="s">
        <v>2451</v>
      </c>
      <c r="J895" s="5" t="s">
        <v>24</v>
      </c>
      <c r="K895" s="5" t="s">
        <v>24</v>
      </c>
      <c r="L895" s="5" t="s">
        <v>75</v>
      </c>
      <c r="M895" s="5" t="s">
        <v>24</v>
      </c>
      <c r="N895" s="5" t="s">
        <v>24</v>
      </c>
      <c r="O895" s="5" t="s">
        <v>75</v>
      </c>
      <c r="P895" s="5" t="s">
        <v>2413</v>
      </c>
      <c r="Q895" s="2">
        <v>45964</v>
      </c>
      <c r="V895" s="45">
        <f t="shared" si="13"/>
        <v>1</v>
      </c>
      <c r="W895" s="45" t="s">
        <v>5425</v>
      </c>
    </row>
    <row r="896" spans="1:23" ht="11.45" hidden="1" customHeight="1">
      <c r="A896" s="2">
        <v>45907</v>
      </c>
      <c r="B896" s="1" t="s">
        <v>5426</v>
      </c>
      <c r="C896" s="1" t="s">
        <v>4577</v>
      </c>
      <c r="D896" s="1" t="s">
        <v>2498</v>
      </c>
      <c r="E896" s="1">
        <v>85379</v>
      </c>
      <c r="F896" s="1" t="s">
        <v>5427</v>
      </c>
      <c r="G896" s="1" t="s">
        <v>5179</v>
      </c>
      <c r="H896" s="4" t="s">
        <v>38</v>
      </c>
      <c r="I896" s="5" t="s">
        <v>2597</v>
      </c>
      <c r="J896" s="5" t="s">
        <v>24</v>
      </c>
      <c r="K896" s="5" t="s">
        <v>24</v>
      </c>
      <c r="L896" s="5" t="s">
        <v>5428</v>
      </c>
      <c r="M896" s="5" t="s">
        <v>75</v>
      </c>
      <c r="N896" s="15">
        <v>803.66</v>
      </c>
      <c r="O896" s="5" t="s">
        <v>75</v>
      </c>
      <c r="P896" s="7"/>
      <c r="Q896" s="2">
        <v>45964</v>
      </c>
      <c r="R896" s="1" t="s">
        <v>2938</v>
      </c>
      <c r="V896" s="45">
        <f t="shared" si="13"/>
        <v>1</v>
      </c>
      <c r="W896" s="45" t="s">
        <v>5429</v>
      </c>
    </row>
    <row r="897" spans="1:23" ht="11.45" hidden="1" customHeight="1">
      <c r="A897" s="2">
        <v>45907</v>
      </c>
      <c r="B897" s="1" t="s">
        <v>5430</v>
      </c>
      <c r="C897" s="1" t="s">
        <v>5431</v>
      </c>
      <c r="D897" s="1" t="s">
        <v>3118</v>
      </c>
      <c r="E897" s="1">
        <v>85350</v>
      </c>
      <c r="F897" s="1" t="s">
        <v>5432</v>
      </c>
      <c r="G897" s="1" t="s">
        <v>5179</v>
      </c>
      <c r="H897" s="4" t="s">
        <v>634</v>
      </c>
      <c r="I897" s="5" t="s">
        <v>2412</v>
      </c>
      <c r="J897" s="5" t="s">
        <v>75</v>
      </c>
      <c r="K897" s="5" t="s">
        <v>24</v>
      </c>
      <c r="L897" s="5" t="s">
        <v>75</v>
      </c>
      <c r="M897" s="5" t="s">
        <v>75</v>
      </c>
      <c r="N897" s="15">
        <v>1530.91</v>
      </c>
      <c r="O897" s="5" t="s">
        <v>75</v>
      </c>
      <c r="P897" s="7"/>
      <c r="Q897" s="2">
        <v>45964</v>
      </c>
      <c r="R897" s="1" t="s">
        <v>2938</v>
      </c>
      <c r="V897" s="45">
        <f t="shared" si="13"/>
        <v>1</v>
      </c>
      <c r="W897" s="45" t="s">
        <v>5433</v>
      </c>
    </row>
    <row r="898" spans="1:23" ht="11.45" hidden="1" customHeight="1">
      <c r="A898" s="2">
        <v>45907</v>
      </c>
      <c r="B898" s="1" t="s">
        <v>5434</v>
      </c>
      <c r="C898" s="1" t="s">
        <v>5273</v>
      </c>
      <c r="D898" s="1" t="s">
        <v>3166</v>
      </c>
      <c r="E898" s="1">
        <v>85375</v>
      </c>
      <c r="F898" s="1" t="s">
        <v>5435</v>
      </c>
      <c r="G898" s="1" t="s">
        <v>5179</v>
      </c>
      <c r="H898" s="4" t="s">
        <v>2401</v>
      </c>
      <c r="V898" s="45">
        <f t="shared" ref="V898:V961" si="14">IF(OR(ISNUMBER(SEARCH("unable to locate acct",G898)),ISNUMBER(SEARCH("unknown",G898)),ISNUMBER(SEARCH("inactive",G898)),H898=""),0,1)</f>
        <v>1</v>
      </c>
      <c r="W898" s="45" t="s">
        <v>5436</v>
      </c>
    </row>
    <row r="899" spans="1:23" ht="11.45" hidden="1" customHeight="1">
      <c r="A899" s="2">
        <v>45907</v>
      </c>
      <c r="B899" s="1" t="s">
        <v>5437</v>
      </c>
      <c r="C899" s="1" t="s">
        <v>5438</v>
      </c>
      <c r="D899" s="1" t="s">
        <v>2418</v>
      </c>
      <c r="E899" s="1">
        <v>85363</v>
      </c>
      <c r="F899" s="1" t="s">
        <v>2730</v>
      </c>
      <c r="G899" s="1" t="s">
        <v>5179</v>
      </c>
      <c r="H899" s="4" t="s">
        <v>301</v>
      </c>
      <c r="I899" s="5" t="s">
        <v>2597</v>
      </c>
      <c r="J899" s="5" t="s">
        <v>24</v>
      </c>
      <c r="K899" s="5" t="s">
        <v>24</v>
      </c>
      <c r="L899" s="7" t="s">
        <v>5439</v>
      </c>
      <c r="M899" s="5" t="s">
        <v>24</v>
      </c>
      <c r="N899" s="5" t="s">
        <v>24</v>
      </c>
      <c r="O899" s="5" t="s">
        <v>75</v>
      </c>
      <c r="P899" s="2">
        <v>45964</v>
      </c>
      <c r="Q899" s="2">
        <v>45964</v>
      </c>
      <c r="R899" s="1" t="s">
        <v>5215</v>
      </c>
      <c r="V899" s="45">
        <f t="shared" si="14"/>
        <v>1</v>
      </c>
      <c r="W899" s="45" t="s">
        <v>5440</v>
      </c>
    </row>
    <row r="900" spans="1:23" ht="11.45" hidden="1" customHeight="1">
      <c r="A900" s="2">
        <v>45907</v>
      </c>
      <c r="B900" s="1" t="s">
        <v>5397</v>
      </c>
      <c r="C900" s="1" t="s">
        <v>5193</v>
      </c>
      <c r="D900" s="1" t="s">
        <v>3166</v>
      </c>
      <c r="E900" s="1">
        <v>85376</v>
      </c>
      <c r="F900" s="1" t="s">
        <v>5441</v>
      </c>
      <c r="G900" s="1" t="s">
        <v>5179</v>
      </c>
      <c r="H900" s="4" t="s">
        <v>303</v>
      </c>
      <c r="I900" s="5" t="s">
        <v>2597</v>
      </c>
      <c r="J900" s="5" t="s">
        <v>24</v>
      </c>
      <c r="K900" s="5" t="s">
        <v>24</v>
      </c>
      <c r="L900" s="7" t="s">
        <v>5442</v>
      </c>
      <c r="M900" s="5" t="s">
        <v>24</v>
      </c>
      <c r="N900" s="5" t="s">
        <v>24</v>
      </c>
      <c r="O900" s="5" t="s">
        <v>75</v>
      </c>
      <c r="P900" s="5" t="s">
        <v>2413</v>
      </c>
      <c r="Q900" s="2">
        <v>45964</v>
      </c>
      <c r="R900" s="1" t="s">
        <v>5443</v>
      </c>
      <c r="V900" s="45">
        <f t="shared" si="14"/>
        <v>1</v>
      </c>
      <c r="W900" s="45" t="s">
        <v>5444</v>
      </c>
    </row>
    <row r="901" spans="1:23" ht="11.45" hidden="1" customHeight="1">
      <c r="A901" s="2">
        <v>45907</v>
      </c>
      <c r="B901" s="1" t="s">
        <v>5445</v>
      </c>
      <c r="C901" s="1" t="s">
        <v>5446</v>
      </c>
      <c r="D901" s="1" t="s">
        <v>2439</v>
      </c>
      <c r="E901" s="1">
        <v>85024</v>
      </c>
      <c r="F901" s="1" t="s">
        <v>2730</v>
      </c>
      <c r="G901" s="1" t="s">
        <v>5179</v>
      </c>
      <c r="H901" s="4" t="s">
        <v>306</v>
      </c>
      <c r="I901" s="5" t="s">
        <v>2432</v>
      </c>
      <c r="J901" s="5" t="s">
        <v>24</v>
      </c>
      <c r="K901" s="5" t="s">
        <v>24</v>
      </c>
      <c r="L901" s="7" t="s">
        <v>5447</v>
      </c>
      <c r="M901" s="5" t="s">
        <v>24</v>
      </c>
      <c r="N901" s="5" t="s">
        <v>24</v>
      </c>
      <c r="O901" s="5" t="s">
        <v>75</v>
      </c>
      <c r="P901" s="2">
        <v>45939</v>
      </c>
      <c r="Q901" s="2">
        <v>45964</v>
      </c>
      <c r="R901" s="1" t="s">
        <v>5299</v>
      </c>
      <c r="V901" s="45">
        <f t="shared" si="14"/>
        <v>1</v>
      </c>
      <c r="W901" s="45" t="s">
        <v>5448</v>
      </c>
    </row>
    <row r="902" spans="1:23" ht="11.85" hidden="1" customHeight="1">
      <c r="A902" s="2">
        <v>45907</v>
      </c>
      <c r="B902" s="1" t="s">
        <v>5449</v>
      </c>
      <c r="C902" s="1" t="s">
        <v>2912</v>
      </c>
      <c r="D902" s="1" t="s">
        <v>2498</v>
      </c>
      <c r="E902" s="1">
        <v>85387</v>
      </c>
      <c r="F902" s="1" t="s">
        <v>5450</v>
      </c>
      <c r="G902" s="1" t="s">
        <v>5179</v>
      </c>
      <c r="H902" s="4" t="s">
        <v>308</v>
      </c>
      <c r="I902" s="5" t="s">
        <v>2597</v>
      </c>
      <c r="J902" s="5" t="s">
        <v>24</v>
      </c>
      <c r="K902" s="5" t="s">
        <v>24</v>
      </c>
      <c r="L902" s="7" t="s">
        <v>5451</v>
      </c>
      <c r="M902" s="5" t="s">
        <v>24</v>
      </c>
      <c r="N902" s="5" t="s">
        <v>24</v>
      </c>
      <c r="O902" s="5" t="s">
        <v>75</v>
      </c>
      <c r="P902" s="5" t="s">
        <v>2413</v>
      </c>
      <c r="Q902" s="2">
        <v>45964</v>
      </c>
      <c r="R902" s="1" t="s">
        <v>5452</v>
      </c>
      <c r="V902" s="45">
        <f t="shared" si="14"/>
        <v>1</v>
      </c>
      <c r="W902" s="45" t="s">
        <v>5453</v>
      </c>
    </row>
    <row r="903" spans="1:23" ht="11.85" hidden="1" customHeight="1">
      <c r="A903" s="2">
        <v>45907</v>
      </c>
      <c r="B903" s="1" t="s">
        <v>5454</v>
      </c>
      <c r="C903" s="1" t="s">
        <v>4681</v>
      </c>
      <c r="D903" s="1" t="s">
        <v>2439</v>
      </c>
      <c r="E903" s="1">
        <v>85032</v>
      </c>
      <c r="F903" s="1" t="s">
        <v>5455</v>
      </c>
      <c r="G903" s="1" t="s">
        <v>5179</v>
      </c>
      <c r="H903" s="4" t="s">
        <v>1346</v>
      </c>
      <c r="I903" s="5" t="s">
        <v>2451</v>
      </c>
      <c r="J903" s="5" t="s">
        <v>24</v>
      </c>
      <c r="K903" s="5" t="s">
        <v>24</v>
      </c>
      <c r="L903" s="5" t="s">
        <v>75</v>
      </c>
      <c r="M903" s="5" t="s">
        <v>24</v>
      </c>
      <c r="N903" s="5" t="s">
        <v>24</v>
      </c>
      <c r="O903" s="5" t="s">
        <v>75</v>
      </c>
      <c r="P903" s="5" t="s">
        <v>2413</v>
      </c>
      <c r="Q903" s="2">
        <v>45964</v>
      </c>
      <c r="R903" s="1" t="s">
        <v>5456</v>
      </c>
      <c r="V903" s="45">
        <f t="shared" si="14"/>
        <v>1</v>
      </c>
      <c r="W903" s="45" t="s">
        <v>5457</v>
      </c>
    </row>
    <row r="904" spans="1:23" ht="11.85" hidden="1" customHeight="1">
      <c r="A904" s="2">
        <v>45907</v>
      </c>
      <c r="B904" s="1" t="s">
        <v>5458</v>
      </c>
      <c r="C904" s="1" t="s">
        <v>3248</v>
      </c>
      <c r="D904" s="1" t="s">
        <v>2678</v>
      </c>
      <c r="E904" s="1">
        <v>85541</v>
      </c>
      <c r="F904" s="1" t="s">
        <v>2730</v>
      </c>
      <c r="G904" s="1" t="s">
        <v>5179</v>
      </c>
      <c r="H904" s="4" t="s">
        <v>2401</v>
      </c>
      <c r="V904" s="45">
        <f t="shared" si="14"/>
        <v>1</v>
      </c>
      <c r="W904" s="45" t="s">
        <v>5459</v>
      </c>
    </row>
    <row r="905" spans="1:23" ht="11.85" hidden="1" customHeight="1">
      <c r="A905" s="2">
        <v>45907</v>
      </c>
      <c r="B905" s="1" t="s">
        <v>3796</v>
      </c>
      <c r="C905" s="1" t="s">
        <v>2733</v>
      </c>
      <c r="D905" s="1" t="s">
        <v>2439</v>
      </c>
      <c r="E905" s="1">
        <v>85027</v>
      </c>
      <c r="F905" s="1" t="s">
        <v>3298</v>
      </c>
      <c r="G905" s="1" t="s">
        <v>5179</v>
      </c>
      <c r="H905" s="4" t="s">
        <v>1348</v>
      </c>
      <c r="I905" s="5" t="s">
        <v>2412</v>
      </c>
      <c r="J905" s="5" t="s">
        <v>24</v>
      </c>
      <c r="K905" s="5" t="s">
        <v>24</v>
      </c>
      <c r="L905" s="5" t="s">
        <v>75</v>
      </c>
      <c r="M905" s="5" t="s">
        <v>24</v>
      </c>
      <c r="N905" s="5" t="s">
        <v>24</v>
      </c>
      <c r="O905" s="5" t="s">
        <v>75</v>
      </c>
      <c r="P905" s="5" t="s">
        <v>2413</v>
      </c>
      <c r="Q905" s="2">
        <v>45964</v>
      </c>
      <c r="V905" s="45">
        <f t="shared" si="14"/>
        <v>1</v>
      </c>
      <c r="W905" s="45" t="s">
        <v>5460</v>
      </c>
    </row>
    <row r="906" spans="1:23" ht="11.85" hidden="1" customHeight="1">
      <c r="A906" s="2">
        <v>45907</v>
      </c>
      <c r="B906" s="1" t="s">
        <v>5461</v>
      </c>
      <c r="C906" s="1" t="s">
        <v>4116</v>
      </c>
      <c r="D906" s="1" t="s">
        <v>2439</v>
      </c>
      <c r="E906" s="1">
        <v>85008</v>
      </c>
      <c r="F906" s="1" t="s">
        <v>2730</v>
      </c>
      <c r="G906" s="1" t="s">
        <v>5179</v>
      </c>
      <c r="H906" s="4" t="s">
        <v>310</v>
      </c>
      <c r="I906" s="5" t="s">
        <v>2514</v>
      </c>
      <c r="J906" s="5" t="s">
        <v>24</v>
      </c>
      <c r="K906" s="5" t="s">
        <v>24</v>
      </c>
      <c r="L906" s="5" t="s">
        <v>5462</v>
      </c>
      <c r="M906" s="5" t="s">
        <v>24</v>
      </c>
      <c r="N906" s="5" t="s">
        <v>24</v>
      </c>
      <c r="O906" s="5" t="s">
        <v>75</v>
      </c>
      <c r="P906" s="5" t="s">
        <v>2413</v>
      </c>
      <c r="Q906" s="2">
        <v>45964</v>
      </c>
      <c r="V906" s="45">
        <f t="shared" si="14"/>
        <v>1</v>
      </c>
      <c r="W906" s="45" t="s">
        <v>5463</v>
      </c>
    </row>
    <row r="907" spans="1:23" ht="11.85" hidden="1" customHeight="1">
      <c r="A907" s="2">
        <v>45907</v>
      </c>
      <c r="B907" s="1" t="s">
        <v>5464</v>
      </c>
      <c r="C907" s="1" t="s">
        <v>2861</v>
      </c>
      <c r="D907" s="1" t="s">
        <v>2498</v>
      </c>
      <c r="E907" s="1">
        <v>85379</v>
      </c>
      <c r="F907" s="1" t="s">
        <v>5235</v>
      </c>
      <c r="G907" s="1" t="s">
        <v>5179</v>
      </c>
      <c r="H907" s="4" t="s">
        <v>313</v>
      </c>
      <c r="I907" s="5" t="s">
        <v>2451</v>
      </c>
      <c r="J907" s="5" t="s">
        <v>24</v>
      </c>
      <c r="K907" s="5" t="s">
        <v>24</v>
      </c>
      <c r="L907" s="7" t="s">
        <v>5465</v>
      </c>
      <c r="M907" s="5" t="s">
        <v>24</v>
      </c>
      <c r="N907" s="5" t="s">
        <v>24</v>
      </c>
      <c r="O907" s="5" t="s">
        <v>75</v>
      </c>
      <c r="P907" s="2">
        <v>45939</v>
      </c>
      <c r="Q907" s="2">
        <v>45964</v>
      </c>
      <c r="R907" s="1" t="s">
        <v>5466</v>
      </c>
      <c r="V907" s="45">
        <f t="shared" si="14"/>
        <v>1</v>
      </c>
      <c r="W907" s="45" t="s">
        <v>5467</v>
      </c>
    </row>
    <row r="908" spans="1:23" ht="11.85" hidden="1" customHeight="1">
      <c r="A908" s="2">
        <v>45907</v>
      </c>
      <c r="B908" s="1" t="s">
        <v>5468</v>
      </c>
      <c r="C908" s="1" t="s">
        <v>2521</v>
      </c>
      <c r="D908" s="1" t="s">
        <v>2800</v>
      </c>
      <c r="E908" s="1">
        <v>85225</v>
      </c>
      <c r="F908" s="1" t="s">
        <v>2730</v>
      </c>
      <c r="G908" s="1" t="s">
        <v>5179</v>
      </c>
      <c r="H908" s="4" t="s">
        <v>1350</v>
      </c>
      <c r="I908" s="5" t="s">
        <v>2652</v>
      </c>
      <c r="J908" s="5" t="s">
        <v>24</v>
      </c>
      <c r="K908" s="5" t="s">
        <v>24</v>
      </c>
      <c r="L908" s="5" t="s">
        <v>2819</v>
      </c>
      <c r="M908" s="5" t="s">
        <v>24</v>
      </c>
      <c r="N908" s="5" t="s">
        <v>24</v>
      </c>
      <c r="O908" s="5" t="s">
        <v>75</v>
      </c>
      <c r="P908" s="5" t="s">
        <v>2413</v>
      </c>
      <c r="Q908" s="2">
        <v>45964</v>
      </c>
      <c r="V908" s="45">
        <f t="shared" si="14"/>
        <v>1</v>
      </c>
      <c r="W908" s="45" t="s">
        <v>5469</v>
      </c>
    </row>
    <row r="909" spans="1:23" ht="11.85" hidden="1" customHeight="1">
      <c r="A909" s="2">
        <v>45907</v>
      </c>
      <c r="B909" s="1" t="s">
        <v>5470</v>
      </c>
      <c r="C909" s="1" t="s">
        <v>5471</v>
      </c>
      <c r="D909" s="1" t="s">
        <v>2513</v>
      </c>
      <c r="E909" s="1">
        <v>85259</v>
      </c>
      <c r="F909" s="1" t="s">
        <v>2730</v>
      </c>
      <c r="G909" s="1" t="s">
        <v>5179</v>
      </c>
      <c r="H909" s="4" t="s">
        <v>2401</v>
      </c>
      <c r="V909" s="45">
        <f t="shared" si="14"/>
        <v>1</v>
      </c>
      <c r="W909" s="45" t="s">
        <v>5472</v>
      </c>
    </row>
    <row r="910" spans="1:23" ht="11.85" hidden="1" customHeight="1">
      <c r="A910" s="2">
        <v>45907</v>
      </c>
      <c r="B910" s="1" t="s">
        <v>5473</v>
      </c>
      <c r="C910" s="1" t="s">
        <v>5393</v>
      </c>
      <c r="D910" s="1" t="s">
        <v>3815</v>
      </c>
      <c r="E910" s="1">
        <v>85355</v>
      </c>
      <c r="F910" s="1" t="s">
        <v>5474</v>
      </c>
      <c r="G910" s="1" t="s">
        <v>5179</v>
      </c>
      <c r="H910" s="4" t="s">
        <v>636</v>
      </c>
      <c r="I910" s="5" t="s">
        <v>2412</v>
      </c>
      <c r="J910" s="5" t="s">
        <v>24</v>
      </c>
      <c r="K910" s="5" t="s">
        <v>24</v>
      </c>
      <c r="L910" s="5" t="s">
        <v>75</v>
      </c>
      <c r="M910" s="5" t="s">
        <v>75</v>
      </c>
      <c r="N910" s="13">
        <v>189.57</v>
      </c>
      <c r="O910" s="5" t="s">
        <v>75</v>
      </c>
      <c r="P910" s="5" t="s">
        <v>2413</v>
      </c>
      <c r="Q910" s="2">
        <v>45964</v>
      </c>
      <c r="V910" s="45">
        <f t="shared" si="14"/>
        <v>1</v>
      </c>
      <c r="W910" s="45" t="s">
        <v>5475</v>
      </c>
    </row>
    <row r="911" spans="1:23" ht="11.85" hidden="1" customHeight="1">
      <c r="A911" s="2">
        <v>45907</v>
      </c>
      <c r="B911" s="1" t="s">
        <v>5476</v>
      </c>
      <c r="C911" s="1" t="s">
        <v>5477</v>
      </c>
      <c r="D911" s="1" t="s">
        <v>2605</v>
      </c>
      <c r="E911" s="1">
        <v>85383</v>
      </c>
      <c r="F911" s="1" t="s">
        <v>2406</v>
      </c>
      <c r="G911" s="1" t="s">
        <v>5179</v>
      </c>
      <c r="H911" s="21" t="s">
        <v>5478</v>
      </c>
      <c r="I911" s="5" t="s">
        <v>2412</v>
      </c>
      <c r="J911" s="5" t="s">
        <v>24</v>
      </c>
      <c r="K911" s="5" t="s">
        <v>24</v>
      </c>
      <c r="L911" s="5" t="s">
        <v>75</v>
      </c>
      <c r="M911" s="5" t="s">
        <v>24</v>
      </c>
      <c r="N911" s="5" t="s">
        <v>24</v>
      </c>
      <c r="O911" s="5" t="s">
        <v>75</v>
      </c>
      <c r="P911" s="5" t="s">
        <v>2413</v>
      </c>
      <c r="Q911" s="2">
        <v>45964</v>
      </c>
      <c r="V911" s="45">
        <f t="shared" si="14"/>
        <v>1</v>
      </c>
      <c r="W911" s="45" t="s">
        <v>5479</v>
      </c>
    </row>
    <row r="912" spans="1:23" ht="11.85" hidden="1" customHeight="1">
      <c r="A912" s="2">
        <v>45907</v>
      </c>
      <c r="B912" s="1" t="s">
        <v>5480</v>
      </c>
      <c r="C912" s="1" t="s">
        <v>3233</v>
      </c>
      <c r="D912" s="1" t="s">
        <v>5481</v>
      </c>
      <c r="E912" s="1">
        <v>85087</v>
      </c>
      <c r="F912" s="1" t="s">
        <v>2406</v>
      </c>
      <c r="G912" s="1" t="s">
        <v>5179</v>
      </c>
      <c r="H912" s="4" t="s">
        <v>1352</v>
      </c>
      <c r="I912" s="5" t="s">
        <v>2659</v>
      </c>
      <c r="J912" s="5" t="s">
        <v>24</v>
      </c>
      <c r="K912" s="5" t="s">
        <v>24</v>
      </c>
      <c r="L912" s="5" t="s">
        <v>75</v>
      </c>
      <c r="M912" s="5" t="s">
        <v>24</v>
      </c>
      <c r="N912" s="5" t="s">
        <v>24</v>
      </c>
      <c r="O912" s="5" t="s">
        <v>75</v>
      </c>
      <c r="P912" s="5" t="s">
        <v>2413</v>
      </c>
      <c r="Q912" s="2">
        <v>45964</v>
      </c>
      <c r="V912" s="45">
        <f t="shared" si="14"/>
        <v>1</v>
      </c>
      <c r="W912" s="45" t="s">
        <v>5482</v>
      </c>
    </row>
    <row r="913" spans="1:23" ht="11.85" hidden="1" customHeight="1">
      <c r="A913" s="2">
        <v>45907</v>
      </c>
      <c r="B913" s="1" t="s">
        <v>3335</v>
      </c>
      <c r="C913" s="1" t="s">
        <v>5483</v>
      </c>
      <c r="D913" s="1" t="s">
        <v>2439</v>
      </c>
      <c r="E913" s="1">
        <v>85013</v>
      </c>
      <c r="F913" s="1" t="s">
        <v>2730</v>
      </c>
      <c r="G913" s="1" t="s">
        <v>5179</v>
      </c>
      <c r="H913" s="4" t="s">
        <v>1354</v>
      </c>
      <c r="I913" s="5" t="s">
        <v>2514</v>
      </c>
      <c r="J913" s="5" t="s">
        <v>24</v>
      </c>
      <c r="K913" s="5" t="s">
        <v>24</v>
      </c>
      <c r="L913" s="5" t="s">
        <v>75</v>
      </c>
      <c r="M913" s="5" t="s">
        <v>24</v>
      </c>
      <c r="N913" s="5" t="s">
        <v>24</v>
      </c>
      <c r="O913" s="5" t="s">
        <v>75</v>
      </c>
      <c r="P913" s="5" t="s">
        <v>2413</v>
      </c>
      <c r="Q913" s="2">
        <v>45964</v>
      </c>
      <c r="V913" s="45">
        <f t="shared" si="14"/>
        <v>1</v>
      </c>
      <c r="W913" s="45" t="s">
        <v>5484</v>
      </c>
    </row>
    <row r="914" spans="1:23" ht="11.85" hidden="1" customHeight="1">
      <c r="A914" s="2">
        <v>45907</v>
      </c>
      <c r="B914" s="1" t="s">
        <v>5485</v>
      </c>
      <c r="C914" s="1" t="s">
        <v>5486</v>
      </c>
      <c r="D914" s="1" t="s">
        <v>2439</v>
      </c>
      <c r="E914" s="1">
        <v>85023</v>
      </c>
      <c r="F914" s="1" t="s">
        <v>5487</v>
      </c>
      <c r="G914" s="1" t="s">
        <v>5179</v>
      </c>
      <c r="H914" s="4" t="s">
        <v>1356</v>
      </c>
      <c r="I914" s="5" t="s">
        <v>2451</v>
      </c>
      <c r="J914" s="5" t="s">
        <v>24</v>
      </c>
      <c r="K914" s="5" t="s">
        <v>24</v>
      </c>
      <c r="L914" s="5" t="s">
        <v>75</v>
      </c>
      <c r="M914" s="5" t="s">
        <v>24</v>
      </c>
      <c r="N914" s="5" t="s">
        <v>24</v>
      </c>
      <c r="O914" s="5" t="s">
        <v>75</v>
      </c>
      <c r="P914" s="5" t="s">
        <v>2413</v>
      </c>
      <c r="Q914" s="2">
        <v>45964</v>
      </c>
      <c r="V914" s="45">
        <f t="shared" si="14"/>
        <v>1</v>
      </c>
      <c r="W914" s="45" t="s">
        <v>5488</v>
      </c>
    </row>
    <row r="915" spans="1:23" ht="11.85" hidden="1" customHeight="1">
      <c r="A915" s="2">
        <v>45907</v>
      </c>
      <c r="B915" s="1" t="s">
        <v>5489</v>
      </c>
      <c r="C915" s="1" t="s">
        <v>5490</v>
      </c>
      <c r="D915" s="1" t="s">
        <v>2439</v>
      </c>
      <c r="E915" s="1">
        <v>85027</v>
      </c>
      <c r="F915" s="1" t="s">
        <v>2406</v>
      </c>
      <c r="G915" s="1" t="s">
        <v>5179</v>
      </c>
      <c r="H915" s="4" t="s">
        <v>2401</v>
      </c>
      <c r="V915" s="45">
        <f t="shared" si="14"/>
        <v>1</v>
      </c>
      <c r="W915" s="45" t="s">
        <v>5491</v>
      </c>
    </row>
    <row r="916" spans="1:23" ht="11.85" hidden="1" customHeight="1">
      <c r="A916" s="2">
        <v>45907</v>
      </c>
      <c r="B916" s="1" t="s">
        <v>5492</v>
      </c>
      <c r="C916" s="1" t="s">
        <v>5493</v>
      </c>
      <c r="D916" s="1" t="s">
        <v>2605</v>
      </c>
      <c r="E916" s="1">
        <v>85383</v>
      </c>
      <c r="F916" s="1" t="s">
        <v>5494</v>
      </c>
      <c r="G916" s="1" t="s">
        <v>5179</v>
      </c>
      <c r="H916" s="4" t="s">
        <v>1358</v>
      </c>
      <c r="I916" s="5" t="s">
        <v>2412</v>
      </c>
      <c r="J916" s="5" t="s">
        <v>24</v>
      </c>
      <c r="K916" s="5" t="s">
        <v>24</v>
      </c>
      <c r="L916" s="5" t="s">
        <v>75</v>
      </c>
      <c r="M916" s="5" t="s">
        <v>24</v>
      </c>
      <c r="N916" s="5" t="s">
        <v>24</v>
      </c>
      <c r="O916" s="5" t="s">
        <v>75</v>
      </c>
      <c r="P916" s="5" t="s">
        <v>2413</v>
      </c>
      <c r="Q916" s="2">
        <v>45964</v>
      </c>
      <c r="V916" s="45">
        <f t="shared" si="14"/>
        <v>1</v>
      </c>
      <c r="W916" s="45" t="s">
        <v>5495</v>
      </c>
    </row>
    <row r="917" spans="1:23" ht="11.85" hidden="1" customHeight="1">
      <c r="A917" s="2">
        <v>45907</v>
      </c>
      <c r="B917" s="1" t="s">
        <v>2954</v>
      </c>
      <c r="C917" s="1" t="s">
        <v>3494</v>
      </c>
      <c r="D917" s="1" t="s">
        <v>2513</v>
      </c>
      <c r="E917" s="1">
        <v>85266</v>
      </c>
      <c r="F917" s="1" t="s">
        <v>2406</v>
      </c>
      <c r="G917" s="1" t="s">
        <v>5179</v>
      </c>
      <c r="H917" s="21" t="s">
        <v>5496</v>
      </c>
      <c r="I917" s="5" t="s">
        <v>2412</v>
      </c>
      <c r="J917" s="5" t="s">
        <v>24</v>
      </c>
      <c r="K917" s="5" t="s">
        <v>24</v>
      </c>
      <c r="L917" s="5" t="s">
        <v>75</v>
      </c>
      <c r="M917" s="5" t="s">
        <v>24</v>
      </c>
      <c r="N917" s="5" t="s">
        <v>24</v>
      </c>
      <c r="O917" s="5" t="s">
        <v>75</v>
      </c>
      <c r="P917" s="5" t="s">
        <v>2413</v>
      </c>
      <c r="Q917" s="2">
        <v>45964</v>
      </c>
      <c r="V917" s="45">
        <f t="shared" si="14"/>
        <v>1</v>
      </c>
      <c r="W917" s="45" t="s">
        <v>5497</v>
      </c>
    </row>
    <row r="918" spans="1:23" ht="11.85" hidden="1" customHeight="1">
      <c r="A918" s="2">
        <v>45907</v>
      </c>
      <c r="B918" s="1" t="s">
        <v>3151</v>
      </c>
      <c r="C918" s="1" t="s">
        <v>2924</v>
      </c>
      <c r="D918" s="1" t="s">
        <v>2605</v>
      </c>
      <c r="E918" s="1">
        <v>85383</v>
      </c>
      <c r="F918" s="1" t="s">
        <v>2730</v>
      </c>
      <c r="G918" s="1" t="s">
        <v>5179</v>
      </c>
      <c r="H918" s="4" t="s">
        <v>2613</v>
      </c>
      <c r="V918" s="45">
        <f t="shared" si="14"/>
        <v>1</v>
      </c>
      <c r="W918" s="45" t="s">
        <v>5498</v>
      </c>
    </row>
    <row r="919" spans="1:23" ht="11.85" hidden="1" customHeight="1">
      <c r="A919" s="2">
        <v>45907</v>
      </c>
      <c r="B919" s="1" t="s">
        <v>5499</v>
      </c>
      <c r="C919" s="1" t="s">
        <v>5500</v>
      </c>
      <c r="D919" s="1" t="s">
        <v>2605</v>
      </c>
      <c r="E919" s="1">
        <v>85381</v>
      </c>
      <c r="F919" s="1" t="s">
        <v>2730</v>
      </c>
      <c r="G919" s="1" t="s">
        <v>5179</v>
      </c>
      <c r="H919" s="4" t="s">
        <v>2401</v>
      </c>
      <c r="V919" s="45">
        <f t="shared" si="14"/>
        <v>1</v>
      </c>
      <c r="W919" s="45" t="s">
        <v>5501</v>
      </c>
    </row>
    <row r="920" spans="1:23" ht="11.85" hidden="1" customHeight="1">
      <c r="A920" s="2">
        <v>45907</v>
      </c>
      <c r="B920" s="1" t="s">
        <v>4178</v>
      </c>
      <c r="C920" s="1" t="s">
        <v>5502</v>
      </c>
      <c r="D920" s="1" t="s">
        <v>2564</v>
      </c>
      <c r="E920" s="1">
        <v>85395</v>
      </c>
      <c r="F920" s="1" t="s">
        <v>2406</v>
      </c>
      <c r="G920" s="1" t="s">
        <v>5179</v>
      </c>
      <c r="H920" s="21" t="s">
        <v>5503</v>
      </c>
      <c r="I920" s="5" t="s">
        <v>4414</v>
      </c>
      <c r="J920" s="5" t="s">
        <v>24</v>
      </c>
      <c r="K920" s="5" t="s">
        <v>24</v>
      </c>
      <c r="L920" s="5" t="s">
        <v>75</v>
      </c>
      <c r="M920" s="5" t="s">
        <v>24</v>
      </c>
      <c r="N920" s="5" t="s">
        <v>24</v>
      </c>
      <c r="O920" s="5" t="s">
        <v>75</v>
      </c>
      <c r="P920" s="5" t="s">
        <v>2413</v>
      </c>
      <c r="Q920" s="2">
        <v>45964</v>
      </c>
      <c r="V920" s="45">
        <f t="shared" si="14"/>
        <v>1</v>
      </c>
      <c r="W920" s="45" t="s">
        <v>5504</v>
      </c>
    </row>
    <row r="921" spans="1:23" ht="11.85" hidden="1" customHeight="1">
      <c r="A921" s="2">
        <v>45907</v>
      </c>
      <c r="B921" s="1" t="s">
        <v>5505</v>
      </c>
      <c r="C921" s="1" t="s">
        <v>4788</v>
      </c>
      <c r="D921" s="1" t="s">
        <v>2564</v>
      </c>
      <c r="E921" s="1">
        <v>85395</v>
      </c>
      <c r="F921" s="1" t="s">
        <v>5378</v>
      </c>
      <c r="G921" s="1" t="s">
        <v>5179</v>
      </c>
      <c r="H921" s="4" t="s">
        <v>1360</v>
      </c>
      <c r="I921" s="5" t="s">
        <v>2412</v>
      </c>
      <c r="J921" s="5" t="s">
        <v>24</v>
      </c>
      <c r="K921" s="5" t="s">
        <v>24</v>
      </c>
      <c r="L921" s="5" t="s">
        <v>75</v>
      </c>
      <c r="M921" s="5" t="s">
        <v>24</v>
      </c>
      <c r="N921" s="5" t="s">
        <v>24</v>
      </c>
      <c r="O921" s="5" t="s">
        <v>75</v>
      </c>
      <c r="P921" s="5" t="s">
        <v>2413</v>
      </c>
      <c r="Q921" s="2">
        <v>45964</v>
      </c>
      <c r="V921" s="45">
        <f t="shared" si="14"/>
        <v>1</v>
      </c>
      <c r="W921" s="45" t="s">
        <v>5506</v>
      </c>
    </row>
    <row r="922" spans="1:23" ht="11.85" hidden="1" customHeight="1">
      <c r="A922" s="2">
        <v>45907</v>
      </c>
      <c r="B922" s="1" t="s">
        <v>5507</v>
      </c>
      <c r="C922" s="1" t="s">
        <v>5508</v>
      </c>
      <c r="D922" s="1" t="s">
        <v>2518</v>
      </c>
      <c r="E922" s="1">
        <v>85223</v>
      </c>
      <c r="F922" s="1" t="s">
        <v>2730</v>
      </c>
      <c r="G922" s="1" t="s">
        <v>5179</v>
      </c>
      <c r="H922" s="4" t="s">
        <v>316</v>
      </c>
      <c r="I922" s="5" t="s">
        <v>2432</v>
      </c>
      <c r="J922" s="5" t="s">
        <v>24</v>
      </c>
      <c r="K922" s="5" t="s">
        <v>24</v>
      </c>
      <c r="L922" s="5" t="s">
        <v>5509</v>
      </c>
      <c r="M922" s="5" t="s">
        <v>24</v>
      </c>
      <c r="N922" s="5" t="s">
        <v>24</v>
      </c>
      <c r="O922" s="5" t="s">
        <v>75</v>
      </c>
      <c r="P922" s="5" t="s">
        <v>2413</v>
      </c>
      <c r="Q922" s="2">
        <v>45964</v>
      </c>
      <c r="V922" s="45">
        <f t="shared" si="14"/>
        <v>1</v>
      </c>
      <c r="W922" s="45" t="s">
        <v>5510</v>
      </c>
    </row>
    <row r="923" spans="1:23" ht="11.85" hidden="1" customHeight="1">
      <c r="A923" s="2">
        <v>45907</v>
      </c>
      <c r="B923" s="1" t="s">
        <v>5511</v>
      </c>
      <c r="C923" s="1" t="s">
        <v>5512</v>
      </c>
      <c r="D923" s="1" t="s">
        <v>5513</v>
      </c>
      <c r="E923" s="1">
        <v>85086</v>
      </c>
      <c r="F923" s="1" t="s">
        <v>5514</v>
      </c>
      <c r="G923" s="1" t="s">
        <v>5179</v>
      </c>
      <c r="H923" s="4" t="s">
        <v>2401</v>
      </c>
      <c r="V923" s="45">
        <f t="shared" si="14"/>
        <v>1</v>
      </c>
      <c r="W923" s="45" t="s">
        <v>5515</v>
      </c>
    </row>
    <row r="924" spans="1:23" ht="11.85" hidden="1" customHeight="1">
      <c r="A924" s="2">
        <v>45907</v>
      </c>
      <c r="B924" s="1" t="s">
        <v>5516</v>
      </c>
      <c r="C924" s="1" t="s">
        <v>5517</v>
      </c>
      <c r="D924" s="1" t="s">
        <v>2528</v>
      </c>
      <c r="E924" s="1">
        <v>85377</v>
      </c>
      <c r="F924" s="1" t="s">
        <v>5518</v>
      </c>
      <c r="G924" s="1" t="s">
        <v>5179</v>
      </c>
      <c r="H924" s="4" t="s">
        <v>1362</v>
      </c>
      <c r="I924" s="5" t="s">
        <v>2412</v>
      </c>
      <c r="J924" s="5" t="s">
        <v>24</v>
      </c>
      <c r="K924" s="5" t="s">
        <v>24</v>
      </c>
      <c r="L924" s="5" t="s">
        <v>75</v>
      </c>
      <c r="M924" s="5" t="s">
        <v>24</v>
      </c>
      <c r="N924" s="5" t="s">
        <v>24</v>
      </c>
      <c r="O924" s="5" t="s">
        <v>75</v>
      </c>
      <c r="P924" s="5" t="s">
        <v>2413</v>
      </c>
      <c r="Q924" s="2">
        <v>45961</v>
      </c>
      <c r="V924" s="45">
        <f t="shared" si="14"/>
        <v>1</v>
      </c>
      <c r="W924" s="45" t="s">
        <v>5519</v>
      </c>
    </row>
    <row r="925" spans="1:23" ht="11.85" hidden="1" customHeight="1">
      <c r="A925" s="2">
        <v>45907</v>
      </c>
      <c r="B925" s="1" t="s">
        <v>5520</v>
      </c>
      <c r="C925" s="1" t="s">
        <v>5521</v>
      </c>
      <c r="D925" s="1" t="s">
        <v>3383</v>
      </c>
      <c r="E925" s="1">
        <v>85086</v>
      </c>
      <c r="F925" s="1" t="s">
        <v>5522</v>
      </c>
      <c r="G925" s="1" t="s">
        <v>5179</v>
      </c>
      <c r="H925" s="4" t="s">
        <v>318</v>
      </c>
      <c r="I925" s="5" t="s">
        <v>2597</v>
      </c>
      <c r="J925" s="5" t="s">
        <v>24</v>
      </c>
      <c r="K925" s="5" t="s">
        <v>24</v>
      </c>
      <c r="L925" s="5" t="s">
        <v>5523</v>
      </c>
      <c r="M925" s="5" t="s">
        <v>24</v>
      </c>
      <c r="N925" s="5" t="s">
        <v>24</v>
      </c>
      <c r="O925" s="5" t="s">
        <v>75</v>
      </c>
      <c r="P925" s="5" t="s">
        <v>2413</v>
      </c>
      <c r="Q925" s="2">
        <v>45961</v>
      </c>
      <c r="V925" s="45">
        <f t="shared" si="14"/>
        <v>1</v>
      </c>
      <c r="W925" s="45" t="s">
        <v>5524</v>
      </c>
    </row>
    <row r="926" spans="1:23" ht="11.85" hidden="1" customHeight="1">
      <c r="A926" s="2">
        <v>45907</v>
      </c>
      <c r="B926" s="1" t="s">
        <v>5525</v>
      </c>
      <c r="C926" s="1" t="s">
        <v>5526</v>
      </c>
      <c r="D926" s="1" t="s">
        <v>5527</v>
      </c>
      <c r="E926" s="1">
        <v>85342</v>
      </c>
      <c r="F926" s="1" t="s">
        <v>2406</v>
      </c>
      <c r="G926" s="1" t="s">
        <v>5179</v>
      </c>
      <c r="H926" s="4" t="s">
        <v>2401</v>
      </c>
      <c r="V926" s="45">
        <f t="shared" si="14"/>
        <v>1</v>
      </c>
      <c r="W926" s="45" t="s">
        <v>5528</v>
      </c>
    </row>
    <row r="927" spans="1:23" ht="11.85" hidden="1" customHeight="1">
      <c r="A927" s="2">
        <v>45907</v>
      </c>
      <c r="B927" s="1" t="s">
        <v>5529</v>
      </c>
      <c r="C927" s="1" t="s">
        <v>3712</v>
      </c>
      <c r="D927" s="1" t="s">
        <v>5527</v>
      </c>
      <c r="E927" s="1">
        <v>85342</v>
      </c>
      <c r="F927" s="1" t="s">
        <v>2406</v>
      </c>
      <c r="G927" s="1" t="s">
        <v>5179</v>
      </c>
      <c r="H927" s="4" t="s">
        <v>320</v>
      </c>
      <c r="I927" s="5" t="s">
        <v>2412</v>
      </c>
      <c r="J927" s="5" t="s">
        <v>24</v>
      </c>
      <c r="K927" s="5" t="s">
        <v>24</v>
      </c>
      <c r="L927" s="5" t="s">
        <v>5530</v>
      </c>
      <c r="M927" s="5" t="s">
        <v>24</v>
      </c>
      <c r="N927" s="5" t="s">
        <v>24</v>
      </c>
      <c r="O927" s="5" t="s">
        <v>75</v>
      </c>
      <c r="P927" s="5" t="s">
        <v>2413</v>
      </c>
      <c r="Q927" s="2">
        <v>45961</v>
      </c>
      <c r="V927" s="45">
        <f t="shared" si="14"/>
        <v>1</v>
      </c>
      <c r="W927" s="45" t="s">
        <v>5531</v>
      </c>
    </row>
    <row r="928" spans="1:23" ht="11.85" hidden="1" customHeight="1">
      <c r="A928" s="2">
        <v>45907</v>
      </c>
      <c r="B928" s="1" t="s">
        <v>5532</v>
      </c>
      <c r="C928" s="1" t="s">
        <v>5533</v>
      </c>
      <c r="D928" s="1" t="s">
        <v>2605</v>
      </c>
      <c r="E928" s="1">
        <v>85383</v>
      </c>
      <c r="F928" s="1" t="s">
        <v>2406</v>
      </c>
      <c r="G928" s="1" t="s">
        <v>5179</v>
      </c>
      <c r="H928" s="4" t="s">
        <v>1364</v>
      </c>
      <c r="I928" s="5" t="s">
        <v>2451</v>
      </c>
      <c r="J928" s="5" t="s">
        <v>24</v>
      </c>
      <c r="K928" s="5" t="s">
        <v>24</v>
      </c>
      <c r="L928" s="5" t="s">
        <v>75</v>
      </c>
      <c r="M928" s="5" t="s">
        <v>24</v>
      </c>
      <c r="N928" s="5" t="s">
        <v>24</v>
      </c>
      <c r="O928" s="5" t="s">
        <v>75</v>
      </c>
      <c r="P928" s="5" t="s">
        <v>2413</v>
      </c>
      <c r="Q928" s="2">
        <v>45961</v>
      </c>
      <c r="V928" s="45">
        <f t="shared" si="14"/>
        <v>1</v>
      </c>
      <c r="W928" s="45" t="s">
        <v>5534</v>
      </c>
    </row>
    <row r="929" spans="1:23" ht="11.85" hidden="1" customHeight="1">
      <c r="A929" s="2">
        <v>45907</v>
      </c>
      <c r="B929" s="1" t="s">
        <v>5535</v>
      </c>
      <c r="C929" s="1" t="s">
        <v>5536</v>
      </c>
      <c r="D929" s="1" t="s">
        <v>2439</v>
      </c>
      <c r="E929" s="1">
        <v>85028</v>
      </c>
      <c r="F929" s="1" t="s">
        <v>2730</v>
      </c>
      <c r="G929" s="1" t="s">
        <v>5179</v>
      </c>
      <c r="H929" s="4" t="s">
        <v>2401</v>
      </c>
      <c r="V929" s="45">
        <f t="shared" si="14"/>
        <v>1</v>
      </c>
      <c r="W929" s="45" t="s">
        <v>5537</v>
      </c>
    </row>
    <row r="930" spans="1:23" ht="11.85" hidden="1" customHeight="1">
      <c r="A930" s="2">
        <v>45907</v>
      </c>
      <c r="B930" s="1" t="s">
        <v>5538</v>
      </c>
      <c r="C930" s="1" t="s">
        <v>5539</v>
      </c>
      <c r="D930" s="1" t="s">
        <v>2498</v>
      </c>
      <c r="E930" s="1">
        <v>85388</v>
      </c>
      <c r="F930" s="1" t="s">
        <v>2730</v>
      </c>
      <c r="G930" s="1" t="s">
        <v>5179</v>
      </c>
      <c r="H930" s="4" t="s">
        <v>1366</v>
      </c>
      <c r="I930" s="5" t="s">
        <v>2659</v>
      </c>
      <c r="J930" s="5" t="s">
        <v>24</v>
      </c>
      <c r="K930" s="5" t="s">
        <v>24</v>
      </c>
      <c r="L930" s="5" t="s">
        <v>75</v>
      </c>
      <c r="M930" s="5" t="s">
        <v>24</v>
      </c>
      <c r="N930" s="5" t="s">
        <v>24</v>
      </c>
      <c r="O930" s="5" t="s">
        <v>75</v>
      </c>
      <c r="P930" s="5" t="s">
        <v>2413</v>
      </c>
      <c r="Q930" s="2">
        <v>45961</v>
      </c>
      <c r="V930" s="45">
        <f t="shared" si="14"/>
        <v>1</v>
      </c>
      <c r="W930" s="45" t="s">
        <v>5540</v>
      </c>
    </row>
    <row r="931" spans="1:23" ht="11.85" hidden="1" customHeight="1">
      <c r="A931" s="2">
        <v>45907</v>
      </c>
      <c r="B931" s="1" t="s">
        <v>5541</v>
      </c>
      <c r="C931" s="1" t="s">
        <v>4577</v>
      </c>
      <c r="D931" s="1" t="s">
        <v>2605</v>
      </c>
      <c r="E931" s="1">
        <v>85345</v>
      </c>
      <c r="F931" s="1" t="s">
        <v>2730</v>
      </c>
      <c r="G931" s="1" t="s">
        <v>5179</v>
      </c>
      <c r="H931" s="4" t="s">
        <v>322</v>
      </c>
      <c r="I931" s="5" t="s">
        <v>2432</v>
      </c>
      <c r="J931" s="5" t="s">
        <v>24</v>
      </c>
      <c r="K931" s="5" t="s">
        <v>24</v>
      </c>
      <c r="L931" s="7" t="s">
        <v>5542</v>
      </c>
      <c r="M931" s="5" t="s">
        <v>24</v>
      </c>
      <c r="N931" s="5" t="s">
        <v>24</v>
      </c>
      <c r="O931" s="5" t="s">
        <v>75</v>
      </c>
      <c r="P931" s="2">
        <v>45939</v>
      </c>
      <c r="Q931" s="2">
        <v>45961</v>
      </c>
      <c r="R931" s="1" t="s">
        <v>5299</v>
      </c>
      <c r="V931" s="45">
        <f t="shared" si="14"/>
        <v>1</v>
      </c>
      <c r="W931" s="45" t="s">
        <v>5543</v>
      </c>
    </row>
    <row r="932" spans="1:23" ht="11.85" hidden="1" customHeight="1">
      <c r="A932" s="2">
        <v>45907</v>
      </c>
      <c r="B932" s="1" t="s">
        <v>5544</v>
      </c>
      <c r="C932" s="1" t="s">
        <v>4365</v>
      </c>
      <c r="D932" s="1" t="s">
        <v>2513</v>
      </c>
      <c r="E932" s="1">
        <v>85260</v>
      </c>
      <c r="F932" s="1" t="s">
        <v>2730</v>
      </c>
      <c r="G932" s="1" t="s">
        <v>5179</v>
      </c>
      <c r="H932" s="4" t="s">
        <v>1368</v>
      </c>
      <c r="I932" s="5" t="s">
        <v>2597</v>
      </c>
      <c r="J932" s="5" t="s">
        <v>24</v>
      </c>
      <c r="K932" s="5" t="s">
        <v>24</v>
      </c>
      <c r="L932" s="5" t="s">
        <v>75</v>
      </c>
      <c r="M932" s="5" t="s">
        <v>24</v>
      </c>
      <c r="N932" s="5" t="s">
        <v>24</v>
      </c>
      <c r="O932" s="5" t="s">
        <v>75</v>
      </c>
      <c r="P932" s="2">
        <v>45938</v>
      </c>
      <c r="Q932" s="2">
        <v>45961</v>
      </c>
      <c r="R932" s="1" t="s">
        <v>5545</v>
      </c>
      <c r="V932" s="45">
        <f t="shared" si="14"/>
        <v>1</v>
      </c>
      <c r="W932" s="45" t="s">
        <v>5546</v>
      </c>
    </row>
    <row r="933" spans="1:23" ht="11.85" hidden="1" customHeight="1">
      <c r="A933" s="2">
        <v>45907</v>
      </c>
      <c r="B933" s="1" t="s">
        <v>2986</v>
      </c>
      <c r="C933" s="1" t="s">
        <v>2512</v>
      </c>
      <c r="D933" s="1" t="s">
        <v>2950</v>
      </c>
      <c r="E933" s="1">
        <v>86001</v>
      </c>
      <c r="F933" s="1" t="s">
        <v>2730</v>
      </c>
      <c r="G933" s="1" t="s">
        <v>5179</v>
      </c>
      <c r="H933" s="4" t="s">
        <v>1370</v>
      </c>
      <c r="I933" s="5" t="s">
        <v>2451</v>
      </c>
      <c r="J933" s="5" t="s">
        <v>24</v>
      </c>
      <c r="K933" s="5" t="s">
        <v>24</v>
      </c>
      <c r="L933" s="5" t="s">
        <v>75</v>
      </c>
      <c r="M933" s="5" t="s">
        <v>24</v>
      </c>
      <c r="N933" s="5" t="s">
        <v>24</v>
      </c>
      <c r="O933" s="5" t="s">
        <v>75</v>
      </c>
      <c r="P933" s="5" t="s">
        <v>2413</v>
      </c>
      <c r="Q933" s="2">
        <v>45961</v>
      </c>
      <c r="V933" s="45">
        <f t="shared" si="14"/>
        <v>1</v>
      </c>
      <c r="W933" s="45" t="s">
        <v>5547</v>
      </c>
    </row>
    <row r="934" spans="1:23" ht="11.85" hidden="1" customHeight="1">
      <c r="A934" s="2">
        <v>45907</v>
      </c>
      <c r="B934" s="1" t="s">
        <v>2885</v>
      </c>
      <c r="C934" s="1" t="s">
        <v>2527</v>
      </c>
      <c r="D934" s="1" t="s">
        <v>2398</v>
      </c>
      <c r="E934" s="1">
        <v>85304</v>
      </c>
      <c r="F934" s="1" t="s">
        <v>5548</v>
      </c>
      <c r="G934" s="1" t="s">
        <v>5179</v>
      </c>
      <c r="H934" s="4" t="s">
        <v>2613</v>
      </c>
      <c r="V934" s="45">
        <f t="shared" si="14"/>
        <v>1</v>
      </c>
      <c r="W934" s="45" t="s">
        <v>5549</v>
      </c>
    </row>
    <row r="935" spans="1:23" ht="11.85" hidden="1" customHeight="1">
      <c r="A935" s="2">
        <v>45907</v>
      </c>
      <c r="B935" s="1" t="s">
        <v>5550</v>
      </c>
      <c r="C935" s="1" t="s">
        <v>5551</v>
      </c>
      <c r="D935" s="1" t="s">
        <v>2498</v>
      </c>
      <c r="E935" s="1">
        <v>85379</v>
      </c>
      <c r="F935" s="1" t="s">
        <v>5552</v>
      </c>
      <c r="G935" s="1" t="s">
        <v>5179</v>
      </c>
      <c r="H935" s="4" t="s">
        <v>1372</v>
      </c>
      <c r="I935" s="5" t="s">
        <v>2514</v>
      </c>
      <c r="J935" s="5" t="s">
        <v>24</v>
      </c>
      <c r="K935" s="5" t="s">
        <v>24</v>
      </c>
      <c r="L935" s="5" t="s">
        <v>75</v>
      </c>
      <c r="M935" s="5" t="s">
        <v>24</v>
      </c>
      <c r="N935" s="5" t="s">
        <v>24</v>
      </c>
      <c r="O935" s="5" t="s">
        <v>75</v>
      </c>
      <c r="P935" s="5" t="s">
        <v>2413</v>
      </c>
      <c r="Q935" s="2">
        <v>45961</v>
      </c>
      <c r="V935" s="45">
        <f t="shared" si="14"/>
        <v>1</v>
      </c>
      <c r="W935" s="45" t="s">
        <v>5553</v>
      </c>
    </row>
    <row r="936" spans="1:23" ht="11.85" hidden="1" customHeight="1">
      <c r="A936" s="2">
        <v>45907</v>
      </c>
      <c r="B936" s="1" t="s">
        <v>5554</v>
      </c>
      <c r="C936" s="1" t="s">
        <v>5555</v>
      </c>
      <c r="D936" s="1" t="s">
        <v>2969</v>
      </c>
      <c r="E936" s="1">
        <v>85392</v>
      </c>
      <c r="F936" s="1" t="s">
        <v>3723</v>
      </c>
      <c r="G936" s="1" t="s">
        <v>5179</v>
      </c>
      <c r="H936" s="4" t="s">
        <v>324</v>
      </c>
      <c r="I936" s="5" t="s">
        <v>4414</v>
      </c>
      <c r="J936" s="5" t="s">
        <v>24</v>
      </c>
      <c r="K936" s="5" t="s">
        <v>24</v>
      </c>
      <c r="L936" s="5" t="s">
        <v>2831</v>
      </c>
      <c r="M936" s="5" t="s">
        <v>24</v>
      </c>
      <c r="N936" s="5" t="s">
        <v>24</v>
      </c>
      <c r="O936" s="5" t="s">
        <v>75</v>
      </c>
      <c r="P936" s="5" t="s">
        <v>2413</v>
      </c>
      <c r="Q936" s="2">
        <v>45961</v>
      </c>
      <c r="R936" s="1" t="s">
        <v>5556</v>
      </c>
      <c r="V936" s="45">
        <f t="shared" si="14"/>
        <v>1</v>
      </c>
      <c r="W936" s="45" t="s">
        <v>5557</v>
      </c>
    </row>
    <row r="937" spans="1:23" ht="11.85" hidden="1" customHeight="1">
      <c r="A937" s="2">
        <v>45907</v>
      </c>
      <c r="B937" s="1" t="s">
        <v>4077</v>
      </c>
      <c r="C937" s="1" t="s">
        <v>5558</v>
      </c>
      <c r="D937" s="1" t="s">
        <v>2605</v>
      </c>
      <c r="E937" s="1">
        <v>85382</v>
      </c>
      <c r="F937" s="1" t="s">
        <v>5072</v>
      </c>
      <c r="G937" s="1" t="s">
        <v>5179</v>
      </c>
      <c r="H937" s="4" t="s">
        <v>1374</v>
      </c>
      <c r="I937" s="5" t="s">
        <v>2451</v>
      </c>
      <c r="J937" s="5" t="s">
        <v>24</v>
      </c>
      <c r="K937" s="5" t="s">
        <v>24</v>
      </c>
      <c r="L937" s="5" t="s">
        <v>75</v>
      </c>
      <c r="M937" s="5" t="s">
        <v>24</v>
      </c>
      <c r="N937" s="5" t="s">
        <v>24</v>
      </c>
      <c r="O937" s="5" t="s">
        <v>75</v>
      </c>
      <c r="P937" s="5" t="s">
        <v>2413</v>
      </c>
      <c r="Q937" s="2">
        <v>45961</v>
      </c>
      <c r="V937" s="45">
        <f t="shared" si="14"/>
        <v>1</v>
      </c>
      <c r="W937" s="45" t="s">
        <v>5559</v>
      </c>
    </row>
    <row r="938" spans="1:23" ht="11.85" hidden="1" customHeight="1">
      <c r="A938" s="2">
        <v>45907</v>
      </c>
      <c r="B938" s="1" t="s">
        <v>5560</v>
      </c>
      <c r="C938" s="1" t="s">
        <v>4832</v>
      </c>
      <c r="D938" s="1" t="s">
        <v>5561</v>
      </c>
      <c r="E938" s="1">
        <v>86023</v>
      </c>
      <c r="F938" s="1" t="s">
        <v>2730</v>
      </c>
      <c r="G938" s="1" t="s">
        <v>5179</v>
      </c>
      <c r="H938" s="4" t="s">
        <v>1376</v>
      </c>
      <c r="I938" s="5" t="s">
        <v>2451</v>
      </c>
      <c r="J938" s="5" t="s">
        <v>24</v>
      </c>
      <c r="K938" s="5" t="s">
        <v>24</v>
      </c>
      <c r="L938" s="5" t="s">
        <v>75</v>
      </c>
      <c r="M938" s="5" t="s">
        <v>24</v>
      </c>
      <c r="N938" s="5" t="s">
        <v>24</v>
      </c>
      <c r="O938" s="5" t="s">
        <v>75</v>
      </c>
      <c r="P938" s="5" t="s">
        <v>2413</v>
      </c>
      <c r="Q938" s="2">
        <v>45961</v>
      </c>
      <c r="V938" s="45">
        <f t="shared" si="14"/>
        <v>1</v>
      </c>
      <c r="W938" s="45" t="s">
        <v>5562</v>
      </c>
    </row>
    <row r="939" spans="1:23" ht="11.85" hidden="1" customHeight="1">
      <c r="A939" s="2">
        <v>45907</v>
      </c>
      <c r="B939" s="1" t="s">
        <v>5563</v>
      </c>
      <c r="C939" s="1" t="s">
        <v>2912</v>
      </c>
      <c r="D939" s="1" t="s">
        <v>2439</v>
      </c>
      <c r="E939" s="1">
        <v>85020</v>
      </c>
      <c r="F939" s="1" t="s">
        <v>2730</v>
      </c>
      <c r="G939" s="1" t="s">
        <v>5179</v>
      </c>
      <c r="H939" s="4" t="s">
        <v>1378</v>
      </c>
      <c r="I939" s="5" t="s">
        <v>2988</v>
      </c>
      <c r="J939" s="5" t="s">
        <v>24</v>
      </c>
      <c r="K939" s="5" t="s">
        <v>24</v>
      </c>
      <c r="L939" s="5" t="s">
        <v>2819</v>
      </c>
      <c r="M939" s="5" t="s">
        <v>24</v>
      </c>
      <c r="N939" s="5" t="s">
        <v>24</v>
      </c>
      <c r="O939" s="5" t="s">
        <v>75</v>
      </c>
      <c r="P939" s="5" t="s">
        <v>2413</v>
      </c>
      <c r="Q939" s="2">
        <v>45961</v>
      </c>
      <c r="V939" s="45">
        <f t="shared" si="14"/>
        <v>1</v>
      </c>
      <c r="W939" s="45" t="s">
        <v>5564</v>
      </c>
    </row>
    <row r="940" spans="1:23" ht="11.85" hidden="1" customHeight="1">
      <c r="A940" s="2">
        <v>45907</v>
      </c>
      <c r="B940" s="1" t="s">
        <v>5565</v>
      </c>
      <c r="C940" s="1" t="s">
        <v>5566</v>
      </c>
      <c r="D940" s="1" t="s">
        <v>2439</v>
      </c>
      <c r="E940" s="1">
        <v>85006</v>
      </c>
      <c r="F940" s="1" t="s">
        <v>2406</v>
      </c>
      <c r="G940" s="1" t="s">
        <v>5179</v>
      </c>
      <c r="H940" s="4" t="s">
        <v>2471</v>
      </c>
      <c r="V940" s="45">
        <f t="shared" si="14"/>
        <v>1</v>
      </c>
      <c r="W940" s="45" t="s">
        <v>5567</v>
      </c>
    </row>
    <row r="941" spans="1:23" ht="11.85" hidden="1" customHeight="1">
      <c r="A941" s="2">
        <v>45907</v>
      </c>
      <c r="B941" s="1" t="s">
        <v>5568</v>
      </c>
      <c r="C941" s="1" t="s">
        <v>5569</v>
      </c>
      <c r="D941" s="1" t="s">
        <v>2439</v>
      </c>
      <c r="E941" s="1">
        <v>85006</v>
      </c>
      <c r="F941" s="1" t="s">
        <v>5570</v>
      </c>
      <c r="G941" s="1" t="s">
        <v>5179</v>
      </c>
      <c r="H941" s="4" t="s">
        <v>2401</v>
      </c>
      <c r="V941" s="45">
        <f t="shared" si="14"/>
        <v>1</v>
      </c>
      <c r="W941" s="45" t="s">
        <v>5571</v>
      </c>
    </row>
    <row r="942" spans="1:23" ht="11.85" hidden="1" customHeight="1">
      <c r="A942" s="2">
        <v>45907</v>
      </c>
      <c r="B942" s="1" t="s">
        <v>5572</v>
      </c>
      <c r="C942" s="1" t="s">
        <v>2812</v>
      </c>
      <c r="D942" s="1" t="s">
        <v>2498</v>
      </c>
      <c r="E942" s="1">
        <v>85374</v>
      </c>
      <c r="F942" s="1" t="s">
        <v>2730</v>
      </c>
      <c r="G942" s="1" t="s">
        <v>5179</v>
      </c>
      <c r="H942" s="4" t="s">
        <v>326</v>
      </c>
      <c r="I942" s="5" t="s">
        <v>2597</v>
      </c>
      <c r="J942" s="5" t="s">
        <v>24</v>
      </c>
      <c r="K942" s="5" t="s">
        <v>24</v>
      </c>
      <c r="L942" s="5" t="s">
        <v>5573</v>
      </c>
      <c r="M942" s="5" t="s">
        <v>24</v>
      </c>
      <c r="N942" s="5" t="s">
        <v>24</v>
      </c>
      <c r="O942" s="5" t="s">
        <v>75</v>
      </c>
      <c r="P942" s="5" t="s">
        <v>2413</v>
      </c>
      <c r="Q942" s="2">
        <v>45961</v>
      </c>
      <c r="V942" s="45">
        <f t="shared" si="14"/>
        <v>1</v>
      </c>
      <c r="W942" s="45" t="s">
        <v>5574</v>
      </c>
    </row>
    <row r="943" spans="1:23" ht="11.85" hidden="1" customHeight="1">
      <c r="A943" s="2">
        <v>45907</v>
      </c>
      <c r="B943" s="1" t="s">
        <v>2867</v>
      </c>
      <c r="C943" s="1" t="s">
        <v>5575</v>
      </c>
      <c r="D943" s="1" t="s">
        <v>2439</v>
      </c>
      <c r="E943" s="1">
        <v>85016</v>
      </c>
      <c r="F943" s="1" t="s">
        <v>2730</v>
      </c>
      <c r="G943" s="1" t="s">
        <v>5179</v>
      </c>
      <c r="H943" s="4" t="s">
        <v>1380</v>
      </c>
      <c r="I943" s="5" t="s">
        <v>2514</v>
      </c>
      <c r="J943" s="5" t="s">
        <v>24</v>
      </c>
      <c r="K943" s="5" t="s">
        <v>24</v>
      </c>
      <c r="L943" s="5" t="s">
        <v>75</v>
      </c>
      <c r="M943" s="5" t="s">
        <v>24</v>
      </c>
      <c r="N943" s="5" t="s">
        <v>24</v>
      </c>
      <c r="O943" s="5" t="s">
        <v>75</v>
      </c>
      <c r="P943" s="5" t="s">
        <v>2413</v>
      </c>
      <c r="Q943" s="2">
        <v>45961</v>
      </c>
      <c r="V943" s="45">
        <f t="shared" si="14"/>
        <v>1</v>
      </c>
      <c r="W943" s="45" t="s">
        <v>5576</v>
      </c>
    </row>
    <row r="944" spans="1:23" ht="11.85" hidden="1" customHeight="1">
      <c r="A944" s="2">
        <v>45907</v>
      </c>
      <c r="B944" s="1" t="s">
        <v>5577</v>
      </c>
      <c r="C944" s="1" t="s">
        <v>3065</v>
      </c>
      <c r="D944" s="1" t="s">
        <v>5252</v>
      </c>
      <c r="E944" s="1">
        <v>85132</v>
      </c>
      <c r="F944" s="1" t="s">
        <v>2406</v>
      </c>
      <c r="G944" s="1" t="s">
        <v>5179</v>
      </c>
      <c r="H944" s="4" t="s">
        <v>2401</v>
      </c>
      <c r="V944" s="45">
        <f t="shared" si="14"/>
        <v>1</v>
      </c>
      <c r="W944" s="45" t="s">
        <v>5578</v>
      </c>
    </row>
    <row r="945" spans="1:23" ht="11.85" hidden="1" customHeight="1">
      <c r="A945" s="2">
        <v>45907</v>
      </c>
      <c r="B945" s="1" t="s">
        <v>5579</v>
      </c>
      <c r="C945" s="1" t="s">
        <v>2826</v>
      </c>
      <c r="D945" s="1" t="s">
        <v>2439</v>
      </c>
      <c r="E945" s="1">
        <v>85012</v>
      </c>
      <c r="F945" s="1" t="s">
        <v>2730</v>
      </c>
      <c r="G945" s="1" t="s">
        <v>5179</v>
      </c>
      <c r="H945" s="4" t="s">
        <v>328</v>
      </c>
      <c r="I945" s="5" t="s">
        <v>2514</v>
      </c>
      <c r="J945" s="5" t="s">
        <v>24</v>
      </c>
      <c r="K945" s="5" t="s">
        <v>24</v>
      </c>
      <c r="L945" s="5" t="s">
        <v>5580</v>
      </c>
      <c r="M945" s="5" t="s">
        <v>24</v>
      </c>
      <c r="N945" s="5" t="s">
        <v>24</v>
      </c>
      <c r="O945" s="5" t="s">
        <v>75</v>
      </c>
      <c r="P945" s="5" t="s">
        <v>2413</v>
      </c>
      <c r="Q945" s="2">
        <v>45961</v>
      </c>
      <c r="V945" s="45">
        <f t="shared" si="14"/>
        <v>1</v>
      </c>
      <c r="W945" s="45" t="s">
        <v>5581</v>
      </c>
    </row>
    <row r="946" spans="1:23" ht="11.85" hidden="1" customHeight="1">
      <c r="A946" s="2">
        <v>45907</v>
      </c>
      <c r="B946" s="1" t="s">
        <v>4436</v>
      </c>
      <c r="C946" s="1" t="s">
        <v>5582</v>
      </c>
      <c r="D946" s="1" t="s">
        <v>2439</v>
      </c>
      <c r="E946" s="1">
        <v>85032</v>
      </c>
      <c r="F946" s="1" t="s">
        <v>2730</v>
      </c>
      <c r="G946" s="1" t="s">
        <v>5179</v>
      </c>
      <c r="H946" s="4" t="s">
        <v>2613</v>
      </c>
      <c r="V946" s="45">
        <f t="shared" si="14"/>
        <v>1</v>
      </c>
      <c r="W946" s="45" t="s">
        <v>5583</v>
      </c>
    </row>
    <row r="947" spans="1:23" ht="11.85" hidden="1" customHeight="1">
      <c r="A947" s="2">
        <v>45907</v>
      </c>
      <c r="B947" s="1" t="s">
        <v>4794</v>
      </c>
      <c r="C947" s="1" t="s">
        <v>3461</v>
      </c>
      <c r="D947" s="1" t="s">
        <v>2439</v>
      </c>
      <c r="E947" s="1">
        <v>85012</v>
      </c>
      <c r="F947" s="1" t="s">
        <v>2406</v>
      </c>
      <c r="G947" s="1" t="s">
        <v>5179</v>
      </c>
      <c r="H947" s="4" t="s">
        <v>1382</v>
      </c>
      <c r="I947" s="5" t="s">
        <v>2514</v>
      </c>
      <c r="J947" s="5" t="s">
        <v>24</v>
      </c>
      <c r="K947" s="5" t="s">
        <v>24</v>
      </c>
      <c r="L947" s="5" t="s">
        <v>75</v>
      </c>
      <c r="M947" s="5" t="s">
        <v>24</v>
      </c>
      <c r="N947" s="5" t="s">
        <v>24</v>
      </c>
      <c r="O947" s="5" t="s">
        <v>75</v>
      </c>
      <c r="P947" s="5" t="s">
        <v>2413</v>
      </c>
      <c r="Q947" s="2">
        <v>45961</v>
      </c>
      <c r="V947" s="45">
        <f t="shared" si="14"/>
        <v>1</v>
      </c>
      <c r="W947" s="45" t="s">
        <v>5584</v>
      </c>
    </row>
    <row r="948" spans="1:23" ht="11.85" hidden="1" customHeight="1">
      <c r="A948" s="2">
        <v>45907</v>
      </c>
      <c r="B948" s="1" t="s">
        <v>4436</v>
      </c>
      <c r="C948" s="1" t="s">
        <v>2924</v>
      </c>
      <c r="D948" s="1" t="s">
        <v>2439</v>
      </c>
      <c r="E948" s="1">
        <v>85032</v>
      </c>
      <c r="F948" s="1" t="s">
        <v>5585</v>
      </c>
      <c r="G948" s="1" t="s">
        <v>5179</v>
      </c>
      <c r="H948" s="4" t="s">
        <v>330</v>
      </c>
      <c r="I948" s="5" t="s">
        <v>2412</v>
      </c>
      <c r="J948" s="5" t="s">
        <v>24</v>
      </c>
      <c r="K948" s="5" t="s">
        <v>24</v>
      </c>
      <c r="L948" s="5" t="s">
        <v>2412</v>
      </c>
      <c r="M948" s="5" t="s">
        <v>24</v>
      </c>
      <c r="N948" s="5" t="s">
        <v>24</v>
      </c>
      <c r="O948" s="5" t="s">
        <v>75</v>
      </c>
      <c r="P948" s="5" t="s">
        <v>2413</v>
      </c>
      <c r="Q948" s="2">
        <v>45961</v>
      </c>
      <c r="V948" s="45">
        <f t="shared" si="14"/>
        <v>1</v>
      </c>
      <c r="W948" s="125" t="s">
        <v>5586</v>
      </c>
    </row>
    <row r="949" spans="1:23" ht="11.85" hidden="1" customHeight="1">
      <c r="A949" s="2">
        <v>45907</v>
      </c>
      <c r="B949" s="1" t="s">
        <v>2888</v>
      </c>
      <c r="C949" s="1" t="s">
        <v>5587</v>
      </c>
      <c r="D949" s="1" t="s">
        <v>2439</v>
      </c>
      <c r="E949" s="1">
        <v>85032</v>
      </c>
      <c r="F949" s="1" t="s">
        <v>2730</v>
      </c>
      <c r="G949" s="1" t="s">
        <v>5179</v>
      </c>
      <c r="H949" s="4" t="s">
        <v>332</v>
      </c>
      <c r="I949" s="5" t="s">
        <v>2597</v>
      </c>
      <c r="J949" s="5" t="s">
        <v>24</v>
      </c>
      <c r="K949" s="5" t="s">
        <v>24</v>
      </c>
      <c r="L949" s="5" t="s">
        <v>5588</v>
      </c>
      <c r="M949" s="5" t="s">
        <v>24</v>
      </c>
      <c r="N949" s="5" t="s">
        <v>24</v>
      </c>
      <c r="O949" s="5" t="s">
        <v>75</v>
      </c>
      <c r="P949" s="5" t="s">
        <v>2413</v>
      </c>
      <c r="Q949" s="2">
        <v>45961</v>
      </c>
      <c r="R949" s="1" t="s">
        <v>5589</v>
      </c>
      <c r="V949" s="45">
        <f t="shared" si="14"/>
        <v>1</v>
      </c>
      <c r="W949" s="45" t="s">
        <v>5590</v>
      </c>
    </row>
    <row r="950" spans="1:23" ht="11.85" hidden="1" customHeight="1">
      <c r="A950" s="2">
        <v>45907</v>
      </c>
      <c r="B950" s="1" t="s">
        <v>5591</v>
      </c>
      <c r="C950" s="1" t="s">
        <v>2601</v>
      </c>
      <c r="D950" s="1" t="s">
        <v>2950</v>
      </c>
      <c r="E950" s="1">
        <v>86001</v>
      </c>
      <c r="F950" s="1" t="s">
        <v>2406</v>
      </c>
      <c r="G950" s="1" t="s">
        <v>5179</v>
      </c>
      <c r="H950" s="4" t="s">
        <v>2471</v>
      </c>
      <c r="V950" s="45">
        <f t="shared" si="14"/>
        <v>1</v>
      </c>
      <c r="W950" s="45" t="s">
        <v>5592</v>
      </c>
    </row>
    <row r="951" spans="1:23" ht="11.85" hidden="1" customHeight="1">
      <c r="A951" s="2">
        <v>45907</v>
      </c>
      <c r="B951" s="1" t="s">
        <v>5593</v>
      </c>
      <c r="C951" s="1" t="s">
        <v>4577</v>
      </c>
      <c r="D951" s="1" t="s">
        <v>2398</v>
      </c>
      <c r="E951" s="1">
        <v>85308</v>
      </c>
      <c r="F951" s="1" t="s">
        <v>2730</v>
      </c>
      <c r="G951" s="1" t="s">
        <v>5179</v>
      </c>
      <c r="H951" s="4" t="s">
        <v>334</v>
      </c>
      <c r="I951" s="5" t="s">
        <v>2597</v>
      </c>
      <c r="J951" s="5" t="s">
        <v>24</v>
      </c>
      <c r="K951" s="5" t="s">
        <v>24</v>
      </c>
      <c r="L951" s="5" t="s">
        <v>5594</v>
      </c>
      <c r="M951" s="5" t="s">
        <v>24</v>
      </c>
      <c r="N951" s="5" t="s">
        <v>24</v>
      </c>
      <c r="O951" s="5" t="s">
        <v>75</v>
      </c>
      <c r="P951" s="5" t="s">
        <v>2413</v>
      </c>
      <c r="Q951" s="2">
        <v>45961</v>
      </c>
      <c r="V951" s="45">
        <f t="shared" si="14"/>
        <v>1</v>
      </c>
      <c r="W951" s="45" t="s">
        <v>5595</v>
      </c>
    </row>
    <row r="952" spans="1:23" ht="11.85" hidden="1" customHeight="1">
      <c r="A952" s="2">
        <v>45907</v>
      </c>
      <c r="B952" s="1" t="s">
        <v>5596</v>
      </c>
      <c r="C952" s="1" t="s">
        <v>3078</v>
      </c>
      <c r="D952" s="1" t="s">
        <v>2398</v>
      </c>
      <c r="E952" s="1">
        <v>85310</v>
      </c>
      <c r="F952" s="1" t="s">
        <v>5597</v>
      </c>
      <c r="G952" s="1" t="s">
        <v>5179</v>
      </c>
      <c r="H952" s="4" t="s">
        <v>337</v>
      </c>
      <c r="I952" s="5" t="s">
        <v>2597</v>
      </c>
      <c r="J952" s="5" t="s">
        <v>24</v>
      </c>
      <c r="K952" s="5" t="s">
        <v>24</v>
      </c>
      <c r="L952" s="7" t="s">
        <v>5598</v>
      </c>
      <c r="M952" s="5" t="s">
        <v>24</v>
      </c>
      <c r="N952" s="5" t="s">
        <v>24</v>
      </c>
      <c r="O952" s="5" t="s">
        <v>75</v>
      </c>
      <c r="P952" s="2">
        <v>45938</v>
      </c>
      <c r="Q952" s="2">
        <v>45961</v>
      </c>
      <c r="R952" s="1" t="s">
        <v>5599</v>
      </c>
      <c r="V952" s="45">
        <f t="shared" si="14"/>
        <v>1</v>
      </c>
      <c r="W952" s="45" t="s">
        <v>5600</v>
      </c>
    </row>
    <row r="953" spans="1:23" ht="11.85" hidden="1" customHeight="1">
      <c r="A953" s="2">
        <v>45907</v>
      </c>
      <c r="B953" s="1" t="s">
        <v>5601</v>
      </c>
      <c r="C953" s="1" t="s">
        <v>5602</v>
      </c>
      <c r="D953" s="1" t="s">
        <v>2405</v>
      </c>
      <c r="E953" s="1" t="s">
        <v>2405</v>
      </c>
      <c r="F953" s="1" t="s">
        <v>5603</v>
      </c>
      <c r="G953" s="1" t="s">
        <v>5179</v>
      </c>
      <c r="H953" s="4" t="s">
        <v>1384</v>
      </c>
      <c r="I953" s="5" t="s">
        <v>2412</v>
      </c>
      <c r="J953" s="5" t="s">
        <v>24</v>
      </c>
      <c r="K953" s="5" t="s">
        <v>24</v>
      </c>
      <c r="L953" s="5" t="s">
        <v>75</v>
      </c>
      <c r="M953" s="5" t="s">
        <v>24</v>
      </c>
      <c r="N953" s="5" t="s">
        <v>24</v>
      </c>
      <c r="O953" s="5" t="s">
        <v>75</v>
      </c>
      <c r="P953" s="5" t="s">
        <v>2413</v>
      </c>
      <c r="Q953" s="2">
        <v>45961</v>
      </c>
      <c r="V953" s="45">
        <f t="shared" si="14"/>
        <v>1</v>
      </c>
      <c r="W953" s="45" t="s">
        <v>5604</v>
      </c>
    </row>
    <row r="954" spans="1:23" ht="11.85" hidden="1" customHeight="1">
      <c r="A954" s="2">
        <v>45907</v>
      </c>
      <c r="B954" s="1" t="s">
        <v>5605</v>
      </c>
      <c r="C954" s="1" t="s">
        <v>5606</v>
      </c>
      <c r="D954" s="1" t="s">
        <v>2439</v>
      </c>
      <c r="E954" s="1">
        <v>85022</v>
      </c>
      <c r="F954" s="1" t="s">
        <v>2406</v>
      </c>
      <c r="G954" s="1" t="s">
        <v>5179</v>
      </c>
      <c r="H954" s="4" t="s">
        <v>1386</v>
      </c>
      <c r="I954" s="5" t="s">
        <v>2597</v>
      </c>
      <c r="J954" s="5" t="s">
        <v>24</v>
      </c>
      <c r="K954" s="5" t="s">
        <v>24</v>
      </c>
      <c r="L954" s="5" t="s">
        <v>75</v>
      </c>
      <c r="M954" s="5" t="s">
        <v>24</v>
      </c>
      <c r="N954" s="5" t="s">
        <v>24</v>
      </c>
      <c r="O954" s="5" t="s">
        <v>75</v>
      </c>
      <c r="P954" s="5" t="s">
        <v>2413</v>
      </c>
      <c r="Q954" s="2">
        <v>45961</v>
      </c>
      <c r="V954" s="45">
        <f t="shared" si="14"/>
        <v>1</v>
      </c>
      <c r="W954" s="45" t="s">
        <v>5607</v>
      </c>
    </row>
    <row r="955" spans="1:23" ht="11.85" hidden="1" customHeight="1">
      <c r="A955" s="2">
        <v>45907</v>
      </c>
      <c r="B955" s="1" t="s">
        <v>5608</v>
      </c>
      <c r="C955" s="1" t="s">
        <v>5609</v>
      </c>
      <c r="D955" s="1" t="s">
        <v>2405</v>
      </c>
      <c r="E955" s="1" t="s">
        <v>2405</v>
      </c>
      <c r="F955" s="1" t="s">
        <v>5610</v>
      </c>
      <c r="G955" s="1" t="s">
        <v>5179</v>
      </c>
      <c r="H955" s="4" t="s">
        <v>1388</v>
      </c>
      <c r="I955" s="5" t="s">
        <v>2848</v>
      </c>
      <c r="J955" s="5" t="s">
        <v>24</v>
      </c>
      <c r="K955" s="5" t="s">
        <v>24</v>
      </c>
      <c r="L955" s="5" t="s">
        <v>2819</v>
      </c>
      <c r="M955" s="5" t="s">
        <v>24</v>
      </c>
      <c r="N955" s="5" t="s">
        <v>24</v>
      </c>
      <c r="O955" s="5" t="s">
        <v>75</v>
      </c>
      <c r="P955" s="5" t="s">
        <v>2413</v>
      </c>
      <c r="Q955" s="2">
        <v>45961</v>
      </c>
      <c r="V955" s="45">
        <f t="shared" si="14"/>
        <v>1</v>
      </c>
      <c r="W955" s="45" t="s">
        <v>5611</v>
      </c>
    </row>
    <row r="956" spans="1:23" ht="11.85" hidden="1" customHeight="1">
      <c r="A956" s="2">
        <v>45907</v>
      </c>
      <c r="B956" s="1" t="s">
        <v>5612</v>
      </c>
      <c r="C956" s="1" t="s">
        <v>5071</v>
      </c>
      <c r="D956" s="1" t="s">
        <v>2498</v>
      </c>
      <c r="E956" s="1">
        <v>85388</v>
      </c>
      <c r="F956" s="1" t="s">
        <v>2406</v>
      </c>
      <c r="G956" s="1" t="s">
        <v>5179</v>
      </c>
      <c r="H956" s="21" t="s">
        <v>5613</v>
      </c>
      <c r="I956" s="5" t="s">
        <v>2514</v>
      </c>
      <c r="J956" s="5" t="s">
        <v>24</v>
      </c>
      <c r="K956" s="5" t="s">
        <v>24</v>
      </c>
      <c r="M956" s="5" t="s">
        <v>24</v>
      </c>
      <c r="N956" s="5" t="s">
        <v>24</v>
      </c>
      <c r="O956" s="5" t="s">
        <v>75</v>
      </c>
      <c r="P956" s="5" t="s">
        <v>2413</v>
      </c>
      <c r="Q956" s="2">
        <v>45961</v>
      </c>
      <c r="R956" s="1" t="s">
        <v>5614</v>
      </c>
      <c r="V956" s="45">
        <f t="shared" si="14"/>
        <v>1</v>
      </c>
      <c r="W956" s="45" t="s">
        <v>5615</v>
      </c>
    </row>
    <row r="957" spans="1:23" ht="11.85" hidden="1" customHeight="1">
      <c r="A957" s="2">
        <v>45907</v>
      </c>
      <c r="B957" s="1" t="s">
        <v>5616</v>
      </c>
      <c r="C957" s="1" t="s">
        <v>5617</v>
      </c>
      <c r="D957" s="1" t="s">
        <v>2439</v>
      </c>
      <c r="E957" s="1">
        <v>85086</v>
      </c>
      <c r="F957" s="1" t="s">
        <v>2406</v>
      </c>
      <c r="G957" s="1" t="s">
        <v>5179</v>
      </c>
      <c r="H957" s="4" t="s">
        <v>1390</v>
      </c>
      <c r="I957" s="5" t="s">
        <v>2659</v>
      </c>
      <c r="J957" s="5" t="s">
        <v>24</v>
      </c>
      <c r="K957" s="5" t="s">
        <v>24</v>
      </c>
      <c r="L957" s="5" t="s">
        <v>4282</v>
      </c>
      <c r="M957" s="5" t="s">
        <v>24</v>
      </c>
      <c r="N957" s="5" t="s">
        <v>24</v>
      </c>
      <c r="O957" s="5" t="s">
        <v>75</v>
      </c>
      <c r="P957" s="5" t="s">
        <v>2413</v>
      </c>
      <c r="Q957" s="2">
        <v>45961</v>
      </c>
      <c r="V957" s="45">
        <f t="shared" si="14"/>
        <v>1</v>
      </c>
      <c r="W957" s="45" t="s">
        <v>5618</v>
      </c>
    </row>
    <row r="958" spans="1:23" ht="11.85" hidden="1" customHeight="1">
      <c r="A958" s="2">
        <v>45907</v>
      </c>
      <c r="B958" s="1" t="s">
        <v>5619</v>
      </c>
      <c r="C958" s="1" t="s">
        <v>5213</v>
      </c>
      <c r="D958" s="1" t="s">
        <v>2475</v>
      </c>
      <c r="E958" s="1">
        <v>85373</v>
      </c>
      <c r="F958" s="1" t="s">
        <v>2406</v>
      </c>
      <c r="G958" s="1" t="s">
        <v>5179</v>
      </c>
      <c r="H958" s="4" t="s">
        <v>339</v>
      </c>
      <c r="I958" s="5" t="s">
        <v>2659</v>
      </c>
      <c r="J958" s="5" t="s">
        <v>24</v>
      </c>
      <c r="K958" s="5" t="s">
        <v>24</v>
      </c>
      <c r="L958" s="7" t="s">
        <v>5620</v>
      </c>
      <c r="M958" s="5" t="s">
        <v>24</v>
      </c>
      <c r="N958" s="5" t="s">
        <v>24</v>
      </c>
      <c r="O958" s="5" t="s">
        <v>75</v>
      </c>
      <c r="P958" s="2">
        <v>45938</v>
      </c>
      <c r="Q958" s="2">
        <v>45961</v>
      </c>
      <c r="R958" s="1" t="s">
        <v>5621</v>
      </c>
      <c r="V958" s="45">
        <f t="shared" si="14"/>
        <v>1</v>
      </c>
      <c r="W958" s="45" t="s">
        <v>5622</v>
      </c>
    </row>
    <row r="959" spans="1:23" ht="11.85" hidden="1" customHeight="1">
      <c r="A959" s="2">
        <v>45907</v>
      </c>
      <c r="B959" s="1" t="s">
        <v>5623</v>
      </c>
      <c r="C959" s="1" t="s">
        <v>5624</v>
      </c>
      <c r="D959" s="1" t="s">
        <v>2439</v>
      </c>
      <c r="E959" s="1">
        <v>85086</v>
      </c>
      <c r="F959" s="1" t="s">
        <v>2406</v>
      </c>
      <c r="G959" s="1" t="s">
        <v>5179</v>
      </c>
      <c r="H959" s="4" t="s">
        <v>1392</v>
      </c>
      <c r="I959" s="5" t="s">
        <v>2412</v>
      </c>
      <c r="J959" s="5" t="s">
        <v>24</v>
      </c>
      <c r="K959" s="5" t="s">
        <v>24</v>
      </c>
      <c r="L959" s="5" t="s">
        <v>4282</v>
      </c>
      <c r="M959" s="5" t="s">
        <v>24</v>
      </c>
      <c r="N959" s="5" t="s">
        <v>24</v>
      </c>
      <c r="O959" s="5" t="s">
        <v>75</v>
      </c>
      <c r="P959" s="5" t="s">
        <v>2413</v>
      </c>
      <c r="Q959" s="2">
        <v>45961</v>
      </c>
      <c r="V959" s="45">
        <f t="shared" si="14"/>
        <v>1</v>
      </c>
      <c r="W959" s="45" t="s">
        <v>5625</v>
      </c>
    </row>
    <row r="960" spans="1:23" ht="11.85" hidden="1" customHeight="1">
      <c r="A960" s="2">
        <v>45907</v>
      </c>
      <c r="B960" s="1" t="s">
        <v>5626</v>
      </c>
      <c r="C960" s="1" t="s">
        <v>5627</v>
      </c>
      <c r="D960" s="1" t="s">
        <v>2513</v>
      </c>
      <c r="E960" s="1">
        <v>85260</v>
      </c>
      <c r="F960" s="1" t="s">
        <v>2406</v>
      </c>
      <c r="G960" s="1" t="s">
        <v>5179</v>
      </c>
      <c r="H960" s="4" t="s">
        <v>1394</v>
      </c>
      <c r="I960" s="5" t="s">
        <v>2412</v>
      </c>
      <c r="J960" s="5" t="s">
        <v>24</v>
      </c>
      <c r="K960" s="5" t="s">
        <v>24</v>
      </c>
      <c r="L960" s="5" t="s">
        <v>4282</v>
      </c>
      <c r="M960" s="5" t="s">
        <v>24</v>
      </c>
      <c r="N960" s="5" t="s">
        <v>24</v>
      </c>
      <c r="O960" s="5" t="s">
        <v>75</v>
      </c>
      <c r="P960" s="5" t="s">
        <v>2413</v>
      </c>
      <c r="Q960" s="2">
        <v>45961</v>
      </c>
      <c r="V960" s="45">
        <f t="shared" si="14"/>
        <v>1</v>
      </c>
      <c r="W960" s="45" t="s">
        <v>5628</v>
      </c>
    </row>
    <row r="961" spans="1:23" ht="11.85" hidden="1" customHeight="1">
      <c r="A961" s="2">
        <v>45907</v>
      </c>
      <c r="B961" s="1" t="s">
        <v>5629</v>
      </c>
      <c r="C961" s="1" t="s">
        <v>5213</v>
      </c>
      <c r="D961" s="1" t="s">
        <v>2405</v>
      </c>
      <c r="E961" s="1" t="s">
        <v>2405</v>
      </c>
      <c r="F961" s="1" t="s">
        <v>2406</v>
      </c>
      <c r="G961" s="1" t="s">
        <v>5179</v>
      </c>
      <c r="H961" s="4" t="s">
        <v>2401</v>
      </c>
      <c r="V961" s="45">
        <f t="shared" si="14"/>
        <v>1</v>
      </c>
      <c r="W961" s="45" t="s">
        <v>5630</v>
      </c>
    </row>
    <row r="962" spans="1:23" ht="11.85" hidden="1" customHeight="1">
      <c r="A962" s="2">
        <v>45907</v>
      </c>
      <c r="B962" s="1" t="s">
        <v>5631</v>
      </c>
      <c r="C962" s="1" t="s">
        <v>5278</v>
      </c>
      <c r="D962" s="1" t="s">
        <v>2405</v>
      </c>
      <c r="E962" s="1" t="s">
        <v>2405</v>
      </c>
      <c r="F962" s="1" t="s">
        <v>2730</v>
      </c>
      <c r="G962" s="1" t="s">
        <v>5179</v>
      </c>
      <c r="H962" s="4" t="s">
        <v>2613</v>
      </c>
      <c r="I962" s="1"/>
      <c r="V962" s="45">
        <f t="shared" ref="V962:V1025" si="15">IF(OR(ISNUMBER(SEARCH("unable to locate acct",G962)),ISNUMBER(SEARCH("unknown",G962)),ISNUMBER(SEARCH("inactive",G962)),H962=""),0,1)</f>
        <v>1</v>
      </c>
      <c r="W962" s="45" t="s">
        <v>5632</v>
      </c>
    </row>
    <row r="963" spans="1:23" ht="11.85" hidden="1" customHeight="1">
      <c r="A963" s="2">
        <v>45907</v>
      </c>
      <c r="B963" s="1" t="s">
        <v>5633</v>
      </c>
      <c r="C963" s="1" t="s">
        <v>3437</v>
      </c>
      <c r="D963" s="1" t="s">
        <v>2405</v>
      </c>
      <c r="E963" s="1" t="s">
        <v>2405</v>
      </c>
      <c r="F963" s="1" t="s">
        <v>2730</v>
      </c>
      <c r="G963" s="1" t="s">
        <v>5179</v>
      </c>
      <c r="H963" s="4" t="s">
        <v>2401</v>
      </c>
      <c r="V963" s="45">
        <f t="shared" si="15"/>
        <v>1</v>
      </c>
      <c r="W963" s="45" t="s">
        <v>5634</v>
      </c>
    </row>
    <row r="964" spans="1:23" ht="11.85" hidden="1" customHeight="1">
      <c r="A964" s="2">
        <v>45907</v>
      </c>
      <c r="B964" s="1" t="s">
        <v>5635</v>
      </c>
      <c r="C964" s="1" t="s">
        <v>4909</v>
      </c>
      <c r="D964" s="1" t="s">
        <v>2405</v>
      </c>
      <c r="E964" s="1" t="s">
        <v>2405</v>
      </c>
      <c r="F964" s="1" t="s">
        <v>2730</v>
      </c>
      <c r="G964" s="1" t="s">
        <v>5179</v>
      </c>
      <c r="H964" s="4" t="s">
        <v>2401</v>
      </c>
      <c r="V964" s="45">
        <f t="shared" si="15"/>
        <v>1</v>
      </c>
      <c r="W964" s="45" t="s">
        <v>5636</v>
      </c>
    </row>
    <row r="965" spans="1:23" ht="11.85" hidden="1" customHeight="1">
      <c r="A965" s="2">
        <v>45907</v>
      </c>
      <c r="B965" s="1" t="s">
        <v>5637</v>
      </c>
      <c r="C965" s="1" t="s">
        <v>5471</v>
      </c>
      <c r="D965" s="1" t="s">
        <v>2439</v>
      </c>
      <c r="E965" s="1">
        <v>85086</v>
      </c>
      <c r="F965" s="1" t="s">
        <v>2730</v>
      </c>
      <c r="G965" s="1" t="s">
        <v>5179</v>
      </c>
      <c r="H965" s="4" t="s">
        <v>40</v>
      </c>
      <c r="I965" s="5" t="s">
        <v>2597</v>
      </c>
      <c r="J965" s="5" t="s">
        <v>24</v>
      </c>
      <c r="K965" s="5" t="s">
        <v>24</v>
      </c>
      <c r="L965" s="5" t="s">
        <v>5638</v>
      </c>
      <c r="M965" s="5" t="s">
        <v>75</v>
      </c>
      <c r="N965" s="13">
        <v>508.72</v>
      </c>
      <c r="O965" s="5" t="s">
        <v>75</v>
      </c>
      <c r="P965" s="5" t="s">
        <v>2413</v>
      </c>
      <c r="Q965" s="2">
        <v>45961</v>
      </c>
      <c r="V965" s="45">
        <f t="shared" si="15"/>
        <v>1</v>
      </c>
      <c r="W965" s="45" t="s">
        <v>5639</v>
      </c>
    </row>
    <row r="966" spans="1:23" ht="11.85" hidden="1" customHeight="1">
      <c r="A966" s="2">
        <v>45908</v>
      </c>
      <c r="B966" s="1" t="s">
        <v>5640</v>
      </c>
      <c r="C966" s="1" t="s">
        <v>5197</v>
      </c>
      <c r="D966" s="1" t="s">
        <v>2470</v>
      </c>
      <c r="E966" s="1">
        <v>86341</v>
      </c>
      <c r="F966" s="1" t="s">
        <v>4757</v>
      </c>
      <c r="G966" s="1" t="s">
        <v>5641</v>
      </c>
      <c r="H966" s="4" t="s">
        <v>341</v>
      </c>
      <c r="I966" s="5" t="s">
        <v>2432</v>
      </c>
      <c r="J966" s="5" t="s">
        <v>24</v>
      </c>
      <c r="K966" s="5" t="s">
        <v>24</v>
      </c>
      <c r="L966" s="7" t="s">
        <v>5642</v>
      </c>
      <c r="M966" s="5" t="s">
        <v>24</v>
      </c>
      <c r="N966" s="5" t="s">
        <v>24</v>
      </c>
      <c r="O966" s="5" t="s">
        <v>75</v>
      </c>
      <c r="P966" s="2">
        <v>45938</v>
      </c>
      <c r="Q966" s="2">
        <v>45961</v>
      </c>
      <c r="R966" s="1" t="s">
        <v>5621</v>
      </c>
      <c r="V966" s="45">
        <f t="shared" si="15"/>
        <v>1</v>
      </c>
      <c r="W966" s="45" t="s">
        <v>5643</v>
      </c>
    </row>
    <row r="967" spans="1:23" ht="11.85" hidden="1" customHeight="1">
      <c r="A967" s="2">
        <v>45909</v>
      </c>
      <c r="B967" s="1" t="s">
        <v>5644</v>
      </c>
      <c r="C967" s="1" t="s">
        <v>5645</v>
      </c>
      <c r="D967" s="1" t="s">
        <v>2439</v>
      </c>
      <c r="E967" s="1">
        <v>85012</v>
      </c>
      <c r="F967" s="1" t="s">
        <v>2730</v>
      </c>
      <c r="G967" s="1" t="s">
        <v>5641</v>
      </c>
      <c r="H967" s="4" t="s">
        <v>1396</v>
      </c>
      <c r="I967" s="5" t="s">
        <v>2514</v>
      </c>
      <c r="J967" s="5" t="s">
        <v>24</v>
      </c>
      <c r="K967" s="5" t="s">
        <v>24</v>
      </c>
      <c r="L967" s="5" t="s">
        <v>4282</v>
      </c>
      <c r="M967" s="5" t="s">
        <v>24</v>
      </c>
      <c r="N967" s="5" t="s">
        <v>24</v>
      </c>
      <c r="O967" s="5" t="s">
        <v>75</v>
      </c>
      <c r="P967" s="5" t="s">
        <v>2413</v>
      </c>
      <c r="Q967" s="2">
        <v>45961</v>
      </c>
      <c r="V967" s="45">
        <f t="shared" si="15"/>
        <v>1</v>
      </c>
      <c r="W967" s="45" t="s">
        <v>5646</v>
      </c>
    </row>
    <row r="968" spans="1:23" ht="11.85" hidden="1" customHeight="1">
      <c r="A968" s="2">
        <v>45909</v>
      </c>
      <c r="B968" s="1" t="s">
        <v>5647</v>
      </c>
      <c r="C968" s="1" t="s">
        <v>5648</v>
      </c>
      <c r="D968" s="1" t="s">
        <v>2605</v>
      </c>
      <c r="E968" s="1">
        <v>85383</v>
      </c>
      <c r="F968" s="1" t="s">
        <v>5649</v>
      </c>
      <c r="G968" s="1" t="s">
        <v>5641</v>
      </c>
      <c r="H968" s="4" t="s">
        <v>1398</v>
      </c>
      <c r="I968" s="5" t="s">
        <v>4163</v>
      </c>
      <c r="J968" s="5" t="s">
        <v>24</v>
      </c>
      <c r="K968" s="5" t="s">
        <v>24</v>
      </c>
      <c r="L968" s="5" t="s">
        <v>2819</v>
      </c>
      <c r="M968" s="5" t="s">
        <v>24</v>
      </c>
      <c r="N968" s="5" t="s">
        <v>24</v>
      </c>
      <c r="O968" s="5" t="s">
        <v>75</v>
      </c>
      <c r="P968" s="5" t="s">
        <v>2413</v>
      </c>
      <c r="Q968" s="2">
        <v>45961</v>
      </c>
      <c r="V968" s="45">
        <f t="shared" si="15"/>
        <v>1</v>
      </c>
      <c r="W968" s="45" t="s">
        <v>5650</v>
      </c>
    </row>
    <row r="969" spans="1:23" ht="11.85" hidden="1" customHeight="1">
      <c r="A969" s="2">
        <v>45909</v>
      </c>
      <c r="B969" s="1" t="s">
        <v>3151</v>
      </c>
      <c r="C969" s="1" t="s">
        <v>4499</v>
      </c>
      <c r="D969" s="1" t="s">
        <v>2498</v>
      </c>
      <c r="E969" s="1">
        <v>85374</v>
      </c>
      <c r="F969" s="1" t="s">
        <v>2730</v>
      </c>
      <c r="G969" s="1" t="s">
        <v>5641</v>
      </c>
      <c r="H969" s="4" t="s">
        <v>1400</v>
      </c>
      <c r="I969" s="5" t="s">
        <v>2412</v>
      </c>
      <c r="J969" s="5" t="s">
        <v>24</v>
      </c>
      <c r="K969" s="5" t="s">
        <v>24</v>
      </c>
      <c r="L969" s="5" t="s">
        <v>4282</v>
      </c>
      <c r="M969" s="5" t="s">
        <v>24</v>
      </c>
      <c r="N969" s="5" t="s">
        <v>24</v>
      </c>
      <c r="O969" s="5" t="s">
        <v>75</v>
      </c>
      <c r="P969" s="5" t="s">
        <v>2413</v>
      </c>
      <c r="Q969" s="2">
        <v>45961</v>
      </c>
      <c r="V969" s="45">
        <f t="shared" si="15"/>
        <v>1</v>
      </c>
      <c r="W969" s="45" t="s">
        <v>5651</v>
      </c>
    </row>
    <row r="970" spans="1:23" ht="11.85" hidden="1" customHeight="1">
      <c r="A970" s="2">
        <v>45909</v>
      </c>
      <c r="B970" s="1" t="s">
        <v>4436</v>
      </c>
      <c r="C970" s="1" t="s">
        <v>5652</v>
      </c>
      <c r="D970" s="1" t="s">
        <v>2439</v>
      </c>
      <c r="E970" s="1">
        <v>85032</v>
      </c>
      <c r="F970" s="1" t="s">
        <v>2730</v>
      </c>
      <c r="G970" s="1" t="s">
        <v>5641</v>
      </c>
      <c r="H970" s="4" t="s">
        <v>2401</v>
      </c>
      <c r="V970" s="45">
        <f t="shared" si="15"/>
        <v>1</v>
      </c>
      <c r="W970" s="45" t="s">
        <v>5653</v>
      </c>
    </row>
    <row r="971" spans="1:23" ht="11.85" hidden="1" customHeight="1">
      <c r="A971" s="2">
        <v>45909</v>
      </c>
      <c r="B971" s="1" t="s">
        <v>4011</v>
      </c>
      <c r="C971" s="1" t="s">
        <v>5654</v>
      </c>
      <c r="D971" s="1" t="s">
        <v>2439</v>
      </c>
      <c r="E971" s="1">
        <v>85012</v>
      </c>
      <c r="F971" s="1" t="s">
        <v>2730</v>
      </c>
      <c r="G971" s="1" t="s">
        <v>5641</v>
      </c>
      <c r="H971" s="4" t="s">
        <v>1402</v>
      </c>
      <c r="I971" s="5" t="s">
        <v>2451</v>
      </c>
      <c r="J971" s="5" t="s">
        <v>75</v>
      </c>
      <c r="K971" s="5" t="s">
        <v>24</v>
      </c>
      <c r="L971" s="5" t="s">
        <v>4282</v>
      </c>
      <c r="M971" s="5" t="s">
        <v>24</v>
      </c>
      <c r="N971" s="5" t="s">
        <v>24</v>
      </c>
      <c r="O971" s="5" t="s">
        <v>75</v>
      </c>
      <c r="P971" s="5" t="s">
        <v>2413</v>
      </c>
      <c r="Q971" s="2">
        <v>45961</v>
      </c>
      <c r="V971" s="45">
        <f t="shared" si="15"/>
        <v>1</v>
      </c>
      <c r="W971" s="45" t="s">
        <v>5655</v>
      </c>
    </row>
    <row r="972" spans="1:23" ht="11.85" hidden="1" customHeight="1">
      <c r="A972" s="2">
        <v>45909</v>
      </c>
      <c r="B972" s="1" t="s">
        <v>2733</v>
      </c>
      <c r="C972" s="1" t="s">
        <v>3003</v>
      </c>
      <c r="D972" s="1" t="s">
        <v>2398</v>
      </c>
      <c r="E972" s="1">
        <v>85308</v>
      </c>
      <c r="F972" s="1" t="s">
        <v>4913</v>
      </c>
      <c r="G972" s="1" t="s">
        <v>5641</v>
      </c>
      <c r="H972" s="4" t="s">
        <v>2401</v>
      </c>
      <c r="V972" s="45">
        <f t="shared" si="15"/>
        <v>1</v>
      </c>
      <c r="W972" s="45" t="s">
        <v>5656</v>
      </c>
    </row>
    <row r="973" spans="1:23" ht="11.85" hidden="1" customHeight="1">
      <c r="A973" s="2">
        <v>45909</v>
      </c>
      <c r="B973" s="1" t="s">
        <v>5657</v>
      </c>
      <c r="C973" s="1" t="s">
        <v>5658</v>
      </c>
      <c r="D973" s="1" t="s">
        <v>2439</v>
      </c>
      <c r="E973" s="1">
        <v>85085</v>
      </c>
      <c r="F973" s="1" t="s">
        <v>2730</v>
      </c>
      <c r="G973" s="1" t="s">
        <v>5641</v>
      </c>
      <c r="H973" s="4" t="s">
        <v>343</v>
      </c>
      <c r="I973" s="5" t="s">
        <v>4414</v>
      </c>
      <c r="J973" s="5" t="s">
        <v>24</v>
      </c>
      <c r="K973" s="5" t="s">
        <v>24</v>
      </c>
      <c r="L973" s="5" t="s">
        <v>2831</v>
      </c>
      <c r="M973" s="5" t="s">
        <v>24</v>
      </c>
      <c r="N973" s="5" t="s">
        <v>24</v>
      </c>
      <c r="O973" s="5" t="s">
        <v>75</v>
      </c>
      <c r="P973" s="5" t="s">
        <v>2413</v>
      </c>
      <c r="Q973" s="2">
        <v>45961</v>
      </c>
      <c r="V973" s="45">
        <f t="shared" si="15"/>
        <v>1</v>
      </c>
      <c r="W973" s="45" t="s">
        <v>5659</v>
      </c>
    </row>
    <row r="974" spans="1:23" ht="11.85" hidden="1" customHeight="1">
      <c r="A974" s="2">
        <v>45909</v>
      </c>
      <c r="B974" s="1" t="s">
        <v>5660</v>
      </c>
      <c r="C974" s="1" t="s">
        <v>5661</v>
      </c>
      <c r="D974" s="1" t="s">
        <v>2605</v>
      </c>
      <c r="E974" s="1">
        <v>85383</v>
      </c>
      <c r="F974" s="1" t="s">
        <v>2730</v>
      </c>
      <c r="G974" s="1" t="s">
        <v>5641</v>
      </c>
      <c r="H974" s="4" t="s">
        <v>1405</v>
      </c>
      <c r="I974" s="5" t="s">
        <v>2412</v>
      </c>
      <c r="J974" s="5" t="s">
        <v>24</v>
      </c>
      <c r="K974" s="5" t="s">
        <v>24</v>
      </c>
      <c r="L974" s="5" t="s">
        <v>4282</v>
      </c>
      <c r="M974" s="5" t="s">
        <v>24</v>
      </c>
      <c r="N974" s="5" t="s">
        <v>24</v>
      </c>
      <c r="O974" s="5" t="s">
        <v>75</v>
      </c>
      <c r="P974" s="5" t="s">
        <v>2413</v>
      </c>
      <c r="Q974" s="2">
        <v>45961</v>
      </c>
      <c r="V974" s="45">
        <f t="shared" si="15"/>
        <v>1</v>
      </c>
      <c r="W974" s="45" t="s">
        <v>5662</v>
      </c>
    </row>
    <row r="975" spans="1:23" ht="11.85" hidden="1" customHeight="1">
      <c r="A975" s="2">
        <v>45909</v>
      </c>
      <c r="B975" s="1" t="s">
        <v>5663</v>
      </c>
      <c r="C975" s="1" t="s">
        <v>5664</v>
      </c>
      <c r="D975" s="1" t="s">
        <v>3073</v>
      </c>
      <c r="E975" s="1">
        <v>85365</v>
      </c>
      <c r="F975" s="1" t="s">
        <v>5665</v>
      </c>
      <c r="G975" s="1" t="s">
        <v>5641</v>
      </c>
      <c r="H975" s="4" t="s">
        <v>5666</v>
      </c>
      <c r="I975" s="5" t="s">
        <v>2597</v>
      </c>
      <c r="J975" s="5" t="s">
        <v>24</v>
      </c>
      <c r="K975" s="5" t="s">
        <v>24</v>
      </c>
      <c r="L975" s="7" t="s">
        <v>5667</v>
      </c>
      <c r="M975" s="5" t="s">
        <v>24</v>
      </c>
      <c r="N975" s="5" t="s">
        <v>24</v>
      </c>
      <c r="O975" s="5" t="s">
        <v>75</v>
      </c>
      <c r="P975" s="2">
        <v>45938</v>
      </c>
      <c r="Q975" s="2">
        <v>45961</v>
      </c>
      <c r="R975" s="1" t="s">
        <v>5621</v>
      </c>
      <c r="V975" s="45">
        <f t="shared" si="15"/>
        <v>1</v>
      </c>
      <c r="W975" s="45" t="s">
        <v>5668</v>
      </c>
    </row>
    <row r="976" spans="1:23" ht="11.85" hidden="1" customHeight="1">
      <c r="A976" s="2">
        <v>45909</v>
      </c>
      <c r="B976" s="1" t="s">
        <v>5669</v>
      </c>
      <c r="C976" s="1" t="s">
        <v>5670</v>
      </c>
      <c r="D976" s="1" t="s">
        <v>2862</v>
      </c>
      <c r="E976" s="1">
        <v>85335</v>
      </c>
      <c r="F976" s="1" t="s">
        <v>5671</v>
      </c>
      <c r="G976" s="1" t="s">
        <v>5641</v>
      </c>
      <c r="H976" s="4" t="s">
        <v>1407</v>
      </c>
      <c r="I976" s="5" t="s">
        <v>4163</v>
      </c>
      <c r="J976" s="5" t="s">
        <v>24</v>
      </c>
      <c r="K976" s="5" t="s">
        <v>24</v>
      </c>
      <c r="L976" s="5" t="s">
        <v>2819</v>
      </c>
      <c r="M976" s="5" t="s">
        <v>24</v>
      </c>
      <c r="N976" s="5" t="s">
        <v>24</v>
      </c>
      <c r="O976" s="5" t="s">
        <v>75</v>
      </c>
      <c r="P976" s="5" t="s">
        <v>2413</v>
      </c>
      <c r="Q976" s="2">
        <v>45961</v>
      </c>
      <c r="V976" s="45">
        <f t="shared" si="15"/>
        <v>1</v>
      </c>
      <c r="W976" s="45" t="s">
        <v>5672</v>
      </c>
    </row>
    <row r="977" spans="1:23" ht="11.85" hidden="1" customHeight="1">
      <c r="A977" s="2">
        <v>45909</v>
      </c>
      <c r="B977" s="1" t="s">
        <v>5673</v>
      </c>
      <c r="C977" s="1" t="s">
        <v>4113</v>
      </c>
      <c r="D977" s="1" t="s">
        <v>2800</v>
      </c>
      <c r="E977" s="1">
        <v>85225</v>
      </c>
      <c r="F977" s="1" t="s">
        <v>2730</v>
      </c>
      <c r="G977" s="1" t="s">
        <v>5674</v>
      </c>
      <c r="H977" s="4" t="s">
        <v>1409</v>
      </c>
      <c r="I977" s="5" t="s">
        <v>2420</v>
      </c>
      <c r="J977" s="5" t="s">
        <v>24</v>
      </c>
      <c r="K977" s="5" t="s">
        <v>24</v>
      </c>
      <c r="L977" s="5" t="s">
        <v>4282</v>
      </c>
      <c r="M977" s="5" t="s">
        <v>24</v>
      </c>
      <c r="N977" s="5" t="s">
        <v>24</v>
      </c>
      <c r="O977" s="5" t="s">
        <v>75</v>
      </c>
      <c r="P977" s="5" t="s">
        <v>2413</v>
      </c>
      <c r="Q977" s="2">
        <v>45961</v>
      </c>
      <c r="V977" s="45">
        <f t="shared" si="15"/>
        <v>1</v>
      </c>
      <c r="W977" s="45" t="s">
        <v>5675</v>
      </c>
    </row>
    <row r="978" spans="1:23" ht="11.85" hidden="1" customHeight="1">
      <c r="A978" s="2">
        <v>45909</v>
      </c>
      <c r="B978" s="1" t="s">
        <v>3009</v>
      </c>
      <c r="C978" s="1" t="s">
        <v>5676</v>
      </c>
      <c r="D978" s="1" t="s">
        <v>4458</v>
      </c>
      <c r="E978" s="1">
        <v>85615</v>
      </c>
      <c r="F978" s="1" t="s">
        <v>2406</v>
      </c>
      <c r="G978" s="1" t="s">
        <v>5674</v>
      </c>
      <c r="H978" s="4" t="s">
        <v>346</v>
      </c>
      <c r="I978" s="5" t="s">
        <v>2597</v>
      </c>
      <c r="J978" s="5" t="s">
        <v>75</v>
      </c>
      <c r="K978" s="5" t="s">
        <v>24</v>
      </c>
      <c r="L978" s="7" t="s">
        <v>5677</v>
      </c>
      <c r="M978" s="5" t="s">
        <v>24</v>
      </c>
      <c r="N978" s="5" t="s">
        <v>24</v>
      </c>
      <c r="O978" s="5" t="s">
        <v>75</v>
      </c>
      <c r="P978" s="2">
        <v>45938</v>
      </c>
      <c r="Q978" s="2">
        <v>45961</v>
      </c>
      <c r="R978" s="1" t="s">
        <v>5621</v>
      </c>
      <c r="V978" s="45">
        <f t="shared" si="15"/>
        <v>1</v>
      </c>
      <c r="W978" s="45" t="s">
        <v>5678</v>
      </c>
    </row>
    <row r="979" spans="1:23" ht="11.85" hidden="1" customHeight="1">
      <c r="A979" s="2">
        <v>45909</v>
      </c>
      <c r="B979" s="1" t="s">
        <v>3725</v>
      </c>
      <c r="C979" s="1" t="s">
        <v>5679</v>
      </c>
      <c r="D979" s="1" t="s">
        <v>2439</v>
      </c>
      <c r="E979" s="1">
        <v>85032</v>
      </c>
      <c r="F979" s="1" t="s">
        <v>2730</v>
      </c>
      <c r="G979" s="1" t="s">
        <v>5674</v>
      </c>
      <c r="H979" s="4" t="s">
        <v>1411</v>
      </c>
      <c r="I979" s="5" t="s">
        <v>2412</v>
      </c>
      <c r="J979" s="5" t="s">
        <v>24</v>
      </c>
      <c r="K979" s="5" t="s">
        <v>24</v>
      </c>
      <c r="L979" s="5" t="s">
        <v>4282</v>
      </c>
      <c r="M979" s="5" t="s">
        <v>24</v>
      </c>
      <c r="N979" s="5" t="s">
        <v>24</v>
      </c>
      <c r="O979" s="5" t="s">
        <v>75</v>
      </c>
      <c r="P979" s="5" t="s">
        <v>2413</v>
      </c>
      <c r="Q979" s="2">
        <v>45961</v>
      </c>
      <c r="V979" s="45">
        <f t="shared" si="15"/>
        <v>1</v>
      </c>
      <c r="W979" s="45" t="s">
        <v>5680</v>
      </c>
    </row>
    <row r="980" spans="1:23" ht="11.85" hidden="1" customHeight="1">
      <c r="A980" s="2">
        <v>45909</v>
      </c>
      <c r="B980" s="1" t="s">
        <v>2683</v>
      </c>
      <c r="C980" s="1" t="s">
        <v>2851</v>
      </c>
      <c r="D980" s="1" t="s">
        <v>2439</v>
      </c>
      <c r="E980" s="1">
        <v>85020</v>
      </c>
      <c r="F980" s="1" t="s">
        <v>2730</v>
      </c>
      <c r="G980" s="1" t="s">
        <v>5674</v>
      </c>
      <c r="H980" s="4" t="s">
        <v>1413</v>
      </c>
      <c r="I980" s="5" t="s">
        <v>2988</v>
      </c>
      <c r="J980" s="5" t="s">
        <v>24</v>
      </c>
      <c r="K980" s="5" t="s">
        <v>24</v>
      </c>
      <c r="L980" s="5" t="s">
        <v>2819</v>
      </c>
      <c r="M980" s="5" t="s">
        <v>24</v>
      </c>
      <c r="N980" s="5" t="s">
        <v>24</v>
      </c>
      <c r="O980" s="5" t="s">
        <v>75</v>
      </c>
      <c r="P980" s="5" t="s">
        <v>2413</v>
      </c>
      <c r="Q980" s="2">
        <v>45961</v>
      </c>
      <c r="V980" s="45">
        <f t="shared" si="15"/>
        <v>1</v>
      </c>
      <c r="W980" s="45" t="s">
        <v>5681</v>
      </c>
    </row>
    <row r="981" spans="1:23" ht="11.85" hidden="1" customHeight="1">
      <c r="A981" s="2">
        <v>45909</v>
      </c>
      <c r="B981" s="1" t="s">
        <v>5682</v>
      </c>
      <c r="C981" s="1" t="s">
        <v>2574</v>
      </c>
      <c r="D981" s="1" t="s">
        <v>2439</v>
      </c>
      <c r="E981" s="1">
        <v>85083</v>
      </c>
      <c r="F981" s="1" t="s">
        <v>2406</v>
      </c>
      <c r="G981" s="1" t="s">
        <v>5674</v>
      </c>
      <c r="H981" s="4" t="s">
        <v>2613</v>
      </c>
      <c r="V981" s="45">
        <f t="shared" si="15"/>
        <v>1</v>
      </c>
      <c r="W981" s="45" t="s">
        <v>5683</v>
      </c>
    </row>
    <row r="982" spans="1:23" ht="11.85" hidden="1" customHeight="1">
      <c r="A982" s="2">
        <v>45909</v>
      </c>
      <c r="B982" s="1" t="s">
        <v>5684</v>
      </c>
      <c r="C982" s="1" t="s">
        <v>4558</v>
      </c>
      <c r="D982" s="1" t="s">
        <v>2439</v>
      </c>
      <c r="E982" s="1">
        <v>85083</v>
      </c>
      <c r="F982" s="1" t="s">
        <v>2406</v>
      </c>
      <c r="G982" s="1" t="s">
        <v>5674</v>
      </c>
      <c r="H982" s="4" t="s">
        <v>1415</v>
      </c>
      <c r="I982" s="5" t="s">
        <v>2514</v>
      </c>
      <c r="J982" s="5" t="s">
        <v>24</v>
      </c>
      <c r="K982" s="5" t="s">
        <v>24</v>
      </c>
      <c r="L982" s="5" t="s">
        <v>4282</v>
      </c>
      <c r="M982" s="5" t="s">
        <v>24</v>
      </c>
      <c r="N982" s="5" t="s">
        <v>24</v>
      </c>
      <c r="O982" s="5" t="s">
        <v>75</v>
      </c>
      <c r="P982" s="5" t="s">
        <v>2413</v>
      </c>
      <c r="Q982" s="2">
        <v>45961</v>
      </c>
      <c r="V982" s="45">
        <f t="shared" si="15"/>
        <v>1</v>
      </c>
      <c r="W982" s="45" t="s">
        <v>5685</v>
      </c>
    </row>
    <row r="983" spans="1:23" ht="11.85" hidden="1" customHeight="1">
      <c r="A983" s="2">
        <v>45909</v>
      </c>
      <c r="B983" s="1" t="s">
        <v>3327</v>
      </c>
      <c r="C983" s="1" t="s">
        <v>5686</v>
      </c>
      <c r="D983" s="1" t="s">
        <v>2439</v>
      </c>
      <c r="E983" s="1">
        <v>85086</v>
      </c>
      <c r="F983" s="1" t="s">
        <v>2406</v>
      </c>
      <c r="G983" s="1" t="s">
        <v>5674</v>
      </c>
      <c r="H983" s="4" t="s">
        <v>1417</v>
      </c>
      <c r="I983" s="5" t="s">
        <v>2412</v>
      </c>
      <c r="J983" s="5" t="s">
        <v>75</v>
      </c>
      <c r="K983" s="5" t="s">
        <v>24</v>
      </c>
      <c r="L983" s="5" t="s">
        <v>4282</v>
      </c>
      <c r="M983" s="5" t="s">
        <v>24</v>
      </c>
      <c r="N983" s="5" t="s">
        <v>24</v>
      </c>
      <c r="O983" s="5" t="s">
        <v>75</v>
      </c>
      <c r="P983" s="5" t="s">
        <v>2413</v>
      </c>
      <c r="Q983" s="2">
        <v>45961</v>
      </c>
      <c r="V983" s="45">
        <f t="shared" si="15"/>
        <v>1</v>
      </c>
      <c r="W983" s="45" t="s">
        <v>5687</v>
      </c>
    </row>
    <row r="984" spans="1:23" ht="11.85" hidden="1" customHeight="1">
      <c r="A984" s="2">
        <v>45909</v>
      </c>
      <c r="B984" s="1" t="s">
        <v>5688</v>
      </c>
      <c r="C984" s="1" t="s">
        <v>5422</v>
      </c>
      <c r="D984" s="1" t="s">
        <v>2439</v>
      </c>
      <c r="E984" s="1">
        <v>85006</v>
      </c>
      <c r="F984" s="1" t="s">
        <v>2406</v>
      </c>
      <c r="G984" s="1" t="s">
        <v>5674</v>
      </c>
      <c r="H984" s="4" t="s">
        <v>2401</v>
      </c>
      <c r="V984" s="45">
        <f t="shared" si="15"/>
        <v>1</v>
      </c>
      <c r="W984" s="45" t="s">
        <v>5689</v>
      </c>
    </row>
    <row r="985" spans="1:23" ht="11.85" hidden="1" customHeight="1">
      <c r="A985" s="2">
        <v>45909</v>
      </c>
      <c r="B985" s="1" t="s">
        <v>5690</v>
      </c>
      <c r="C985" s="1" t="s">
        <v>2485</v>
      </c>
      <c r="D985" s="1" t="s">
        <v>2439</v>
      </c>
      <c r="E985" s="1">
        <v>85086</v>
      </c>
      <c r="F985" s="1" t="s">
        <v>5691</v>
      </c>
      <c r="G985" s="1" t="s">
        <v>5674</v>
      </c>
      <c r="H985" s="4" t="s">
        <v>1419</v>
      </c>
      <c r="I985" s="5" t="s">
        <v>2420</v>
      </c>
      <c r="J985" s="5" t="s">
        <v>24</v>
      </c>
      <c r="K985" s="5" t="s">
        <v>24</v>
      </c>
      <c r="L985" s="5" t="s">
        <v>4282</v>
      </c>
      <c r="M985" s="5" t="s">
        <v>24</v>
      </c>
      <c r="N985" s="5" t="s">
        <v>24</v>
      </c>
      <c r="O985" s="5" t="s">
        <v>75</v>
      </c>
      <c r="P985" s="5" t="s">
        <v>2413</v>
      </c>
      <c r="Q985" s="2">
        <v>45961</v>
      </c>
      <c r="V985" s="45">
        <f t="shared" si="15"/>
        <v>1</v>
      </c>
      <c r="W985" s="45" t="s">
        <v>5692</v>
      </c>
    </row>
    <row r="986" spans="1:23" ht="11.85" hidden="1" customHeight="1">
      <c r="A986" s="2">
        <v>45909</v>
      </c>
      <c r="B986" s="1" t="s">
        <v>5693</v>
      </c>
      <c r="C986" s="1" t="s">
        <v>5197</v>
      </c>
      <c r="D986" s="1" t="s">
        <v>2439</v>
      </c>
      <c r="E986" s="1">
        <v>85086</v>
      </c>
      <c r="F986" s="1" t="s">
        <v>2406</v>
      </c>
      <c r="G986" s="1" t="s">
        <v>5674</v>
      </c>
      <c r="H986" s="4" t="s">
        <v>639</v>
      </c>
      <c r="I986" s="5" t="s">
        <v>2420</v>
      </c>
      <c r="J986" s="5" t="s">
        <v>24</v>
      </c>
      <c r="K986" s="5" t="s">
        <v>24</v>
      </c>
      <c r="L986" s="5" t="s">
        <v>4282</v>
      </c>
      <c r="M986" s="5" t="s">
        <v>75</v>
      </c>
      <c r="N986" s="15">
        <v>1068.19</v>
      </c>
      <c r="O986" s="5" t="s">
        <v>75</v>
      </c>
      <c r="P986" s="7"/>
      <c r="Q986" s="2">
        <v>45961</v>
      </c>
      <c r="R986" s="1" t="s">
        <v>2938</v>
      </c>
      <c r="V986" s="45">
        <f t="shared" si="15"/>
        <v>1</v>
      </c>
      <c r="W986" s="45" t="s">
        <v>5694</v>
      </c>
    </row>
    <row r="987" spans="1:23" ht="11.85" hidden="1" customHeight="1">
      <c r="A987" s="2">
        <v>45909</v>
      </c>
      <c r="B987" s="1" t="s">
        <v>5430</v>
      </c>
      <c r="C987" s="1" t="s">
        <v>2609</v>
      </c>
      <c r="D987" s="1" t="s">
        <v>2405</v>
      </c>
      <c r="E987" s="1" t="s">
        <v>2405</v>
      </c>
      <c r="F987" s="1" t="s">
        <v>5695</v>
      </c>
      <c r="G987" s="1" t="s">
        <v>5674</v>
      </c>
      <c r="H987" s="4" t="s">
        <v>2401</v>
      </c>
      <c r="V987" s="45">
        <f t="shared" si="15"/>
        <v>1</v>
      </c>
      <c r="W987" s="45" t="s">
        <v>5696</v>
      </c>
    </row>
    <row r="988" spans="1:23" ht="11.85" hidden="1" customHeight="1">
      <c r="A988" s="2">
        <v>45909</v>
      </c>
      <c r="B988" s="1" t="s">
        <v>5187</v>
      </c>
      <c r="C988" s="1" t="s">
        <v>5697</v>
      </c>
      <c r="D988" s="1" t="s">
        <v>2405</v>
      </c>
      <c r="E988" s="1" t="s">
        <v>2405</v>
      </c>
      <c r="F988" s="1" t="s">
        <v>2730</v>
      </c>
      <c r="G988" s="1" t="s">
        <v>5674</v>
      </c>
      <c r="H988" s="4" t="s">
        <v>2401</v>
      </c>
      <c r="V988" s="45">
        <f t="shared" si="15"/>
        <v>1</v>
      </c>
      <c r="W988" s="45" t="s">
        <v>5698</v>
      </c>
    </row>
    <row r="989" spans="1:23" ht="11.85" hidden="1" customHeight="1">
      <c r="A989" s="2">
        <v>45909</v>
      </c>
      <c r="B989" s="1" t="s">
        <v>4280</v>
      </c>
      <c r="C989" s="1" t="s">
        <v>2699</v>
      </c>
      <c r="D989" s="1" t="s">
        <v>2405</v>
      </c>
      <c r="E989" s="1" t="s">
        <v>2405</v>
      </c>
      <c r="F989" s="1" t="s">
        <v>2730</v>
      </c>
      <c r="G989" s="1" t="s">
        <v>5674</v>
      </c>
      <c r="H989" s="4" t="s">
        <v>2613</v>
      </c>
      <c r="V989" s="45">
        <f t="shared" si="15"/>
        <v>1</v>
      </c>
      <c r="W989" s="45" t="s">
        <v>5699</v>
      </c>
    </row>
    <row r="990" spans="1:23" ht="11.85" hidden="1" customHeight="1">
      <c r="A990" s="2">
        <v>45909</v>
      </c>
      <c r="B990" s="1" t="s">
        <v>5616</v>
      </c>
      <c r="C990" s="1" t="s">
        <v>2924</v>
      </c>
      <c r="D990" s="1" t="s">
        <v>2439</v>
      </c>
      <c r="E990" s="1">
        <v>85086</v>
      </c>
      <c r="F990" s="1" t="s">
        <v>5691</v>
      </c>
      <c r="G990" s="1" t="s">
        <v>5674</v>
      </c>
      <c r="H990" s="4" t="s">
        <v>1390</v>
      </c>
      <c r="I990" s="5" t="s">
        <v>2659</v>
      </c>
      <c r="J990" s="5" t="s">
        <v>24</v>
      </c>
      <c r="K990" s="5" t="s">
        <v>24</v>
      </c>
      <c r="L990" s="5" t="s">
        <v>4282</v>
      </c>
      <c r="M990" s="5" t="s">
        <v>24</v>
      </c>
      <c r="N990" s="5" t="s">
        <v>24</v>
      </c>
      <c r="O990" s="5" t="s">
        <v>75</v>
      </c>
      <c r="P990" s="5" t="s">
        <v>2413</v>
      </c>
      <c r="Q990" s="2">
        <v>45961</v>
      </c>
      <c r="V990" s="45">
        <f t="shared" si="15"/>
        <v>1</v>
      </c>
      <c r="W990" s="45" t="s">
        <v>5700</v>
      </c>
    </row>
    <row r="991" spans="1:23" ht="11.85" hidden="1" customHeight="1">
      <c r="A991" s="2">
        <v>45909</v>
      </c>
      <c r="B991" s="1" t="s">
        <v>5701</v>
      </c>
      <c r="C991" s="1" t="s">
        <v>2784</v>
      </c>
      <c r="D991" s="1" t="s">
        <v>2513</v>
      </c>
      <c r="E991" s="1">
        <v>85255</v>
      </c>
      <c r="F991" s="1" t="s">
        <v>2406</v>
      </c>
      <c r="G991" s="1" t="s">
        <v>5674</v>
      </c>
      <c r="H991" s="4" t="s">
        <v>2613</v>
      </c>
      <c r="V991" s="45">
        <f t="shared" si="15"/>
        <v>1</v>
      </c>
      <c r="W991" s="125" t="s">
        <v>5702</v>
      </c>
    </row>
    <row r="992" spans="1:23" ht="11.85" hidden="1" customHeight="1">
      <c r="A992" s="2">
        <v>45909</v>
      </c>
      <c r="B992" s="1" t="s">
        <v>3447</v>
      </c>
      <c r="C992" s="1" t="s">
        <v>4955</v>
      </c>
      <c r="D992" s="1" t="s">
        <v>3383</v>
      </c>
      <c r="E992" s="1">
        <v>85086</v>
      </c>
      <c r="F992" s="1" t="s">
        <v>5703</v>
      </c>
      <c r="G992" s="1" t="s">
        <v>5674</v>
      </c>
      <c r="H992" s="4" t="s">
        <v>2401</v>
      </c>
      <c r="V992" s="45">
        <f t="shared" si="15"/>
        <v>1</v>
      </c>
      <c r="W992" s="45" t="s">
        <v>5704</v>
      </c>
    </row>
    <row r="993" spans="1:23" ht="11.85" hidden="1" customHeight="1">
      <c r="A993" s="2">
        <v>45909</v>
      </c>
      <c r="B993" s="1" t="s">
        <v>3561</v>
      </c>
      <c r="C993" s="1" t="s">
        <v>5705</v>
      </c>
      <c r="D993" s="1" t="s">
        <v>2405</v>
      </c>
      <c r="E993" s="1" t="s">
        <v>2405</v>
      </c>
      <c r="F993" s="1" t="s">
        <v>2730</v>
      </c>
      <c r="G993" s="1" t="s">
        <v>5674</v>
      </c>
      <c r="H993" s="4" t="s">
        <v>2401</v>
      </c>
      <c r="V993" s="45">
        <f t="shared" si="15"/>
        <v>1</v>
      </c>
      <c r="W993" s="45" t="s">
        <v>5706</v>
      </c>
    </row>
    <row r="994" spans="1:23" ht="11.85" hidden="1" customHeight="1">
      <c r="A994" s="2">
        <v>45909</v>
      </c>
      <c r="B994" s="1" t="s">
        <v>5707</v>
      </c>
      <c r="C994" s="1" t="s">
        <v>2524</v>
      </c>
      <c r="D994" s="1" t="s">
        <v>2405</v>
      </c>
      <c r="E994" s="1" t="s">
        <v>2405</v>
      </c>
      <c r="F994" s="1" t="s">
        <v>2730</v>
      </c>
      <c r="G994" s="1" t="s">
        <v>5674</v>
      </c>
      <c r="H994" s="4" t="s">
        <v>1422</v>
      </c>
      <c r="I994" s="5" t="s">
        <v>2659</v>
      </c>
      <c r="J994" s="5" t="s">
        <v>24</v>
      </c>
      <c r="K994" s="5" t="s">
        <v>24</v>
      </c>
      <c r="L994" s="5" t="s">
        <v>4282</v>
      </c>
      <c r="M994" s="5" t="s">
        <v>24</v>
      </c>
      <c r="N994" s="5" t="s">
        <v>24</v>
      </c>
      <c r="O994" s="5" t="s">
        <v>75</v>
      </c>
      <c r="P994" s="5" t="s">
        <v>2413</v>
      </c>
      <c r="Q994" s="2">
        <v>45961</v>
      </c>
      <c r="V994" s="45">
        <f t="shared" si="15"/>
        <v>1</v>
      </c>
      <c r="W994" s="45" t="s">
        <v>5708</v>
      </c>
    </row>
    <row r="995" spans="1:23" ht="11.85" hidden="1" customHeight="1">
      <c r="A995" s="2">
        <v>45909</v>
      </c>
      <c r="B995" s="1" t="s">
        <v>5709</v>
      </c>
      <c r="C995" s="1" t="s">
        <v>2662</v>
      </c>
      <c r="D995" s="1" t="s">
        <v>2405</v>
      </c>
      <c r="E995" s="1" t="s">
        <v>2405</v>
      </c>
      <c r="F995" s="1" t="s">
        <v>2730</v>
      </c>
      <c r="G995" s="1" t="s">
        <v>5674</v>
      </c>
      <c r="H995" s="4" t="s">
        <v>2401</v>
      </c>
      <c r="V995" s="45">
        <f t="shared" si="15"/>
        <v>1</v>
      </c>
      <c r="W995" s="45" t="s">
        <v>5710</v>
      </c>
    </row>
    <row r="996" spans="1:23" ht="11.85" hidden="1" customHeight="1">
      <c r="A996" s="2">
        <v>45909</v>
      </c>
      <c r="B996" s="1" t="s">
        <v>5711</v>
      </c>
      <c r="C996" s="1" t="s">
        <v>2745</v>
      </c>
      <c r="D996" s="1" t="s">
        <v>2439</v>
      </c>
      <c r="E996" s="1">
        <v>85085</v>
      </c>
      <c r="F996" s="1" t="s">
        <v>2730</v>
      </c>
      <c r="G996" s="1" t="s">
        <v>5674</v>
      </c>
      <c r="H996" s="4" t="s">
        <v>1425</v>
      </c>
      <c r="I996" s="5" t="s">
        <v>2412</v>
      </c>
      <c r="J996" s="5" t="s">
        <v>24</v>
      </c>
      <c r="K996" s="5" t="s">
        <v>24</v>
      </c>
      <c r="L996" s="5" t="s">
        <v>4282</v>
      </c>
      <c r="M996" s="5" t="s">
        <v>24</v>
      </c>
      <c r="N996" s="5" t="s">
        <v>24</v>
      </c>
      <c r="O996" s="5" t="s">
        <v>75</v>
      </c>
      <c r="P996" s="5" t="s">
        <v>2413</v>
      </c>
      <c r="Q996" s="2">
        <v>45961</v>
      </c>
      <c r="V996" s="45">
        <f t="shared" si="15"/>
        <v>1</v>
      </c>
      <c r="W996" s="45" t="s">
        <v>5712</v>
      </c>
    </row>
    <row r="997" spans="1:23" ht="11.85" hidden="1" customHeight="1">
      <c r="A997" s="2">
        <v>45909</v>
      </c>
      <c r="B997" s="1" t="s">
        <v>5713</v>
      </c>
      <c r="C997" s="1" t="s">
        <v>3448</v>
      </c>
      <c r="D997" s="1" t="s">
        <v>3383</v>
      </c>
      <c r="E997" s="1">
        <v>85086</v>
      </c>
      <c r="F997" s="1" t="s">
        <v>5714</v>
      </c>
      <c r="G997" s="1" t="s">
        <v>5674</v>
      </c>
      <c r="H997" s="4" t="s">
        <v>1427</v>
      </c>
      <c r="I997" s="5" t="s">
        <v>2659</v>
      </c>
      <c r="J997" s="5" t="s">
        <v>24</v>
      </c>
      <c r="K997" s="5" t="s">
        <v>24</v>
      </c>
      <c r="L997" s="5" t="s">
        <v>4282</v>
      </c>
      <c r="M997" s="5" t="s">
        <v>24</v>
      </c>
      <c r="N997" s="5" t="s">
        <v>24</v>
      </c>
      <c r="O997" s="5" t="s">
        <v>75</v>
      </c>
      <c r="P997" s="5" t="s">
        <v>2413</v>
      </c>
      <c r="Q997" s="2">
        <v>45961</v>
      </c>
      <c r="V997" s="45">
        <f t="shared" si="15"/>
        <v>1</v>
      </c>
      <c r="W997" s="45" t="s">
        <v>5715</v>
      </c>
    </row>
    <row r="998" spans="1:23" ht="11.85" hidden="1" customHeight="1">
      <c r="A998" s="2">
        <v>45909</v>
      </c>
      <c r="B998" s="1" t="s">
        <v>5716</v>
      </c>
      <c r="C998" s="1" t="s">
        <v>5717</v>
      </c>
      <c r="D998" s="1" t="s">
        <v>2439</v>
      </c>
      <c r="E998" s="1">
        <v>85086</v>
      </c>
      <c r="F998" s="1" t="s">
        <v>5423</v>
      </c>
      <c r="G998" s="1" t="s">
        <v>5674</v>
      </c>
      <c r="H998" s="4" t="s">
        <v>1429</v>
      </c>
      <c r="I998" s="5" t="s">
        <v>2659</v>
      </c>
      <c r="J998" s="5" t="s">
        <v>24</v>
      </c>
      <c r="K998" s="5" t="s">
        <v>24</v>
      </c>
      <c r="L998" s="5" t="s">
        <v>4282</v>
      </c>
      <c r="M998" s="5" t="s">
        <v>24</v>
      </c>
      <c r="N998" s="5" t="s">
        <v>24</v>
      </c>
      <c r="O998" s="5" t="s">
        <v>75</v>
      </c>
      <c r="P998" s="5" t="s">
        <v>2413</v>
      </c>
      <c r="Q998" s="2">
        <v>45961</v>
      </c>
      <c r="V998" s="45">
        <f t="shared" si="15"/>
        <v>1</v>
      </c>
      <c r="W998" s="45" t="s">
        <v>5718</v>
      </c>
    </row>
    <row r="999" spans="1:23" ht="11.85" hidden="1" customHeight="1">
      <c r="A999" s="2">
        <v>45909</v>
      </c>
      <c r="B999" s="1" t="s">
        <v>5719</v>
      </c>
      <c r="C999" s="1" t="s">
        <v>2584</v>
      </c>
      <c r="D999" s="1" t="s">
        <v>5481</v>
      </c>
      <c r="E999" s="1">
        <v>85087</v>
      </c>
      <c r="F999" s="1" t="s">
        <v>2730</v>
      </c>
      <c r="G999" s="1" t="s">
        <v>5674</v>
      </c>
      <c r="H999" s="4" t="s">
        <v>641</v>
      </c>
      <c r="I999" s="5" t="s">
        <v>2659</v>
      </c>
      <c r="J999" s="5" t="s">
        <v>24</v>
      </c>
      <c r="K999" s="5" t="s">
        <v>24</v>
      </c>
      <c r="L999" s="5" t="s">
        <v>4282</v>
      </c>
      <c r="M999" s="5" t="s">
        <v>75</v>
      </c>
      <c r="N999" s="15">
        <v>548.12</v>
      </c>
      <c r="O999" s="5" t="s">
        <v>75</v>
      </c>
      <c r="P999" s="7"/>
      <c r="Q999" s="2">
        <v>45961</v>
      </c>
      <c r="R999" s="1" t="s">
        <v>2938</v>
      </c>
      <c r="V999" s="45">
        <f t="shared" si="15"/>
        <v>1</v>
      </c>
      <c r="W999" s="45" t="s">
        <v>5720</v>
      </c>
    </row>
    <row r="1000" spans="1:23" ht="11.85" hidden="1" customHeight="1">
      <c r="A1000" s="2">
        <v>45909</v>
      </c>
      <c r="B1000" s="1" t="s">
        <v>5721</v>
      </c>
      <c r="C1000" s="1" t="s">
        <v>5722</v>
      </c>
      <c r="D1000" s="1" t="s">
        <v>2439</v>
      </c>
      <c r="E1000" s="1">
        <v>85086</v>
      </c>
      <c r="F1000" s="1" t="s">
        <v>5723</v>
      </c>
      <c r="G1000" s="1" t="s">
        <v>5674</v>
      </c>
      <c r="H1000" s="4" t="s">
        <v>1432</v>
      </c>
      <c r="I1000" s="5" t="s">
        <v>2597</v>
      </c>
      <c r="J1000" s="5" t="s">
        <v>24</v>
      </c>
      <c r="K1000" s="5" t="s">
        <v>24</v>
      </c>
      <c r="L1000" s="5" t="s">
        <v>4282</v>
      </c>
      <c r="M1000" s="5" t="s">
        <v>24</v>
      </c>
      <c r="N1000" s="5" t="s">
        <v>24</v>
      </c>
      <c r="O1000" s="5" t="s">
        <v>75</v>
      </c>
      <c r="P1000" s="5" t="s">
        <v>2413</v>
      </c>
      <c r="Q1000" s="2">
        <v>45961</v>
      </c>
      <c r="V1000" s="45">
        <f t="shared" si="15"/>
        <v>1</v>
      </c>
      <c r="W1000" s="45" t="s">
        <v>5724</v>
      </c>
    </row>
    <row r="1001" spans="1:23" ht="11.85" hidden="1" customHeight="1">
      <c r="A1001" s="2">
        <v>45909</v>
      </c>
      <c r="B1001" s="1" t="s">
        <v>5725</v>
      </c>
      <c r="C1001" s="1" t="s">
        <v>4385</v>
      </c>
      <c r="D1001" s="1" t="s">
        <v>5481</v>
      </c>
      <c r="E1001" s="1">
        <v>85087</v>
      </c>
      <c r="F1001" s="1" t="s">
        <v>2730</v>
      </c>
      <c r="G1001" s="1" t="s">
        <v>5674</v>
      </c>
      <c r="H1001" s="4" t="s">
        <v>1434</v>
      </c>
      <c r="I1001" s="5" t="s">
        <v>2460</v>
      </c>
      <c r="J1001" s="5" t="s">
        <v>24</v>
      </c>
      <c r="K1001" s="5" t="s">
        <v>24</v>
      </c>
      <c r="L1001" s="5" t="s">
        <v>2819</v>
      </c>
      <c r="M1001" s="5" t="s">
        <v>24</v>
      </c>
      <c r="N1001" s="5" t="s">
        <v>24</v>
      </c>
      <c r="O1001" s="5" t="s">
        <v>75</v>
      </c>
      <c r="P1001" s="5" t="s">
        <v>2413</v>
      </c>
      <c r="Q1001" s="2">
        <v>45961</v>
      </c>
      <c r="V1001" s="45">
        <f t="shared" si="15"/>
        <v>1</v>
      </c>
      <c r="W1001" s="45" t="s">
        <v>5726</v>
      </c>
    </row>
    <row r="1002" spans="1:23" ht="11.85" hidden="1" customHeight="1">
      <c r="A1002" s="2">
        <v>45909</v>
      </c>
      <c r="B1002" s="1" t="s">
        <v>5727</v>
      </c>
      <c r="C1002" s="1" t="s">
        <v>3258</v>
      </c>
      <c r="D1002" s="1" t="s">
        <v>2398</v>
      </c>
      <c r="E1002" s="1">
        <v>85306</v>
      </c>
      <c r="F1002" s="1" t="s">
        <v>5728</v>
      </c>
      <c r="G1002" s="1" t="s">
        <v>5674</v>
      </c>
      <c r="H1002" s="4" t="s">
        <v>2401</v>
      </c>
      <c r="V1002" s="45">
        <f t="shared" si="15"/>
        <v>1</v>
      </c>
      <c r="W1002" s="45" t="s">
        <v>5729</v>
      </c>
    </row>
    <row r="1003" spans="1:23" ht="11.85" hidden="1" customHeight="1">
      <c r="A1003" s="2">
        <v>45909</v>
      </c>
      <c r="B1003" s="1" t="s">
        <v>5730</v>
      </c>
      <c r="C1003" s="1" t="s">
        <v>5731</v>
      </c>
      <c r="D1003" s="1" t="s">
        <v>2405</v>
      </c>
      <c r="E1003" s="1" t="s">
        <v>2405</v>
      </c>
      <c r="F1003" s="1" t="s">
        <v>2730</v>
      </c>
      <c r="G1003" s="1" t="s">
        <v>5674</v>
      </c>
      <c r="H1003" s="4" t="s">
        <v>1436</v>
      </c>
      <c r="I1003" s="5" t="s">
        <v>2412</v>
      </c>
      <c r="J1003" s="5" t="s">
        <v>24</v>
      </c>
      <c r="K1003" s="5" t="s">
        <v>24</v>
      </c>
      <c r="L1003" s="5" t="s">
        <v>4282</v>
      </c>
      <c r="M1003" s="5" t="s">
        <v>24</v>
      </c>
      <c r="N1003" s="5" t="s">
        <v>24</v>
      </c>
      <c r="O1003" s="5" t="s">
        <v>75</v>
      </c>
      <c r="P1003" s="5" t="s">
        <v>2413</v>
      </c>
      <c r="Q1003" s="2">
        <v>45961</v>
      </c>
      <c r="V1003" s="45">
        <f t="shared" si="15"/>
        <v>1</v>
      </c>
      <c r="W1003" s="45" t="s">
        <v>5732</v>
      </c>
    </row>
    <row r="1004" spans="1:23" ht="11.85" hidden="1" customHeight="1">
      <c r="A1004" s="2">
        <v>45909</v>
      </c>
      <c r="B1004" s="1" t="s">
        <v>3009</v>
      </c>
      <c r="C1004" s="1" t="s">
        <v>2527</v>
      </c>
      <c r="D1004" s="1" t="s">
        <v>2405</v>
      </c>
      <c r="E1004" s="1" t="s">
        <v>2405</v>
      </c>
      <c r="F1004" s="1" t="s">
        <v>2406</v>
      </c>
      <c r="G1004" s="1" t="s">
        <v>5674</v>
      </c>
      <c r="H1004" s="4" t="s">
        <v>2401</v>
      </c>
      <c r="V1004" s="45">
        <f t="shared" si="15"/>
        <v>1</v>
      </c>
      <c r="W1004" s="45" t="s">
        <v>5733</v>
      </c>
    </row>
    <row r="1005" spans="1:23" ht="11.85" hidden="1" customHeight="1">
      <c r="A1005" s="2">
        <v>45909</v>
      </c>
      <c r="B1005" s="1" t="s">
        <v>5734</v>
      </c>
      <c r="C1005" s="1" t="s">
        <v>5735</v>
      </c>
      <c r="D1005" s="1" t="s">
        <v>2465</v>
      </c>
      <c r="E1005" s="1">
        <v>86323</v>
      </c>
      <c r="F1005" s="1" t="s">
        <v>2406</v>
      </c>
      <c r="G1005" s="1" t="s">
        <v>5674</v>
      </c>
      <c r="H1005" s="4" t="s">
        <v>348</v>
      </c>
      <c r="I1005" s="5" t="s">
        <v>2597</v>
      </c>
      <c r="J1005" s="5" t="s">
        <v>24</v>
      </c>
      <c r="K1005" s="5" t="s">
        <v>24</v>
      </c>
      <c r="L1005" s="5" t="s">
        <v>5736</v>
      </c>
      <c r="M1005" s="5" t="s">
        <v>24</v>
      </c>
      <c r="N1005" s="5" t="s">
        <v>24</v>
      </c>
      <c r="O1005" s="5" t="s">
        <v>75</v>
      </c>
      <c r="P1005" s="5" t="s">
        <v>2413</v>
      </c>
      <c r="Q1005" s="2">
        <v>45961</v>
      </c>
      <c r="V1005" s="45">
        <f t="shared" si="15"/>
        <v>1</v>
      </c>
      <c r="W1005" s="45" t="s">
        <v>5737</v>
      </c>
    </row>
    <row r="1006" spans="1:23" ht="11.85" hidden="1" customHeight="1">
      <c r="A1006" s="2">
        <v>45909</v>
      </c>
      <c r="B1006" s="1" t="s">
        <v>5738</v>
      </c>
      <c r="C1006" s="1" t="s">
        <v>3285</v>
      </c>
      <c r="D1006" s="1" t="s">
        <v>2439</v>
      </c>
      <c r="E1006" s="1">
        <v>85083</v>
      </c>
      <c r="F1006" s="1" t="s">
        <v>5739</v>
      </c>
      <c r="G1006" s="1" t="s">
        <v>5674</v>
      </c>
      <c r="H1006" s="4" t="s">
        <v>1438</v>
      </c>
      <c r="I1006" s="5" t="s">
        <v>2659</v>
      </c>
      <c r="J1006" s="5" t="s">
        <v>24</v>
      </c>
      <c r="K1006" s="5" t="s">
        <v>24</v>
      </c>
      <c r="L1006" s="5" t="s">
        <v>4282</v>
      </c>
      <c r="M1006" s="5" t="s">
        <v>24</v>
      </c>
      <c r="N1006" s="5" t="s">
        <v>24</v>
      </c>
      <c r="O1006" s="5" t="s">
        <v>75</v>
      </c>
      <c r="P1006" s="5" t="s">
        <v>2413</v>
      </c>
      <c r="Q1006" s="2">
        <v>45961</v>
      </c>
      <c r="V1006" s="45">
        <f t="shared" si="15"/>
        <v>1</v>
      </c>
      <c r="W1006" s="45" t="s">
        <v>5740</v>
      </c>
    </row>
    <row r="1007" spans="1:23" ht="11.85" hidden="1" customHeight="1">
      <c r="A1007" s="2">
        <v>45909</v>
      </c>
      <c r="B1007" s="1" t="s">
        <v>5741</v>
      </c>
      <c r="C1007" s="1" t="s">
        <v>5742</v>
      </c>
      <c r="D1007" s="1" t="s">
        <v>2439</v>
      </c>
      <c r="E1007" s="1">
        <v>85022</v>
      </c>
      <c r="F1007" s="1" t="s">
        <v>2406</v>
      </c>
      <c r="G1007" s="1" t="s">
        <v>5674</v>
      </c>
      <c r="H1007" s="4" t="s">
        <v>2401</v>
      </c>
      <c r="V1007" s="45">
        <f t="shared" si="15"/>
        <v>1</v>
      </c>
      <c r="W1007" s="45" t="s">
        <v>5743</v>
      </c>
    </row>
    <row r="1008" spans="1:23" ht="11.85" hidden="1" customHeight="1">
      <c r="A1008" s="2">
        <v>45909</v>
      </c>
      <c r="B1008" s="1" t="s">
        <v>5744</v>
      </c>
      <c r="C1008" s="1" t="s">
        <v>5197</v>
      </c>
      <c r="D1008" s="1" t="s">
        <v>2405</v>
      </c>
      <c r="E1008" s="1" t="s">
        <v>2405</v>
      </c>
      <c r="F1008" s="1" t="s">
        <v>2406</v>
      </c>
      <c r="G1008" s="1" t="s">
        <v>5674</v>
      </c>
      <c r="H1008" s="4" t="s">
        <v>1440</v>
      </c>
      <c r="I1008" s="5" t="s">
        <v>2451</v>
      </c>
      <c r="J1008" s="5" t="s">
        <v>24</v>
      </c>
      <c r="K1008" s="5" t="s">
        <v>24</v>
      </c>
      <c r="L1008" s="5" t="s">
        <v>4282</v>
      </c>
      <c r="M1008" s="5" t="s">
        <v>24</v>
      </c>
      <c r="N1008" s="5" t="s">
        <v>24</v>
      </c>
      <c r="O1008" s="5" t="s">
        <v>75</v>
      </c>
      <c r="P1008" s="5" t="s">
        <v>2413</v>
      </c>
      <c r="Q1008" s="2">
        <v>45961</v>
      </c>
      <c r="V1008" s="45">
        <f t="shared" si="15"/>
        <v>1</v>
      </c>
      <c r="W1008" s="45" t="s">
        <v>5745</v>
      </c>
    </row>
    <row r="1009" spans="1:23" ht="11.85" hidden="1" customHeight="1">
      <c r="A1009" s="2">
        <v>45909</v>
      </c>
      <c r="B1009" s="1" t="s">
        <v>4547</v>
      </c>
      <c r="C1009" s="1" t="s">
        <v>5746</v>
      </c>
      <c r="D1009" s="1" t="s">
        <v>2439</v>
      </c>
      <c r="E1009" s="1">
        <v>85035</v>
      </c>
      <c r="F1009" s="1" t="s">
        <v>2730</v>
      </c>
      <c r="G1009" s="1" t="s">
        <v>5674</v>
      </c>
      <c r="H1009" s="4" t="s">
        <v>1442</v>
      </c>
      <c r="I1009" s="5" t="s">
        <v>2412</v>
      </c>
      <c r="J1009" s="5" t="s">
        <v>24</v>
      </c>
      <c r="K1009" s="5" t="s">
        <v>24</v>
      </c>
      <c r="L1009" s="5" t="s">
        <v>4282</v>
      </c>
      <c r="M1009" s="5" t="s">
        <v>24</v>
      </c>
      <c r="N1009" s="5" t="s">
        <v>24</v>
      </c>
      <c r="O1009" s="5" t="s">
        <v>75</v>
      </c>
      <c r="P1009" s="5" t="s">
        <v>2413</v>
      </c>
      <c r="Q1009" s="2">
        <v>45961</v>
      </c>
      <c r="U1009" s="1" t="s">
        <v>5747</v>
      </c>
      <c r="V1009" s="45">
        <f t="shared" si="15"/>
        <v>1</v>
      </c>
      <c r="W1009" s="45" t="s">
        <v>5748</v>
      </c>
    </row>
    <row r="1010" spans="1:23" ht="11.85" hidden="1" customHeight="1">
      <c r="A1010" s="2">
        <v>45909</v>
      </c>
      <c r="B1010" s="1" t="s">
        <v>5749</v>
      </c>
      <c r="C1010" s="1" t="s">
        <v>5750</v>
      </c>
      <c r="D1010" s="1" t="s">
        <v>2439</v>
      </c>
      <c r="E1010" s="1">
        <v>85028</v>
      </c>
      <c r="F1010" s="1" t="s">
        <v>5751</v>
      </c>
      <c r="G1010" s="1" t="s">
        <v>5674</v>
      </c>
      <c r="H1010" s="4" t="s">
        <v>1444</v>
      </c>
      <c r="I1010" s="5" t="s">
        <v>2412</v>
      </c>
      <c r="J1010" s="5" t="s">
        <v>24</v>
      </c>
      <c r="K1010" s="5" t="s">
        <v>24</v>
      </c>
      <c r="L1010" s="5" t="s">
        <v>4282</v>
      </c>
      <c r="M1010" s="5" t="s">
        <v>24</v>
      </c>
      <c r="N1010" s="5" t="s">
        <v>24</v>
      </c>
      <c r="O1010" s="5" t="s">
        <v>75</v>
      </c>
      <c r="P1010" s="5" t="s">
        <v>2413</v>
      </c>
      <c r="Q1010" s="2">
        <v>45961</v>
      </c>
      <c r="V1010" s="45">
        <f t="shared" si="15"/>
        <v>1</v>
      </c>
      <c r="W1010" s="45" t="s">
        <v>5752</v>
      </c>
    </row>
    <row r="1011" spans="1:23" ht="11.85" hidden="1" customHeight="1">
      <c r="A1011" s="2">
        <v>45909</v>
      </c>
      <c r="B1011" s="1" t="s">
        <v>5093</v>
      </c>
      <c r="C1011" s="1" t="s">
        <v>2784</v>
      </c>
      <c r="D1011" s="1" t="s">
        <v>2405</v>
      </c>
      <c r="E1011" s="1" t="s">
        <v>2405</v>
      </c>
      <c r="F1011" s="1" t="s">
        <v>2406</v>
      </c>
      <c r="G1011" s="1" t="s">
        <v>5674</v>
      </c>
      <c r="H1011" s="4" t="s">
        <v>2613</v>
      </c>
      <c r="V1011" s="45">
        <f t="shared" si="15"/>
        <v>1</v>
      </c>
      <c r="W1011" s="45" t="s">
        <v>5753</v>
      </c>
    </row>
    <row r="1012" spans="1:23" ht="11.85" hidden="1" customHeight="1">
      <c r="A1012" s="2">
        <v>45909</v>
      </c>
      <c r="B1012" s="1" t="s">
        <v>5754</v>
      </c>
      <c r="C1012" s="1" t="s">
        <v>4812</v>
      </c>
      <c r="D1012" s="1" t="s">
        <v>2570</v>
      </c>
      <c r="E1012" s="1">
        <v>85396</v>
      </c>
      <c r="F1012" s="1" t="s">
        <v>2730</v>
      </c>
      <c r="G1012" s="1" t="s">
        <v>5674</v>
      </c>
      <c r="H1012" s="4" t="s">
        <v>1446</v>
      </c>
      <c r="I1012" s="5" t="s">
        <v>2659</v>
      </c>
      <c r="J1012" s="5" t="s">
        <v>24</v>
      </c>
      <c r="K1012" s="5" t="s">
        <v>24</v>
      </c>
      <c r="L1012" s="5" t="s">
        <v>4282</v>
      </c>
      <c r="M1012" s="5" t="s">
        <v>24</v>
      </c>
      <c r="N1012" s="5" t="s">
        <v>24</v>
      </c>
      <c r="O1012" s="5" t="s">
        <v>75</v>
      </c>
      <c r="P1012" s="5" t="s">
        <v>2413</v>
      </c>
      <c r="Q1012" s="2">
        <v>45961</v>
      </c>
      <c r="V1012" s="45">
        <f t="shared" si="15"/>
        <v>1</v>
      </c>
      <c r="W1012" s="45" t="s">
        <v>5755</v>
      </c>
    </row>
    <row r="1013" spans="1:23" ht="11.85" hidden="1" customHeight="1">
      <c r="A1013" s="2">
        <v>45909</v>
      </c>
      <c r="B1013" s="1" t="s">
        <v>5756</v>
      </c>
      <c r="C1013" s="1" t="s">
        <v>5757</v>
      </c>
      <c r="D1013" s="1" t="s">
        <v>2498</v>
      </c>
      <c r="E1013" s="1">
        <v>85374</v>
      </c>
      <c r="F1013" s="1" t="s">
        <v>2406</v>
      </c>
      <c r="G1013" s="1" t="s">
        <v>5674</v>
      </c>
      <c r="H1013" s="4" t="s">
        <v>350</v>
      </c>
      <c r="I1013" s="5" t="s">
        <v>2432</v>
      </c>
      <c r="J1013" s="5" t="s">
        <v>24</v>
      </c>
      <c r="K1013" s="5" t="s">
        <v>24</v>
      </c>
      <c r="L1013" s="7" t="s">
        <v>5758</v>
      </c>
      <c r="M1013" s="5" t="s">
        <v>24</v>
      </c>
      <c r="N1013" s="5" t="s">
        <v>24</v>
      </c>
      <c r="O1013" s="5" t="s">
        <v>75</v>
      </c>
      <c r="P1013" s="2">
        <v>45938</v>
      </c>
      <c r="Q1013" s="2">
        <v>45961</v>
      </c>
      <c r="R1013" s="1" t="s">
        <v>5621</v>
      </c>
      <c r="V1013" s="45">
        <f t="shared" si="15"/>
        <v>1</v>
      </c>
      <c r="W1013" s="45" t="s">
        <v>5759</v>
      </c>
    </row>
    <row r="1014" spans="1:23" ht="11.85" hidden="1" customHeight="1">
      <c r="A1014" s="2">
        <v>45909</v>
      </c>
      <c r="B1014" s="1" t="s">
        <v>5760</v>
      </c>
      <c r="C1014" s="1" t="s">
        <v>2574</v>
      </c>
      <c r="D1014" s="1" t="s">
        <v>2405</v>
      </c>
      <c r="E1014" s="1" t="s">
        <v>2405</v>
      </c>
      <c r="F1014" s="1" t="s">
        <v>5761</v>
      </c>
      <c r="G1014" s="1" t="s">
        <v>5674</v>
      </c>
      <c r="H1014" s="4" t="s">
        <v>2613</v>
      </c>
      <c r="V1014" s="45">
        <f t="shared" si="15"/>
        <v>1</v>
      </c>
      <c r="W1014" s="45" t="s">
        <v>5762</v>
      </c>
    </row>
    <row r="1015" spans="1:23" ht="11.85" hidden="1" customHeight="1">
      <c r="A1015" s="2">
        <v>45909</v>
      </c>
      <c r="B1015" s="1" t="s">
        <v>5763</v>
      </c>
      <c r="C1015" s="1" t="s">
        <v>2527</v>
      </c>
      <c r="D1015" s="1" t="s">
        <v>2398</v>
      </c>
      <c r="E1015" s="1">
        <v>85310</v>
      </c>
      <c r="F1015" s="1" t="s">
        <v>5764</v>
      </c>
      <c r="G1015" s="1" t="s">
        <v>5765</v>
      </c>
      <c r="H1015" s="4" t="s">
        <v>2401</v>
      </c>
      <c r="V1015" s="45">
        <f t="shared" si="15"/>
        <v>1</v>
      </c>
      <c r="W1015" s="45" t="s">
        <v>5766</v>
      </c>
    </row>
    <row r="1016" spans="1:23" ht="11.85" hidden="1" customHeight="1">
      <c r="A1016" s="2">
        <v>45909</v>
      </c>
      <c r="B1016" s="1" t="s">
        <v>2612</v>
      </c>
      <c r="C1016" s="1" t="s">
        <v>2639</v>
      </c>
      <c r="D1016" s="1" t="s">
        <v>2470</v>
      </c>
      <c r="E1016" s="1">
        <v>86351</v>
      </c>
      <c r="F1016" s="1" t="s">
        <v>5767</v>
      </c>
      <c r="G1016" s="1" t="s">
        <v>5765</v>
      </c>
      <c r="H1016" s="4" t="s">
        <v>1448</v>
      </c>
      <c r="I1016" s="5" t="s">
        <v>2420</v>
      </c>
      <c r="J1016" s="5" t="s">
        <v>24</v>
      </c>
      <c r="K1016" s="5" t="s">
        <v>24</v>
      </c>
      <c r="L1016" s="5" t="s">
        <v>4282</v>
      </c>
      <c r="M1016" s="5" t="s">
        <v>24</v>
      </c>
      <c r="N1016" s="5" t="s">
        <v>24</v>
      </c>
      <c r="O1016" s="5" t="s">
        <v>75</v>
      </c>
      <c r="P1016" s="5" t="s">
        <v>2413</v>
      </c>
      <c r="Q1016" s="2">
        <v>45961</v>
      </c>
      <c r="V1016" s="45">
        <f t="shared" si="15"/>
        <v>1</v>
      </c>
      <c r="W1016" s="45" t="s">
        <v>5768</v>
      </c>
    </row>
    <row r="1017" spans="1:23" ht="11.85" hidden="1" customHeight="1">
      <c r="A1017" s="2">
        <v>45909</v>
      </c>
      <c r="B1017" s="1" t="s">
        <v>3460</v>
      </c>
      <c r="C1017" s="1" t="s">
        <v>4441</v>
      </c>
      <c r="D1017" s="1" t="s">
        <v>2439</v>
      </c>
      <c r="E1017" s="1">
        <v>85085</v>
      </c>
      <c r="F1017" s="1" t="s">
        <v>5769</v>
      </c>
      <c r="G1017" s="1" t="s">
        <v>5765</v>
      </c>
      <c r="H1017" s="4" t="s">
        <v>2613</v>
      </c>
      <c r="V1017" s="45">
        <f t="shared" si="15"/>
        <v>1</v>
      </c>
      <c r="W1017" s="45" t="s">
        <v>5770</v>
      </c>
    </row>
    <row r="1018" spans="1:23" ht="11.85" hidden="1" customHeight="1">
      <c r="A1018" s="2">
        <v>45909</v>
      </c>
      <c r="B1018" s="1" t="s">
        <v>5771</v>
      </c>
      <c r="C1018" s="1" t="s">
        <v>2912</v>
      </c>
      <c r="D1018" s="1" t="s">
        <v>2439</v>
      </c>
      <c r="E1018" s="1">
        <v>85023</v>
      </c>
      <c r="F1018" s="1" t="s">
        <v>2730</v>
      </c>
      <c r="G1018" s="1" t="s">
        <v>5765</v>
      </c>
      <c r="H1018" s="4" t="s">
        <v>1450</v>
      </c>
      <c r="I1018" s="5" t="s">
        <v>2412</v>
      </c>
      <c r="J1018" s="5" t="s">
        <v>24</v>
      </c>
      <c r="K1018" s="5" t="s">
        <v>24</v>
      </c>
      <c r="L1018" s="5" t="s">
        <v>4282</v>
      </c>
      <c r="M1018" s="5" t="s">
        <v>24</v>
      </c>
      <c r="N1018" s="5" t="s">
        <v>24</v>
      </c>
      <c r="O1018" s="5" t="s">
        <v>75</v>
      </c>
      <c r="P1018" s="5" t="s">
        <v>2413</v>
      </c>
      <c r="Q1018" s="2">
        <v>45961</v>
      </c>
      <c r="V1018" s="45">
        <f t="shared" si="15"/>
        <v>1</v>
      </c>
      <c r="W1018" s="45" t="s">
        <v>5772</v>
      </c>
    </row>
    <row r="1019" spans="1:23" ht="11.85" hidden="1" customHeight="1">
      <c r="A1019" s="2">
        <v>45909</v>
      </c>
      <c r="B1019" s="1" t="s">
        <v>5773</v>
      </c>
      <c r="C1019" s="1" t="s">
        <v>4113</v>
      </c>
      <c r="D1019" s="1" t="s">
        <v>2439</v>
      </c>
      <c r="E1019" s="1">
        <v>85053</v>
      </c>
      <c r="F1019" s="1" t="s">
        <v>2730</v>
      </c>
      <c r="G1019" s="1" t="s">
        <v>5765</v>
      </c>
      <c r="H1019" s="4" t="s">
        <v>1453</v>
      </c>
      <c r="I1019" s="5" t="s">
        <v>2514</v>
      </c>
      <c r="J1019" s="5" t="s">
        <v>24</v>
      </c>
      <c r="K1019" s="5" t="s">
        <v>24</v>
      </c>
      <c r="L1019" s="5" t="s">
        <v>4282</v>
      </c>
      <c r="M1019" s="5" t="s">
        <v>24</v>
      </c>
      <c r="N1019" s="5" t="s">
        <v>24</v>
      </c>
      <c r="O1019" s="5" t="s">
        <v>75</v>
      </c>
      <c r="P1019" s="5" t="s">
        <v>2413</v>
      </c>
      <c r="Q1019" s="2">
        <v>45961</v>
      </c>
      <c r="V1019" s="45">
        <f t="shared" si="15"/>
        <v>1</v>
      </c>
      <c r="W1019" s="45" t="s">
        <v>5774</v>
      </c>
    </row>
    <row r="1020" spans="1:23" hidden="1">
      <c r="A1020" s="2">
        <v>45909</v>
      </c>
      <c r="B1020" s="1" t="s">
        <v>5775</v>
      </c>
      <c r="C1020" s="1" t="s">
        <v>4032</v>
      </c>
      <c r="D1020" s="1" t="s">
        <v>3073</v>
      </c>
      <c r="E1020" s="1">
        <v>85365</v>
      </c>
      <c r="F1020" s="1" t="s">
        <v>5776</v>
      </c>
      <c r="G1020" s="1" t="s">
        <v>5777</v>
      </c>
      <c r="H1020" s="4" t="s">
        <v>2401</v>
      </c>
      <c r="V1020" s="45">
        <f t="shared" si="15"/>
        <v>1</v>
      </c>
      <c r="W1020" s="45" t="s">
        <v>5778</v>
      </c>
    </row>
    <row r="1021" spans="1:23" ht="11.85" hidden="1" customHeight="1">
      <c r="A1021" s="2">
        <v>45910</v>
      </c>
      <c r="B1021" s="1" t="s">
        <v>5779</v>
      </c>
      <c r="C1021" s="1" t="s">
        <v>5624</v>
      </c>
      <c r="D1021" s="1" t="s">
        <v>2405</v>
      </c>
      <c r="E1021" s="1" t="s">
        <v>2405</v>
      </c>
      <c r="F1021" s="1" t="s">
        <v>5780</v>
      </c>
      <c r="G1021" s="1" t="s">
        <v>5781</v>
      </c>
      <c r="H1021" s="4" t="s">
        <v>2401</v>
      </c>
      <c r="V1021" s="45">
        <f t="shared" si="15"/>
        <v>1</v>
      </c>
      <c r="W1021" s="45" t="s">
        <v>5782</v>
      </c>
    </row>
    <row r="1022" spans="1:23" ht="11.85" hidden="1" customHeight="1">
      <c r="A1022" s="2">
        <v>45910</v>
      </c>
      <c r="B1022" s="1" t="s">
        <v>5783</v>
      </c>
      <c r="C1022" s="1" t="s">
        <v>5784</v>
      </c>
      <c r="D1022" s="1" t="s">
        <v>2465</v>
      </c>
      <c r="E1022" s="1">
        <v>86323</v>
      </c>
      <c r="F1022" s="1" t="s">
        <v>5785</v>
      </c>
      <c r="G1022" s="1" t="s">
        <v>5781</v>
      </c>
      <c r="H1022" s="4" t="s">
        <v>1455</v>
      </c>
      <c r="I1022" s="5" t="s">
        <v>2652</v>
      </c>
      <c r="J1022" s="5" t="s">
        <v>24</v>
      </c>
      <c r="K1022" s="5" t="s">
        <v>24</v>
      </c>
      <c r="L1022" s="5" t="s">
        <v>2819</v>
      </c>
      <c r="M1022" s="5" t="s">
        <v>24</v>
      </c>
      <c r="N1022" s="5" t="s">
        <v>24</v>
      </c>
      <c r="O1022" s="5" t="s">
        <v>75</v>
      </c>
      <c r="P1022" s="5" t="s">
        <v>2413</v>
      </c>
      <c r="Q1022" s="2">
        <v>45961</v>
      </c>
      <c r="V1022" s="45">
        <f t="shared" si="15"/>
        <v>1</v>
      </c>
      <c r="W1022" s="45" t="s">
        <v>5786</v>
      </c>
    </row>
    <row r="1023" spans="1:23" ht="11.85" hidden="1" customHeight="1">
      <c r="A1023" s="2">
        <v>45910</v>
      </c>
      <c r="B1023" s="1" t="s">
        <v>5787</v>
      </c>
      <c r="C1023" s="1" t="s">
        <v>5788</v>
      </c>
      <c r="D1023" s="1" t="s">
        <v>2398</v>
      </c>
      <c r="E1023" s="1">
        <v>85308</v>
      </c>
      <c r="F1023" s="1" t="s">
        <v>2730</v>
      </c>
      <c r="G1023" s="1" t="s">
        <v>5781</v>
      </c>
      <c r="H1023" s="4" t="s">
        <v>352</v>
      </c>
      <c r="I1023" s="5" t="s">
        <v>2597</v>
      </c>
      <c r="J1023" s="5" t="s">
        <v>24</v>
      </c>
      <c r="K1023" s="5" t="s">
        <v>24</v>
      </c>
      <c r="L1023" s="5" t="s">
        <v>5789</v>
      </c>
      <c r="M1023" s="5" t="s">
        <v>24</v>
      </c>
      <c r="N1023" s="5" t="s">
        <v>24</v>
      </c>
      <c r="O1023" s="5" t="s">
        <v>75</v>
      </c>
      <c r="P1023" s="5" t="s">
        <v>2413</v>
      </c>
      <c r="Q1023" s="2">
        <v>45961</v>
      </c>
      <c r="V1023" s="45">
        <f t="shared" si="15"/>
        <v>1</v>
      </c>
      <c r="W1023" s="45" t="s">
        <v>5790</v>
      </c>
    </row>
    <row r="1024" spans="1:23" ht="11.85" hidden="1" customHeight="1">
      <c r="A1024" s="2">
        <v>45910</v>
      </c>
      <c r="B1024" s="1" t="s">
        <v>5791</v>
      </c>
      <c r="C1024" s="1" t="s">
        <v>5792</v>
      </c>
      <c r="D1024" s="1" t="s">
        <v>2439</v>
      </c>
      <c r="E1024" s="1">
        <v>85083</v>
      </c>
      <c r="F1024" s="1" t="s">
        <v>2406</v>
      </c>
      <c r="G1024" s="1" t="s">
        <v>5781</v>
      </c>
      <c r="H1024" s="4" t="s">
        <v>1457</v>
      </c>
      <c r="I1024" s="5" t="s">
        <v>2652</v>
      </c>
      <c r="J1024" s="5" t="s">
        <v>24</v>
      </c>
      <c r="K1024" s="5" t="s">
        <v>24</v>
      </c>
      <c r="L1024" s="5" t="s">
        <v>2819</v>
      </c>
      <c r="M1024" s="5" t="s">
        <v>24</v>
      </c>
      <c r="N1024" s="5" t="s">
        <v>24</v>
      </c>
      <c r="O1024" s="5" t="s">
        <v>75</v>
      </c>
      <c r="P1024" s="5" t="s">
        <v>2413</v>
      </c>
      <c r="Q1024" s="2">
        <v>45961</v>
      </c>
      <c r="V1024" s="45">
        <f t="shared" si="15"/>
        <v>1</v>
      </c>
      <c r="W1024" s="45" t="s">
        <v>5793</v>
      </c>
    </row>
    <row r="1025" spans="1:23" ht="11.85" hidden="1" customHeight="1">
      <c r="A1025" s="2">
        <v>45910</v>
      </c>
      <c r="B1025" s="1" t="s">
        <v>5794</v>
      </c>
      <c r="C1025" s="1" t="s">
        <v>2527</v>
      </c>
      <c r="D1025" s="1" t="s">
        <v>2445</v>
      </c>
      <c r="E1025" s="1">
        <v>85331</v>
      </c>
      <c r="F1025" s="1" t="s">
        <v>2730</v>
      </c>
      <c r="G1025" s="1" t="s">
        <v>5781</v>
      </c>
      <c r="H1025" s="4" t="s">
        <v>2401</v>
      </c>
      <c r="V1025" s="45">
        <f t="shared" si="15"/>
        <v>1</v>
      </c>
      <c r="W1025" s="45" t="s">
        <v>5795</v>
      </c>
    </row>
    <row r="1026" spans="1:23" ht="11.85" hidden="1" customHeight="1">
      <c r="A1026" s="2">
        <v>45910</v>
      </c>
      <c r="B1026" s="1" t="s">
        <v>5796</v>
      </c>
      <c r="C1026" s="1" t="s">
        <v>2524</v>
      </c>
      <c r="D1026" s="1" t="s">
        <v>3073</v>
      </c>
      <c r="E1026" s="1">
        <v>85365</v>
      </c>
      <c r="F1026" s="1" t="s">
        <v>2406</v>
      </c>
      <c r="G1026" s="1" t="s">
        <v>5781</v>
      </c>
      <c r="H1026" s="4" t="s">
        <v>1459</v>
      </c>
      <c r="I1026" s="5" t="s">
        <v>2412</v>
      </c>
      <c r="J1026" s="5" t="s">
        <v>24</v>
      </c>
      <c r="K1026" s="5" t="s">
        <v>24</v>
      </c>
      <c r="L1026" s="5" t="s">
        <v>4282</v>
      </c>
      <c r="M1026" s="5" t="s">
        <v>24</v>
      </c>
      <c r="N1026" s="5" t="s">
        <v>24</v>
      </c>
      <c r="O1026" s="5" t="s">
        <v>75</v>
      </c>
      <c r="P1026" s="5" t="s">
        <v>2413</v>
      </c>
      <c r="Q1026" s="2">
        <v>45961</v>
      </c>
      <c r="V1026" s="45">
        <f t="shared" ref="V1026:V1089" si="16">IF(OR(ISNUMBER(SEARCH("unable to locate acct",G1026)),ISNUMBER(SEARCH("unknown",G1026)),ISNUMBER(SEARCH("inactive",G1026)),H1026=""),0,1)</f>
        <v>1</v>
      </c>
      <c r="W1026" s="45" t="s">
        <v>5797</v>
      </c>
    </row>
    <row r="1027" spans="1:23" ht="11.85" hidden="1" customHeight="1">
      <c r="A1027" s="2">
        <v>45910</v>
      </c>
      <c r="B1027" s="1" t="s">
        <v>3460</v>
      </c>
      <c r="C1027" s="1" t="s">
        <v>5798</v>
      </c>
      <c r="D1027" s="1" t="s">
        <v>2439</v>
      </c>
      <c r="E1027" s="1">
        <v>85008</v>
      </c>
      <c r="F1027" s="1" t="s">
        <v>2406</v>
      </c>
      <c r="G1027" s="1" t="s">
        <v>5781</v>
      </c>
      <c r="H1027" s="4" t="s">
        <v>355</v>
      </c>
      <c r="I1027" s="5" t="s">
        <v>2597</v>
      </c>
      <c r="J1027" s="5" t="s">
        <v>24</v>
      </c>
      <c r="K1027" s="5" t="s">
        <v>24</v>
      </c>
      <c r="L1027" s="5" t="s">
        <v>5799</v>
      </c>
      <c r="M1027" s="5" t="s">
        <v>24</v>
      </c>
      <c r="N1027" s="5" t="s">
        <v>24</v>
      </c>
      <c r="O1027" s="5" t="s">
        <v>75</v>
      </c>
      <c r="P1027" s="5" t="s">
        <v>2413</v>
      </c>
      <c r="Q1027" s="2">
        <v>45961</v>
      </c>
      <c r="V1027" s="45">
        <f t="shared" si="16"/>
        <v>1</v>
      </c>
      <c r="W1027" s="45" t="s">
        <v>5800</v>
      </c>
    </row>
    <row r="1028" spans="1:23" ht="11.85" hidden="1" customHeight="1">
      <c r="A1028" s="2">
        <v>45910</v>
      </c>
      <c r="B1028" s="1" t="s">
        <v>5801</v>
      </c>
      <c r="C1028" s="1" t="s">
        <v>4667</v>
      </c>
      <c r="D1028" s="1" t="s">
        <v>4424</v>
      </c>
      <c r="E1028" s="1">
        <v>85351</v>
      </c>
      <c r="F1028" s="1" t="s">
        <v>2406</v>
      </c>
      <c r="G1028" s="1" t="s">
        <v>5802</v>
      </c>
      <c r="H1028" s="4" t="s">
        <v>43</v>
      </c>
      <c r="I1028" s="5" t="s">
        <v>2514</v>
      </c>
      <c r="J1028" s="5" t="s">
        <v>24</v>
      </c>
      <c r="K1028" s="5" t="s">
        <v>24</v>
      </c>
      <c r="L1028" s="7" t="s">
        <v>5803</v>
      </c>
      <c r="O1028" s="5" t="s">
        <v>75</v>
      </c>
      <c r="P1028" s="2">
        <v>45938</v>
      </c>
      <c r="Q1028" s="2">
        <v>45961</v>
      </c>
      <c r="R1028" s="22" t="s">
        <v>5804</v>
      </c>
      <c r="V1028" s="45">
        <f t="shared" si="16"/>
        <v>1</v>
      </c>
      <c r="W1028" s="45" t="s">
        <v>5805</v>
      </c>
    </row>
    <row r="1029" spans="1:23" ht="11.85" hidden="1" customHeight="1">
      <c r="A1029" s="2">
        <v>45910</v>
      </c>
      <c r="B1029" s="1" t="s">
        <v>5806</v>
      </c>
      <c r="C1029" s="1" t="s">
        <v>5807</v>
      </c>
      <c r="D1029" s="1" t="s">
        <v>2439</v>
      </c>
      <c r="E1029" s="1">
        <v>85021</v>
      </c>
      <c r="F1029" s="1" t="s">
        <v>2406</v>
      </c>
      <c r="G1029" s="1" t="s">
        <v>5802</v>
      </c>
      <c r="H1029" s="4" t="s">
        <v>1461</v>
      </c>
      <c r="I1029" s="5" t="s">
        <v>2412</v>
      </c>
      <c r="J1029" s="5" t="s">
        <v>24</v>
      </c>
      <c r="K1029" s="5" t="s">
        <v>24</v>
      </c>
      <c r="L1029" s="5" t="s">
        <v>4282</v>
      </c>
      <c r="M1029" s="5" t="s">
        <v>24</v>
      </c>
      <c r="N1029" s="5" t="s">
        <v>24</v>
      </c>
      <c r="O1029" s="5" t="s">
        <v>75</v>
      </c>
      <c r="P1029" s="5" t="s">
        <v>2413</v>
      </c>
      <c r="Q1029" s="2">
        <v>45961</v>
      </c>
      <c r="V1029" s="45">
        <f t="shared" si="16"/>
        <v>1</v>
      </c>
      <c r="W1029" s="45" t="s">
        <v>5808</v>
      </c>
    </row>
    <row r="1030" spans="1:23" ht="11.85" hidden="1" customHeight="1">
      <c r="A1030" s="2">
        <v>45910</v>
      </c>
      <c r="B1030" s="1" t="s">
        <v>5577</v>
      </c>
      <c r="C1030" s="1" t="s">
        <v>2921</v>
      </c>
      <c r="D1030" s="1" t="s">
        <v>5809</v>
      </c>
      <c r="E1030" s="1">
        <v>85344</v>
      </c>
      <c r="F1030" s="1" t="s">
        <v>5810</v>
      </c>
      <c r="G1030" s="1" t="s">
        <v>5802</v>
      </c>
      <c r="H1030" s="4" t="s">
        <v>2401</v>
      </c>
      <c r="V1030" s="45">
        <f t="shared" si="16"/>
        <v>1</v>
      </c>
      <c r="W1030" s="45" t="s">
        <v>5811</v>
      </c>
    </row>
    <row r="1031" spans="1:23" ht="11.85" hidden="1" customHeight="1">
      <c r="A1031" s="2">
        <v>45910</v>
      </c>
      <c r="B1031" s="1" t="s">
        <v>5577</v>
      </c>
      <c r="C1031" s="1" t="s">
        <v>4705</v>
      </c>
      <c r="D1031" s="1" t="s">
        <v>5812</v>
      </c>
      <c r="E1031" s="1">
        <v>85356</v>
      </c>
      <c r="F1031" s="1" t="s">
        <v>2406</v>
      </c>
      <c r="G1031" s="1" t="s">
        <v>5802</v>
      </c>
      <c r="H1031" s="4" t="s">
        <v>2401</v>
      </c>
      <c r="V1031" s="45">
        <f t="shared" si="16"/>
        <v>1</v>
      </c>
      <c r="W1031" s="125" t="s">
        <v>5813</v>
      </c>
    </row>
    <row r="1032" spans="1:23" hidden="1">
      <c r="A1032" s="2">
        <v>45910</v>
      </c>
      <c r="B1032" s="1" t="s">
        <v>5814</v>
      </c>
      <c r="C1032" s="1" t="s">
        <v>5815</v>
      </c>
      <c r="D1032" s="1" t="s">
        <v>3073</v>
      </c>
      <c r="E1032" s="1" t="s">
        <v>2405</v>
      </c>
      <c r="F1032" s="1" t="s">
        <v>5816</v>
      </c>
      <c r="G1032" s="1" t="s">
        <v>5817</v>
      </c>
      <c r="H1032" s="4" t="s">
        <v>3191</v>
      </c>
      <c r="I1032" s="5" t="s">
        <v>2451</v>
      </c>
      <c r="J1032" s="5" t="s">
        <v>24</v>
      </c>
      <c r="K1032" s="5" t="s">
        <v>24</v>
      </c>
      <c r="L1032" s="5" t="s">
        <v>4282</v>
      </c>
      <c r="M1032" s="5" t="s">
        <v>24</v>
      </c>
      <c r="N1032" s="5" t="s">
        <v>24</v>
      </c>
      <c r="O1032" s="5" t="s">
        <v>75</v>
      </c>
      <c r="P1032" s="5" t="s">
        <v>2413</v>
      </c>
      <c r="Q1032" s="2">
        <v>45961</v>
      </c>
      <c r="V1032" s="45">
        <f t="shared" si="16"/>
        <v>1</v>
      </c>
      <c r="W1032" s="45" t="s">
        <v>5818</v>
      </c>
    </row>
    <row r="1033" spans="1:23" hidden="1">
      <c r="A1033" s="2">
        <v>45910</v>
      </c>
      <c r="B1033" s="1" t="s">
        <v>5237</v>
      </c>
      <c r="C1033" s="1" t="s">
        <v>3189</v>
      </c>
      <c r="D1033" s="1" t="s">
        <v>2439</v>
      </c>
      <c r="E1033" s="1">
        <v>85028</v>
      </c>
      <c r="F1033" s="1" t="s">
        <v>2406</v>
      </c>
      <c r="G1033" s="1" t="s">
        <v>5817</v>
      </c>
      <c r="H1033" s="4" t="s">
        <v>270</v>
      </c>
      <c r="I1033" s="5" t="s">
        <v>2514</v>
      </c>
      <c r="J1033" s="5" t="s">
        <v>24</v>
      </c>
      <c r="K1033" s="5" t="s">
        <v>24</v>
      </c>
      <c r="L1033" s="5" t="s">
        <v>5819</v>
      </c>
      <c r="M1033" s="5" t="s">
        <v>24</v>
      </c>
      <c r="N1033" s="5" t="s">
        <v>24</v>
      </c>
      <c r="O1033" s="5" t="s">
        <v>75</v>
      </c>
      <c r="P1033" s="5" t="s">
        <v>2413</v>
      </c>
      <c r="Q1033" s="2">
        <v>45961</v>
      </c>
      <c r="V1033" s="45">
        <f t="shared" si="16"/>
        <v>1</v>
      </c>
      <c r="W1033" s="45" t="s">
        <v>5820</v>
      </c>
    </row>
    <row r="1034" spans="1:23" hidden="1">
      <c r="A1034" s="2">
        <v>45910</v>
      </c>
      <c r="B1034" s="1" t="s">
        <v>5821</v>
      </c>
      <c r="C1034" s="1" t="s">
        <v>2788</v>
      </c>
      <c r="D1034" s="1" t="s">
        <v>2570</v>
      </c>
      <c r="E1034" s="1">
        <v>85326</v>
      </c>
      <c r="F1034" s="1" t="s">
        <v>2406</v>
      </c>
      <c r="G1034" s="1" t="s">
        <v>5817</v>
      </c>
      <c r="H1034" s="4" t="s">
        <v>1463</v>
      </c>
      <c r="I1034" s="5" t="s">
        <v>2420</v>
      </c>
      <c r="J1034" s="5" t="s">
        <v>24</v>
      </c>
      <c r="K1034" s="5" t="s">
        <v>24</v>
      </c>
      <c r="L1034" s="5" t="s">
        <v>4282</v>
      </c>
      <c r="M1034" s="5" t="s">
        <v>24</v>
      </c>
      <c r="N1034" s="5" t="s">
        <v>24</v>
      </c>
      <c r="O1034" s="5" t="s">
        <v>75</v>
      </c>
      <c r="P1034" s="5" t="s">
        <v>2413</v>
      </c>
      <c r="Q1034" s="2">
        <v>45961</v>
      </c>
      <c r="V1034" s="45">
        <f t="shared" si="16"/>
        <v>1</v>
      </c>
      <c r="W1034" s="45" t="s">
        <v>5822</v>
      </c>
    </row>
    <row r="1035" spans="1:23" hidden="1">
      <c r="A1035" s="2">
        <v>45910</v>
      </c>
      <c r="B1035" s="28" t="s">
        <v>5823</v>
      </c>
      <c r="C1035" s="28" t="s">
        <v>2792</v>
      </c>
      <c r="D1035" s="28" t="s">
        <v>2564</v>
      </c>
      <c r="E1035" s="28">
        <v>85395</v>
      </c>
      <c r="F1035" s="28" t="s">
        <v>2406</v>
      </c>
      <c r="G1035" s="28" t="s">
        <v>5817</v>
      </c>
      <c r="H1035" s="4" t="s">
        <v>1465</v>
      </c>
      <c r="I1035" s="5" t="s">
        <v>4163</v>
      </c>
      <c r="J1035" s="5" t="s">
        <v>24</v>
      </c>
      <c r="K1035" s="5" t="s">
        <v>24</v>
      </c>
      <c r="L1035" s="5" t="s">
        <v>2819</v>
      </c>
      <c r="M1035" s="5" t="s">
        <v>24</v>
      </c>
      <c r="N1035" s="5" t="s">
        <v>24</v>
      </c>
      <c r="O1035" s="5" t="s">
        <v>75</v>
      </c>
      <c r="P1035" s="5" t="s">
        <v>2413</v>
      </c>
      <c r="Q1035" s="2">
        <v>45961</v>
      </c>
      <c r="R1035" s="1" t="s">
        <v>5824</v>
      </c>
      <c r="V1035" s="45">
        <f t="shared" si="16"/>
        <v>1</v>
      </c>
      <c r="W1035" s="45" t="s">
        <v>5825</v>
      </c>
    </row>
    <row r="1036" spans="1:23" hidden="1">
      <c r="A1036" s="2">
        <v>45910</v>
      </c>
      <c r="B1036" s="1" t="s">
        <v>5826</v>
      </c>
      <c r="C1036" s="1" t="s">
        <v>5827</v>
      </c>
      <c r="D1036" s="1" t="s">
        <v>2439</v>
      </c>
      <c r="E1036" s="1">
        <v>85004</v>
      </c>
      <c r="F1036" s="1" t="s">
        <v>2406</v>
      </c>
      <c r="G1036" s="1" t="s">
        <v>5817</v>
      </c>
      <c r="H1036" s="4" t="s">
        <v>360</v>
      </c>
      <c r="I1036" s="5" t="s">
        <v>2597</v>
      </c>
      <c r="J1036" s="5" t="s">
        <v>24</v>
      </c>
      <c r="K1036" s="5" t="s">
        <v>24</v>
      </c>
      <c r="L1036" s="7" t="s">
        <v>5828</v>
      </c>
      <c r="M1036" s="5" t="s">
        <v>24</v>
      </c>
      <c r="N1036" s="5" t="s">
        <v>24</v>
      </c>
      <c r="O1036" s="5" t="s">
        <v>75</v>
      </c>
      <c r="P1036" s="5" t="s">
        <v>2413</v>
      </c>
      <c r="Q1036" s="2">
        <v>45961</v>
      </c>
      <c r="R1036" s="1" t="s">
        <v>5829</v>
      </c>
      <c r="V1036" s="45">
        <f t="shared" si="16"/>
        <v>1</v>
      </c>
      <c r="W1036" s="45" t="s">
        <v>5830</v>
      </c>
    </row>
    <row r="1037" spans="1:23" hidden="1">
      <c r="A1037" s="2">
        <v>45910</v>
      </c>
      <c r="B1037" s="1" t="s">
        <v>5734</v>
      </c>
      <c r="C1037" s="1" t="s">
        <v>5735</v>
      </c>
      <c r="D1037" s="1" t="s">
        <v>2465</v>
      </c>
      <c r="E1037" s="1">
        <v>86323</v>
      </c>
      <c r="F1037" s="1" t="s">
        <v>2406</v>
      </c>
      <c r="G1037" s="1" t="s">
        <v>5817</v>
      </c>
      <c r="H1037" s="4" t="s">
        <v>348</v>
      </c>
      <c r="I1037" s="5" t="s">
        <v>2597</v>
      </c>
      <c r="J1037" s="5" t="s">
        <v>24</v>
      </c>
      <c r="K1037" s="5" t="s">
        <v>24</v>
      </c>
      <c r="L1037" s="5" t="s">
        <v>5831</v>
      </c>
      <c r="M1037" s="5" t="s">
        <v>24</v>
      </c>
      <c r="N1037" s="5" t="s">
        <v>24</v>
      </c>
      <c r="O1037" s="5" t="s">
        <v>75</v>
      </c>
      <c r="P1037" s="5" t="s">
        <v>2413</v>
      </c>
      <c r="Q1037" s="2">
        <v>45961</v>
      </c>
      <c r="V1037" s="45">
        <f t="shared" si="16"/>
        <v>1</v>
      </c>
      <c r="W1037" s="45" t="s">
        <v>5832</v>
      </c>
    </row>
    <row r="1038" spans="1:23" hidden="1">
      <c r="A1038" s="2">
        <v>45910</v>
      </c>
      <c r="B1038" s="1" t="s">
        <v>2676</v>
      </c>
      <c r="C1038" s="1" t="s">
        <v>2620</v>
      </c>
      <c r="D1038" s="1" t="s">
        <v>2605</v>
      </c>
      <c r="E1038" s="1">
        <v>85345</v>
      </c>
      <c r="F1038" s="1" t="s">
        <v>2406</v>
      </c>
      <c r="G1038" s="1" t="s">
        <v>5817</v>
      </c>
      <c r="H1038" s="4" t="s">
        <v>1467</v>
      </c>
      <c r="I1038" s="5" t="s">
        <v>2597</v>
      </c>
      <c r="J1038" s="5" t="s">
        <v>24</v>
      </c>
      <c r="K1038" s="5" t="s">
        <v>24</v>
      </c>
      <c r="L1038" s="5" t="s">
        <v>4282</v>
      </c>
      <c r="M1038" s="5" t="s">
        <v>24</v>
      </c>
      <c r="N1038" s="5" t="s">
        <v>24</v>
      </c>
      <c r="O1038" s="5" t="s">
        <v>75</v>
      </c>
      <c r="P1038" s="5" t="s">
        <v>2413</v>
      </c>
      <c r="Q1038" s="2">
        <v>45961</v>
      </c>
      <c r="V1038" s="45">
        <f t="shared" si="16"/>
        <v>1</v>
      </c>
      <c r="W1038" s="45" t="s">
        <v>5833</v>
      </c>
    </row>
    <row r="1039" spans="1:23" hidden="1">
      <c r="A1039" s="2">
        <v>45910</v>
      </c>
      <c r="B1039" s="1" t="s">
        <v>4976</v>
      </c>
      <c r="C1039" s="1" t="s">
        <v>4976</v>
      </c>
      <c r="D1039" s="1" t="s">
        <v>2405</v>
      </c>
      <c r="E1039" s="1" t="s">
        <v>2405</v>
      </c>
      <c r="F1039" s="1" t="s">
        <v>5834</v>
      </c>
      <c r="G1039" s="1" t="s">
        <v>5817</v>
      </c>
      <c r="H1039" s="4" t="s">
        <v>2401</v>
      </c>
      <c r="V1039" s="45">
        <f t="shared" si="16"/>
        <v>1</v>
      </c>
      <c r="W1039" s="45" t="s">
        <v>5835</v>
      </c>
    </row>
    <row r="1040" spans="1:23" hidden="1">
      <c r="A1040" s="2">
        <v>45910</v>
      </c>
      <c r="B1040" s="1" t="s">
        <v>5529</v>
      </c>
      <c r="C1040" s="1" t="s">
        <v>4788</v>
      </c>
      <c r="D1040" s="1" t="s">
        <v>2498</v>
      </c>
      <c r="E1040" s="1">
        <v>85388</v>
      </c>
      <c r="F1040" s="1" t="s">
        <v>2730</v>
      </c>
      <c r="G1040" s="1" t="s">
        <v>5836</v>
      </c>
      <c r="H1040" s="4" t="s">
        <v>1469</v>
      </c>
      <c r="I1040" s="5" t="s">
        <v>2420</v>
      </c>
      <c r="J1040" s="5" t="s">
        <v>24</v>
      </c>
      <c r="K1040" s="5" t="s">
        <v>24</v>
      </c>
      <c r="L1040" s="5" t="s">
        <v>4282</v>
      </c>
      <c r="M1040" s="5" t="s">
        <v>24</v>
      </c>
      <c r="N1040" s="5" t="s">
        <v>24</v>
      </c>
      <c r="O1040" s="5" t="s">
        <v>75</v>
      </c>
      <c r="P1040" s="5" t="s">
        <v>2413</v>
      </c>
      <c r="Q1040" s="2">
        <v>45961</v>
      </c>
      <c r="V1040" s="45">
        <f t="shared" si="16"/>
        <v>1</v>
      </c>
      <c r="W1040" s="45" t="s">
        <v>5837</v>
      </c>
    </row>
    <row r="1041" spans="1:23" hidden="1">
      <c r="A1041" s="2">
        <v>45911</v>
      </c>
      <c r="B1041" s="1" t="s">
        <v>5838</v>
      </c>
      <c r="C1041" s="1" t="s">
        <v>5839</v>
      </c>
      <c r="D1041" s="1" t="s">
        <v>2513</v>
      </c>
      <c r="E1041" s="1">
        <v>85259</v>
      </c>
      <c r="F1041" s="1" t="s">
        <v>5840</v>
      </c>
      <c r="G1041" s="1" t="s">
        <v>5836</v>
      </c>
      <c r="H1041" s="4" t="s">
        <v>1471</v>
      </c>
      <c r="I1041" s="5" t="s">
        <v>2412</v>
      </c>
      <c r="J1041" s="5" t="s">
        <v>24</v>
      </c>
      <c r="K1041" s="5" t="s">
        <v>24</v>
      </c>
      <c r="L1041" s="5" t="s">
        <v>4282</v>
      </c>
      <c r="M1041" s="5" t="s">
        <v>24</v>
      </c>
      <c r="N1041" s="5" t="s">
        <v>24</v>
      </c>
      <c r="O1041" s="5" t="s">
        <v>75</v>
      </c>
      <c r="P1041" s="5" t="s">
        <v>2413</v>
      </c>
      <c r="Q1041" s="2">
        <v>45961</v>
      </c>
      <c r="V1041" s="45">
        <f t="shared" si="16"/>
        <v>1</v>
      </c>
      <c r="W1041" s="45" t="s">
        <v>5841</v>
      </c>
    </row>
    <row r="1042" spans="1:23" hidden="1">
      <c r="A1042" s="2">
        <v>45911</v>
      </c>
      <c r="B1042" s="1" t="s">
        <v>5842</v>
      </c>
      <c r="C1042" s="1" t="s">
        <v>5843</v>
      </c>
      <c r="D1042" s="1" t="s">
        <v>2405</v>
      </c>
      <c r="E1042" s="1" t="s">
        <v>2405</v>
      </c>
      <c r="F1042" s="1" t="s">
        <v>5844</v>
      </c>
      <c r="G1042" s="1" t="s">
        <v>5836</v>
      </c>
      <c r="H1042" s="4" t="s">
        <v>2401</v>
      </c>
      <c r="V1042" s="45">
        <f t="shared" si="16"/>
        <v>1</v>
      </c>
      <c r="W1042" s="45" t="s">
        <v>5845</v>
      </c>
    </row>
    <row r="1043" spans="1:23" hidden="1">
      <c r="A1043" s="2">
        <v>45911</v>
      </c>
      <c r="B1043" s="1" t="s">
        <v>5184</v>
      </c>
      <c r="C1043" s="1" t="s">
        <v>4919</v>
      </c>
      <c r="D1043" s="1" t="s">
        <v>2605</v>
      </c>
      <c r="E1043" s="1">
        <v>85345</v>
      </c>
      <c r="F1043" s="1" t="s">
        <v>2730</v>
      </c>
      <c r="G1043" s="1" t="s">
        <v>5836</v>
      </c>
      <c r="H1043" s="4" t="s">
        <v>362</v>
      </c>
      <c r="I1043" s="5" t="s">
        <v>2420</v>
      </c>
      <c r="J1043" s="5" t="s">
        <v>24</v>
      </c>
      <c r="K1043" s="5" t="s">
        <v>24</v>
      </c>
      <c r="L1043" s="5" t="s">
        <v>5846</v>
      </c>
      <c r="M1043" s="5" t="s">
        <v>24</v>
      </c>
      <c r="N1043" s="5" t="s">
        <v>24</v>
      </c>
      <c r="O1043" s="5" t="s">
        <v>75</v>
      </c>
      <c r="P1043" s="5" t="s">
        <v>2413</v>
      </c>
      <c r="Q1043" s="2">
        <v>45961</v>
      </c>
      <c r="V1043" s="45">
        <f t="shared" si="16"/>
        <v>1</v>
      </c>
      <c r="W1043" s="45" t="s">
        <v>5847</v>
      </c>
    </row>
    <row r="1044" spans="1:23" hidden="1">
      <c r="A1044" s="2">
        <v>45911</v>
      </c>
      <c r="B1044" s="1" t="s">
        <v>5848</v>
      </c>
      <c r="C1044" s="1" t="s">
        <v>5849</v>
      </c>
      <c r="D1044" s="1" t="s">
        <v>2405</v>
      </c>
      <c r="E1044" s="1" t="s">
        <v>2405</v>
      </c>
      <c r="F1044" s="1" t="s">
        <v>2730</v>
      </c>
      <c r="G1044" s="1" t="s">
        <v>5836</v>
      </c>
      <c r="H1044" s="4" t="s">
        <v>2401</v>
      </c>
      <c r="V1044" s="45">
        <f t="shared" si="16"/>
        <v>1</v>
      </c>
      <c r="W1044" s="45" t="s">
        <v>5850</v>
      </c>
    </row>
    <row r="1045" spans="1:23" hidden="1">
      <c r="A1045" s="2">
        <v>45911</v>
      </c>
      <c r="B1045" s="1" t="s">
        <v>2631</v>
      </c>
      <c r="C1045" s="1" t="s">
        <v>2775</v>
      </c>
      <c r="D1045" s="1" t="s">
        <v>2465</v>
      </c>
      <c r="E1045" s="1">
        <v>86323</v>
      </c>
      <c r="F1045" s="1" t="s">
        <v>2406</v>
      </c>
      <c r="G1045" s="1" t="s">
        <v>5836</v>
      </c>
      <c r="H1045" s="4" t="s">
        <v>348</v>
      </c>
      <c r="I1045" s="5" t="s">
        <v>2597</v>
      </c>
      <c r="J1045" s="5" t="s">
        <v>24</v>
      </c>
      <c r="K1045" s="5" t="s">
        <v>24</v>
      </c>
      <c r="L1045" s="5" t="s">
        <v>5736</v>
      </c>
      <c r="M1045" s="5" t="s">
        <v>24</v>
      </c>
      <c r="N1045" s="5" t="s">
        <v>24</v>
      </c>
      <c r="O1045" s="5" t="s">
        <v>75</v>
      </c>
      <c r="P1045" s="5" t="s">
        <v>2413</v>
      </c>
      <c r="Q1045" s="2">
        <v>45961</v>
      </c>
      <c r="V1045" s="45">
        <f t="shared" si="16"/>
        <v>1</v>
      </c>
      <c r="W1045" s="45" t="s">
        <v>5851</v>
      </c>
    </row>
    <row r="1046" spans="1:23" hidden="1">
      <c r="A1046" s="2">
        <v>45912</v>
      </c>
      <c r="B1046" s="1" t="s">
        <v>5852</v>
      </c>
      <c r="C1046" s="1" t="s">
        <v>5853</v>
      </c>
      <c r="D1046" s="1" t="s">
        <v>2564</v>
      </c>
      <c r="E1046" s="1">
        <v>85395</v>
      </c>
      <c r="F1046" s="1" t="s">
        <v>2406</v>
      </c>
      <c r="G1046" s="1" t="s">
        <v>5854</v>
      </c>
      <c r="H1046" s="4" t="s">
        <v>1473</v>
      </c>
      <c r="I1046" s="5" t="s">
        <v>2412</v>
      </c>
      <c r="J1046" s="5" t="s">
        <v>24</v>
      </c>
      <c r="K1046" s="5" t="s">
        <v>24</v>
      </c>
      <c r="L1046" s="5" t="s">
        <v>4282</v>
      </c>
      <c r="M1046" s="5" t="s">
        <v>24</v>
      </c>
      <c r="N1046" s="5" t="s">
        <v>24</v>
      </c>
      <c r="O1046" s="5" t="s">
        <v>75</v>
      </c>
      <c r="P1046" s="5" t="s">
        <v>2413</v>
      </c>
      <c r="Q1046" s="2">
        <v>45961</v>
      </c>
      <c r="V1046" s="45">
        <f t="shared" si="16"/>
        <v>1</v>
      </c>
      <c r="W1046" s="45" t="s">
        <v>5855</v>
      </c>
    </row>
    <row r="1047" spans="1:23" hidden="1">
      <c r="A1047" s="2">
        <v>45912</v>
      </c>
      <c r="B1047" s="1" t="s">
        <v>3998</v>
      </c>
      <c r="C1047" s="1" t="s">
        <v>3807</v>
      </c>
      <c r="D1047" s="1" t="s">
        <v>2439</v>
      </c>
      <c r="E1047" s="1">
        <v>85053</v>
      </c>
      <c r="F1047" s="1" t="s">
        <v>2730</v>
      </c>
      <c r="G1047" s="1" t="s">
        <v>5856</v>
      </c>
      <c r="H1047" s="4" t="s">
        <v>945</v>
      </c>
      <c r="I1047" s="5" t="s">
        <v>2412</v>
      </c>
      <c r="J1047" s="5" t="s">
        <v>24</v>
      </c>
      <c r="K1047" s="5" t="s">
        <v>24</v>
      </c>
      <c r="L1047" s="5" t="s">
        <v>4282</v>
      </c>
      <c r="M1047" s="5" t="s">
        <v>24</v>
      </c>
      <c r="N1047" s="5" t="s">
        <v>24</v>
      </c>
      <c r="O1047" s="5" t="s">
        <v>75</v>
      </c>
      <c r="P1047" s="5" t="s">
        <v>2413</v>
      </c>
      <c r="Q1047" s="2">
        <v>45961</v>
      </c>
      <c r="V1047" s="45">
        <f t="shared" si="16"/>
        <v>1</v>
      </c>
      <c r="W1047" s="45" t="s">
        <v>5857</v>
      </c>
    </row>
    <row r="1048" spans="1:23" hidden="1">
      <c r="A1048" s="2">
        <v>45912</v>
      </c>
      <c r="B1048" s="1" t="s">
        <v>5858</v>
      </c>
      <c r="C1048" s="1" t="s">
        <v>5859</v>
      </c>
      <c r="D1048" s="1" t="s">
        <v>2405</v>
      </c>
      <c r="E1048" s="1" t="s">
        <v>2405</v>
      </c>
      <c r="F1048" s="1" t="s">
        <v>2406</v>
      </c>
      <c r="G1048" s="1" t="s">
        <v>5860</v>
      </c>
      <c r="H1048" s="4" t="s">
        <v>2401</v>
      </c>
      <c r="V1048" s="45">
        <f t="shared" si="16"/>
        <v>1</v>
      </c>
      <c r="W1048" s="45" t="s">
        <v>5861</v>
      </c>
    </row>
    <row r="1049" spans="1:23" hidden="1">
      <c r="A1049" s="2">
        <v>45912</v>
      </c>
      <c r="B1049" s="1" t="s">
        <v>5862</v>
      </c>
      <c r="C1049" s="1" t="s">
        <v>3729</v>
      </c>
      <c r="D1049" s="1" t="s">
        <v>2439</v>
      </c>
      <c r="E1049" s="1">
        <v>85027</v>
      </c>
      <c r="F1049" s="1" t="s">
        <v>3215</v>
      </c>
      <c r="G1049" s="1" t="s">
        <v>5860</v>
      </c>
      <c r="H1049" s="4" t="s">
        <v>365</v>
      </c>
      <c r="I1049" s="5" t="s">
        <v>2597</v>
      </c>
      <c r="J1049" s="5" t="s">
        <v>24</v>
      </c>
      <c r="K1049" s="5" t="s">
        <v>24</v>
      </c>
      <c r="L1049" s="5" t="s">
        <v>5863</v>
      </c>
      <c r="M1049" s="5" t="s">
        <v>24</v>
      </c>
      <c r="N1049" s="5" t="s">
        <v>24</v>
      </c>
      <c r="O1049" s="5" t="s">
        <v>75</v>
      </c>
      <c r="P1049" s="5" t="s">
        <v>2413</v>
      </c>
      <c r="Q1049" s="2">
        <v>45961</v>
      </c>
      <c r="V1049" s="45">
        <f t="shared" si="16"/>
        <v>1</v>
      </c>
      <c r="W1049" s="45" t="s">
        <v>5864</v>
      </c>
    </row>
    <row r="1050" spans="1:23" hidden="1">
      <c r="A1050" s="2">
        <v>45912</v>
      </c>
      <c r="B1050" s="1" t="s">
        <v>5865</v>
      </c>
      <c r="C1050" s="1" t="s">
        <v>5866</v>
      </c>
      <c r="D1050" s="1" t="s">
        <v>2969</v>
      </c>
      <c r="E1050" s="1">
        <v>85392</v>
      </c>
      <c r="F1050" s="1" t="s">
        <v>2730</v>
      </c>
      <c r="G1050" s="1" t="s">
        <v>5860</v>
      </c>
      <c r="H1050" s="4" t="s">
        <v>367</v>
      </c>
      <c r="I1050" s="5" t="s">
        <v>2597</v>
      </c>
      <c r="J1050" s="5" t="s">
        <v>24</v>
      </c>
      <c r="K1050" s="5" t="s">
        <v>24</v>
      </c>
      <c r="L1050" s="7" t="s">
        <v>5867</v>
      </c>
      <c r="M1050" s="5" t="s">
        <v>24</v>
      </c>
      <c r="N1050" s="5" t="s">
        <v>24</v>
      </c>
      <c r="O1050" s="5" t="s">
        <v>75</v>
      </c>
      <c r="P1050" s="2">
        <v>45938</v>
      </c>
      <c r="Q1050" s="2">
        <v>45961</v>
      </c>
      <c r="R1050" s="1" t="s">
        <v>5868</v>
      </c>
      <c r="V1050" s="45">
        <f t="shared" si="16"/>
        <v>1</v>
      </c>
      <c r="W1050" s="45" t="s">
        <v>5869</v>
      </c>
    </row>
    <row r="1051" spans="1:23" hidden="1">
      <c r="A1051" s="2">
        <v>45912</v>
      </c>
      <c r="B1051" s="1" t="s">
        <v>5870</v>
      </c>
      <c r="C1051" s="1" t="s">
        <v>2861</v>
      </c>
      <c r="D1051" s="1" t="s">
        <v>2398</v>
      </c>
      <c r="E1051" s="1">
        <v>85308</v>
      </c>
      <c r="F1051" s="1" t="s">
        <v>2730</v>
      </c>
      <c r="G1051" s="1" t="s">
        <v>5860</v>
      </c>
      <c r="H1051" s="4" t="s">
        <v>1475</v>
      </c>
      <c r="I1051" s="5" t="s">
        <v>2652</v>
      </c>
      <c r="J1051" s="5" t="s">
        <v>24</v>
      </c>
      <c r="K1051" s="5" t="s">
        <v>24</v>
      </c>
      <c r="L1051" s="5" t="s">
        <v>2819</v>
      </c>
      <c r="M1051" s="5" t="s">
        <v>24</v>
      </c>
      <c r="N1051" s="5" t="s">
        <v>24</v>
      </c>
      <c r="O1051" s="5" t="s">
        <v>75</v>
      </c>
      <c r="P1051" s="5" t="s">
        <v>2413</v>
      </c>
      <c r="Q1051" s="2">
        <v>45961</v>
      </c>
      <c r="V1051" s="45">
        <f t="shared" si="16"/>
        <v>1</v>
      </c>
      <c r="W1051" s="45" t="s">
        <v>5871</v>
      </c>
    </row>
    <row r="1052" spans="1:23" hidden="1">
      <c r="A1052" s="2">
        <v>45912</v>
      </c>
      <c r="B1052" s="1" t="s">
        <v>5872</v>
      </c>
      <c r="C1052" s="1" t="s">
        <v>3331</v>
      </c>
      <c r="D1052" s="1" t="s">
        <v>2513</v>
      </c>
      <c r="E1052" s="1">
        <v>85255</v>
      </c>
      <c r="F1052" s="1" t="s">
        <v>2406</v>
      </c>
      <c r="G1052" s="1" t="s">
        <v>5860</v>
      </c>
      <c r="H1052" s="4" t="s">
        <v>1477</v>
      </c>
      <c r="I1052" s="5" t="s">
        <v>2988</v>
      </c>
      <c r="J1052" s="5" t="s">
        <v>24</v>
      </c>
      <c r="K1052" s="5" t="s">
        <v>24</v>
      </c>
      <c r="L1052" s="5" t="s">
        <v>2819</v>
      </c>
      <c r="M1052" s="5" t="s">
        <v>24</v>
      </c>
      <c r="N1052" s="5" t="s">
        <v>24</v>
      </c>
      <c r="O1052" s="5" t="s">
        <v>75</v>
      </c>
      <c r="P1052" s="5" t="s">
        <v>2413</v>
      </c>
      <c r="Q1052" s="2">
        <v>45961</v>
      </c>
      <c r="V1052" s="45">
        <f t="shared" si="16"/>
        <v>1</v>
      </c>
      <c r="W1052" s="45" t="s">
        <v>5873</v>
      </c>
    </row>
    <row r="1053" spans="1:23" hidden="1">
      <c r="A1053" s="2">
        <v>45912</v>
      </c>
      <c r="B1053" s="1" t="s">
        <v>5874</v>
      </c>
      <c r="C1053" s="1" t="s">
        <v>5875</v>
      </c>
      <c r="D1053" s="1" t="s">
        <v>2439</v>
      </c>
      <c r="E1053" s="1">
        <v>85014</v>
      </c>
      <c r="F1053" s="1" t="s">
        <v>2730</v>
      </c>
      <c r="G1053" s="1" t="s">
        <v>5876</v>
      </c>
      <c r="H1053" s="4" t="s">
        <v>2401</v>
      </c>
      <c r="V1053" s="45">
        <f t="shared" si="16"/>
        <v>1</v>
      </c>
      <c r="W1053" s="45" t="s">
        <v>5877</v>
      </c>
    </row>
    <row r="1054" spans="1:23" hidden="1">
      <c r="A1054" s="2">
        <v>45912</v>
      </c>
      <c r="B1054" s="1" t="s">
        <v>5878</v>
      </c>
      <c r="C1054" s="1" t="s">
        <v>2538</v>
      </c>
      <c r="D1054" s="1" t="s">
        <v>3303</v>
      </c>
      <c r="E1054" s="1">
        <v>86303</v>
      </c>
      <c r="F1054" s="1" t="s">
        <v>5879</v>
      </c>
      <c r="G1054" s="1" t="s">
        <v>5876</v>
      </c>
      <c r="H1054" s="4" t="s">
        <v>1480</v>
      </c>
      <c r="I1054" s="5" t="s">
        <v>2451</v>
      </c>
      <c r="J1054" s="5" t="s">
        <v>24</v>
      </c>
      <c r="K1054" s="5" t="s">
        <v>24</v>
      </c>
      <c r="L1054" s="5" t="s">
        <v>4282</v>
      </c>
      <c r="M1054" s="5" t="s">
        <v>24</v>
      </c>
      <c r="N1054" s="5" t="s">
        <v>24</v>
      </c>
      <c r="O1054" s="5" t="s">
        <v>75</v>
      </c>
      <c r="P1054" s="5" t="s">
        <v>2413</v>
      </c>
      <c r="Q1054" s="2">
        <v>45961</v>
      </c>
      <c r="V1054" s="45">
        <f t="shared" si="16"/>
        <v>1</v>
      </c>
      <c r="W1054" s="45" t="s">
        <v>5880</v>
      </c>
    </row>
    <row r="1055" spans="1:23" hidden="1">
      <c r="A1055" s="2">
        <v>45912</v>
      </c>
      <c r="B1055" s="1" t="s">
        <v>5881</v>
      </c>
      <c r="C1055" s="1" t="s">
        <v>4568</v>
      </c>
      <c r="D1055" s="1" t="s">
        <v>2439</v>
      </c>
      <c r="E1055" s="1">
        <v>85002</v>
      </c>
      <c r="F1055" s="1" t="s">
        <v>5882</v>
      </c>
      <c r="G1055" s="1" t="s">
        <v>5876</v>
      </c>
      <c r="H1055" s="4" t="s">
        <v>2401</v>
      </c>
      <c r="V1055" s="45">
        <f t="shared" si="16"/>
        <v>1</v>
      </c>
      <c r="W1055" s="45" t="s">
        <v>5883</v>
      </c>
    </row>
    <row r="1056" spans="1:23" hidden="1">
      <c r="A1056" s="2">
        <v>45912</v>
      </c>
      <c r="B1056" s="1" t="s">
        <v>5884</v>
      </c>
      <c r="C1056" s="1" t="s">
        <v>2733</v>
      </c>
      <c r="D1056" s="1" t="s">
        <v>2439</v>
      </c>
      <c r="E1056" s="1">
        <v>85013</v>
      </c>
      <c r="F1056" s="1" t="s">
        <v>2406</v>
      </c>
      <c r="G1056" s="1" t="s">
        <v>5876</v>
      </c>
      <c r="H1056" s="4" t="s">
        <v>2401</v>
      </c>
      <c r="V1056" s="45">
        <f t="shared" si="16"/>
        <v>1</v>
      </c>
      <c r="W1056" s="45" t="s">
        <v>5885</v>
      </c>
    </row>
    <row r="1057" spans="1:23" hidden="1">
      <c r="A1057" s="2">
        <v>45912</v>
      </c>
      <c r="B1057" s="1" t="s">
        <v>5886</v>
      </c>
      <c r="C1057" s="1" t="s">
        <v>2417</v>
      </c>
      <c r="D1057" s="1" t="s">
        <v>2498</v>
      </c>
      <c r="E1057" s="1">
        <v>85378</v>
      </c>
      <c r="F1057" s="1" t="s">
        <v>3119</v>
      </c>
      <c r="G1057" s="1" t="s">
        <v>5876</v>
      </c>
      <c r="H1057" s="4" t="s">
        <v>369</v>
      </c>
      <c r="I1057" s="5" t="s">
        <v>2420</v>
      </c>
      <c r="J1057" s="5" t="s">
        <v>24</v>
      </c>
      <c r="K1057" s="5" t="s">
        <v>24</v>
      </c>
      <c r="L1057" s="5" t="s">
        <v>5887</v>
      </c>
      <c r="M1057" s="5" t="s">
        <v>24</v>
      </c>
      <c r="N1057" s="5" t="s">
        <v>24</v>
      </c>
      <c r="O1057" s="5" t="s">
        <v>75</v>
      </c>
      <c r="P1057" s="5" t="s">
        <v>2413</v>
      </c>
      <c r="Q1057" s="2">
        <v>45961</v>
      </c>
      <c r="V1057" s="45">
        <f t="shared" si="16"/>
        <v>1</v>
      </c>
      <c r="W1057" s="45" t="s">
        <v>5888</v>
      </c>
    </row>
    <row r="1058" spans="1:23" hidden="1">
      <c r="A1058" s="2">
        <v>45912</v>
      </c>
      <c r="B1058" s="1" t="s">
        <v>5889</v>
      </c>
      <c r="C1058" s="1" t="s">
        <v>2733</v>
      </c>
      <c r="D1058" s="1" t="s">
        <v>2398</v>
      </c>
      <c r="E1058" s="1">
        <v>85308</v>
      </c>
      <c r="F1058" s="1" t="s">
        <v>5890</v>
      </c>
      <c r="G1058" s="1" t="s">
        <v>5876</v>
      </c>
      <c r="H1058" s="4" t="s">
        <v>1482</v>
      </c>
      <c r="I1058" s="5" t="s">
        <v>2988</v>
      </c>
      <c r="J1058" s="5" t="s">
        <v>24</v>
      </c>
      <c r="K1058" s="5" t="s">
        <v>24</v>
      </c>
      <c r="L1058" s="5" t="s">
        <v>2819</v>
      </c>
      <c r="M1058" s="5" t="s">
        <v>24</v>
      </c>
      <c r="N1058" s="5" t="s">
        <v>24</v>
      </c>
      <c r="O1058" s="5" t="s">
        <v>75</v>
      </c>
      <c r="P1058" s="5" t="s">
        <v>2413</v>
      </c>
      <c r="Q1058" s="2">
        <v>45961</v>
      </c>
      <c r="V1058" s="45">
        <f t="shared" si="16"/>
        <v>1</v>
      </c>
      <c r="W1058" s="45" t="s">
        <v>5891</v>
      </c>
    </row>
    <row r="1059" spans="1:23" hidden="1">
      <c r="A1059" s="2">
        <v>45912</v>
      </c>
      <c r="B1059" s="1" t="s">
        <v>5892</v>
      </c>
      <c r="C1059" s="1" t="s">
        <v>2662</v>
      </c>
      <c r="D1059" s="1" t="s">
        <v>2439</v>
      </c>
      <c r="E1059" s="1">
        <v>85028</v>
      </c>
      <c r="F1059" s="1" t="s">
        <v>2406</v>
      </c>
      <c r="G1059" s="1" t="s">
        <v>5876</v>
      </c>
      <c r="H1059" s="4" t="s">
        <v>371</v>
      </c>
      <c r="I1059" s="5" t="s">
        <v>2514</v>
      </c>
      <c r="J1059" s="5" t="s">
        <v>24</v>
      </c>
      <c r="K1059" s="5" t="s">
        <v>24</v>
      </c>
      <c r="L1059" s="7" t="s">
        <v>5893</v>
      </c>
      <c r="M1059" s="5" t="s">
        <v>24</v>
      </c>
      <c r="N1059" s="5" t="s">
        <v>24</v>
      </c>
      <c r="O1059" s="5" t="s">
        <v>75</v>
      </c>
      <c r="P1059" s="2">
        <v>45938</v>
      </c>
      <c r="Q1059" s="2">
        <v>45961</v>
      </c>
      <c r="R1059" s="1" t="s">
        <v>5894</v>
      </c>
      <c r="V1059" s="45">
        <f t="shared" si="16"/>
        <v>1</v>
      </c>
      <c r="W1059" s="45" t="s">
        <v>5895</v>
      </c>
    </row>
    <row r="1060" spans="1:23" hidden="1">
      <c r="A1060" s="2">
        <v>45912</v>
      </c>
      <c r="B1060" s="1" t="s">
        <v>5896</v>
      </c>
      <c r="C1060" s="1" t="s">
        <v>4215</v>
      </c>
      <c r="D1060" s="1" t="s">
        <v>3166</v>
      </c>
      <c r="E1060" s="1">
        <v>85375</v>
      </c>
      <c r="F1060" s="1" t="s">
        <v>2406</v>
      </c>
      <c r="G1060" s="1" t="s">
        <v>5876</v>
      </c>
      <c r="H1060" s="4" t="s">
        <v>373</v>
      </c>
      <c r="I1060" s="5" t="s">
        <v>2432</v>
      </c>
      <c r="J1060" s="5" t="s">
        <v>24</v>
      </c>
      <c r="K1060" s="5" t="s">
        <v>24</v>
      </c>
      <c r="L1060" s="7" t="s">
        <v>5897</v>
      </c>
      <c r="M1060" s="5" t="s">
        <v>24</v>
      </c>
      <c r="N1060" s="5" t="s">
        <v>24</v>
      </c>
      <c r="O1060" s="5" t="s">
        <v>75</v>
      </c>
      <c r="P1060" s="2">
        <v>45938</v>
      </c>
      <c r="Q1060" s="2">
        <v>45961</v>
      </c>
      <c r="R1060" s="1" t="s">
        <v>5868</v>
      </c>
      <c r="V1060" s="45">
        <f t="shared" si="16"/>
        <v>1</v>
      </c>
      <c r="W1060" s="45" t="s">
        <v>5898</v>
      </c>
    </row>
    <row r="1061" spans="1:23" hidden="1">
      <c r="A1061" s="2">
        <v>45912</v>
      </c>
      <c r="B1061" s="1" t="s">
        <v>5899</v>
      </c>
      <c r="C1061" s="1" t="s">
        <v>5900</v>
      </c>
      <c r="D1061" s="1" t="s">
        <v>2513</v>
      </c>
      <c r="E1061" s="1">
        <v>85255</v>
      </c>
      <c r="F1061" s="1" t="s">
        <v>2730</v>
      </c>
      <c r="G1061" s="1" t="s">
        <v>5876</v>
      </c>
      <c r="H1061" s="4" t="s">
        <v>375</v>
      </c>
      <c r="I1061" s="5" t="s">
        <v>2432</v>
      </c>
      <c r="J1061" s="5" t="s">
        <v>24</v>
      </c>
      <c r="K1061" s="5" t="s">
        <v>24</v>
      </c>
      <c r="L1061" s="7" t="s">
        <v>5901</v>
      </c>
      <c r="M1061" s="5" t="s">
        <v>24</v>
      </c>
      <c r="N1061" s="5" t="s">
        <v>24</v>
      </c>
      <c r="O1061" s="5" t="s">
        <v>75</v>
      </c>
      <c r="P1061" s="2">
        <v>45938</v>
      </c>
      <c r="Q1061" s="2">
        <v>45961</v>
      </c>
      <c r="R1061" s="1" t="s">
        <v>5868</v>
      </c>
      <c r="V1061" s="45">
        <f t="shared" si="16"/>
        <v>1</v>
      </c>
      <c r="W1061" s="45" t="s">
        <v>5902</v>
      </c>
    </row>
    <row r="1062" spans="1:23" hidden="1">
      <c r="A1062" s="2">
        <v>45912</v>
      </c>
      <c r="B1062" s="1" t="s">
        <v>5903</v>
      </c>
      <c r="C1062" s="1" t="s">
        <v>2733</v>
      </c>
      <c r="D1062" s="1" t="s">
        <v>3073</v>
      </c>
      <c r="E1062" s="1">
        <v>85365</v>
      </c>
      <c r="F1062" s="1" t="s">
        <v>5904</v>
      </c>
      <c r="G1062" s="1" t="s">
        <v>5876</v>
      </c>
      <c r="H1062" s="4" t="s">
        <v>1485</v>
      </c>
      <c r="I1062" s="5" t="s">
        <v>2451</v>
      </c>
      <c r="J1062" s="5" t="s">
        <v>24</v>
      </c>
      <c r="K1062" s="5" t="s">
        <v>24</v>
      </c>
      <c r="L1062" s="5" t="s">
        <v>4282</v>
      </c>
      <c r="M1062" s="5" t="s">
        <v>24</v>
      </c>
      <c r="N1062" s="5" t="s">
        <v>24</v>
      </c>
      <c r="O1062" s="5" t="s">
        <v>75</v>
      </c>
      <c r="P1062" s="5" t="s">
        <v>2413</v>
      </c>
      <c r="Q1062" s="2">
        <v>45961</v>
      </c>
      <c r="V1062" s="45">
        <f t="shared" si="16"/>
        <v>1</v>
      </c>
      <c r="W1062" s="45" t="s">
        <v>5905</v>
      </c>
    </row>
    <row r="1063" spans="1:23" hidden="1">
      <c r="A1063" s="2">
        <v>45912</v>
      </c>
      <c r="B1063" s="1" t="s">
        <v>5906</v>
      </c>
      <c r="C1063" s="1" t="s">
        <v>2921</v>
      </c>
      <c r="D1063" s="1" t="s">
        <v>2398</v>
      </c>
      <c r="E1063" s="1">
        <v>85308</v>
      </c>
      <c r="F1063" s="1" t="s">
        <v>2730</v>
      </c>
      <c r="G1063" s="1" t="s">
        <v>5876</v>
      </c>
      <c r="H1063" s="4" t="s">
        <v>1487</v>
      </c>
      <c r="I1063" s="5" t="s">
        <v>2412</v>
      </c>
      <c r="J1063" s="5" t="s">
        <v>24</v>
      </c>
      <c r="K1063" s="5" t="s">
        <v>24</v>
      </c>
      <c r="L1063" s="5" t="s">
        <v>4282</v>
      </c>
      <c r="M1063" s="5" t="s">
        <v>24</v>
      </c>
      <c r="N1063" s="5" t="s">
        <v>24</v>
      </c>
      <c r="O1063" s="5" t="s">
        <v>75</v>
      </c>
      <c r="P1063" s="5" t="s">
        <v>2413</v>
      </c>
      <c r="Q1063" s="2">
        <v>45961</v>
      </c>
      <c r="R1063" s="1" t="s">
        <v>5907</v>
      </c>
      <c r="V1063" s="45">
        <f t="shared" si="16"/>
        <v>1</v>
      </c>
      <c r="W1063" s="45" t="s">
        <v>5908</v>
      </c>
    </row>
    <row r="1064" spans="1:23" hidden="1">
      <c r="A1064" s="2">
        <v>45912</v>
      </c>
      <c r="B1064" s="1" t="s">
        <v>3725</v>
      </c>
      <c r="C1064" s="1" t="s">
        <v>5909</v>
      </c>
      <c r="D1064" s="1" t="s">
        <v>2439</v>
      </c>
      <c r="E1064" s="1">
        <v>85032</v>
      </c>
      <c r="F1064" s="1" t="s">
        <v>5910</v>
      </c>
      <c r="G1064" s="1" t="s">
        <v>5876</v>
      </c>
      <c r="H1064" s="4" t="s">
        <v>378</v>
      </c>
      <c r="I1064" s="5" t="s">
        <v>2432</v>
      </c>
      <c r="J1064" s="5" t="s">
        <v>24</v>
      </c>
      <c r="K1064" s="5" t="s">
        <v>24</v>
      </c>
      <c r="L1064" s="7" t="s">
        <v>5911</v>
      </c>
      <c r="M1064" s="5" t="s">
        <v>24</v>
      </c>
      <c r="N1064" s="5" t="s">
        <v>24</v>
      </c>
      <c r="O1064" s="5" t="s">
        <v>75</v>
      </c>
      <c r="Q1064" s="2">
        <v>45961</v>
      </c>
      <c r="R1064" s="1" t="s">
        <v>5912</v>
      </c>
      <c r="V1064" s="45">
        <f t="shared" si="16"/>
        <v>1</v>
      </c>
      <c r="W1064" s="45" t="s">
        <v>5913</v>
      </c>
    </row>
    <row r="1065" spans="1:23" hidden="1">
      <c r="A1065" s="2">
        <v>45912</v>
      </c>
      <c r="B1065" s="1" t="s">
        <v>5914</v>
      </c>
      <c r="C1065" s="1" t="s">
        <v>5915</v>
      </c>
      <c r="D1065" s="1" t="s">
        <v>2439</v>
      </c>
      <c r="E1065" s="1">
        <v>85034</v>
      </c>
      <c r="F1065" s="1" t="s">
        <v>2730</v>
      </c>
      <c r="G1065" s="1" t="s">
        <v>5876</v>
      </c>
      <c r="H1065" s="4" t="s">
        <v>2613</v>
      </c>
      <c r="V1065" s="45">
        <f t="shared" si="16"/>
        <v>1</v>
      </c>
      <c r="W1065" s="45" t="s">
        <v>5916</v>
      </c>
    </row>
    <row r="1066" spans="1:23" hidden="1">
      <c r="A1066" s="2">
        <v>45913</v>
      </c>
      <c r="B1066" s="1" t="s">
        <v>5917</v>
      </c>
      <c r="C1066" s="1" t="s">
        <v>5918</v>
      </c>
      <c r="D1066" s="1" t="s">
        <v>2969</v>
      </c>
      <c r="E1066" s="1">
        <v>85392</v>
      </c>
      <c r="F1066" s="1" t="s">
        <v>2406</v>
      </c>
      <c r="G1066" s="1" t="s">
        <v>5876</v>
      </c>
      <c r="H1066" s="4" t="s">
        <v>1490</v>
      </c>
      <c r="I1066" s="5" t="s">
        <v>2659</v>
      </c>
      <c r="J1066" s="5" t="s">
        <v>24</v>
      </c>
      <c r="K1066" s="5" t="s">
        <v>24</v>
      </c>
      <c r="L1066" s="5" t="s">
        <v>4282</v>
      </c>
      <c r="M1066" s="5" t="s">
        <v>24</v>
      </c>
      <c r="N1066" s="5" t="s">
        <v>24</v>
      </c>
      <c r="O1066" s="5" t="s">
        <v>75</v>
      </c>
      <c r="P1066" s="5" t="s">
        <v>2413</v>
      </c>
      <c r="Q1066" s="2">
        <v>45961</v>
      </c>
      <c r="V1066" s="45">
        <f t="shared" si="16"/>
        <v>1</v>
      </c>
      <c r="W1066" s="45" t="s">
        <v>5919</v>
      </c>
    </row>
    <row r="1067" spans="1:23" hidden="1">
      <c r="A1067" s="2">
        <v>45913</v>
      </c>
      <c r="B1067" s="1" t="s">
        <v>5920</v>
      </c>
      <c r="C1067" s="1" t="s">
        <v>4347</v>
      </c>
      <c r="D1067" s="1" t="s">
        <v>2439</v>
      </c>
      <c r="E1067" s="1">
        <v>85032</v>
      </c>
      <c r="F1067" s="1" t="s">
        <v>2406</v>
      </c>
      <c r="G1067" s="1" t="s">
        <v>5876</v>
      </c>
      <c r="H1067" s="4" t="s">
        <v>2401</v>
      </c>
      <c r="V1067" s="45">
        <f t="shared" si="16"/>
        <v>1</v>
      </c>
      <c r="W1067" s="45" t="s">
        <v>5921</v>
      </c>
    </row>
    <row r="1068" spans="1:23" hidden="1">
      <c r="A1068" s="2">
        <v>45913</v>
      </c>
      <c r="B1068" s="1" t="s">
        <v>5922</v>
      </c>
      <c r="C1068" s="1" t="s">
        <v>5900</v>
      </c>
      <c r="D1068" s="1" t="s">
        <v>2439</v>
      </c>
      <c r="E1068" s="1">
        <v>85003</v>
      </c>
      <c r="F1068" s="1" t="s">
        <v>2406</v>
      </c>
      <c r="G1068" s="1" t="s">
        <v>5876</v>
      </c>
      <c r="H1068" s="4" t="s">
        <v>2401</v>
      </c>
      <c r="V1068" s="45">
        <f t="shared" si="16"/>
        <v>1</v>
      </c>
      <c r="W1068" s="45" t="s">
        <v>5923</v>
      </c>
    </row>
    <row r="1069" spans="1:23" hidden="1">
      <c r="A1069" s="2">
        <v>45913</v>
      </c>
      <c r="B1069" s="1" t="s">
        <v>5924</v>
      </c>
      <c r="C1069" s="1" t="s">
        <v>5925</v>
      </c>
      <c r="D1069" s="1" t="s">
        <v>2498</v>
      </c>
      <c r="E1069" s="1">
        <v>85374</v>
      </c>
      <c r="F1069" s="1" t="s">
        <v>2406</v>
      </c>
      <c r="G1069" s="1" t="s">
        <v>5876</v>
      </c>
      <c r="H1069" s="4" t="s">
        <v>2401</v>
      </c>
      <c r="V1069" s="45">
        <f t="shared" si="16"/>
        <v>1</v>
      </c>
      <c r="W1069" s="45" t="s">
        <v>5926</v>
      </c>
    </row>
    <row r="1070" spans="1:23" hidden="1">
      <c r="A1070" s="2">
        <v>45913</v>
      </c>
      <c r="B1070" s="1" t="s">
        <v>4821</v>
      </c>
      <c r="C1070" s="1" t="s">
        <v>3050</v>
      </c>
      <c r="D1070" s="1" t="s">
        <v>2564</v>
      </c>
      <c r="E1070" s="1">
        <v>85338</v>
      </c>
      <c r="F1070" s="1" t="s">
        <v>2406</v>
      </c>
      <c r="G1070" s="1" t="s">
        <v>5876</v>
      </c>
      <c r="H1070" s="4" t="s">
        <v>2613</v>
      </c>
      <c r="V1070" s="45">
        <f t="shared" si="16"/>
        <v>1</v>
      </c>
      <c r="W1070" s="45" t="s">
        <v>5927</v>
      </c>
    </row>
    <row r="1071" spans="1:23" hidden="1">
      <c r="A1071" s="2">
        <v>45913</v>
      </c>
      <c r="B1071" s="1" t="s">
        <v>5928</v>
      </c>
      <c r="C1071" s="1" t="s">
        <v>5929</v>
      </c>
      <c r="D1071" s="1" t="s">
        <v>2439</v>
      </c>
      <c r="E1071" s="1">
        <v>85022</v>
      </c>
      <c r="F1071" s="1" t="s">
        <v>2406</v>
      </c>
      <c r="G1071" s="1" t="s">
        <v>5876</v>
      </c>
      <c r="H1071" s="4" t="s">
        <v>1492</v>
      </c>
      <c r="I1071" s="5" t="s">
        <v>2451</v>
      </c>
      <c r="J1071" s="5" t="s">
        <v>24</v>
      </c>
      <c r="K1071" s="5" t="s">
        <v>24</v>
      </c>
      <c r="L1071" s="5" t="s">
        <v>4282</v>
      </c>
      <c r="M1071" s="5" t="s">
        <v>24</v>
      </c>
      <c r="N1071" s="5" t="s">
        <v>24</v>
      </c>
      <c r="O1071" s="5" t="s">
        <v>75</v>
      </c>
      <c r="P1071" s="5" t="s">
        <v>2413</v>
      </c>
      <c r="Q1071" s="2">
        <v>45961</v>
      </c>
      <c r="V1071" s="45">
        <f t="shared" si="16"/>
        <v>1</v>
      </c>
      <c r="W1071" s="45" t="s">
        <v>5930</v>
      </c>
    </row>
    <row r="1072" spans="1:23" hidden="1">
      <c r="A1072" s="2">
        <v>45913</v>
      </c>
      <c r="B1072" s="1" t="s">
        <v>5889</v>
      </c>
      <c r="C1072" s="1" t="s">
        <v>2733</v>
      </c>
      <c r="D1072" s="1" t="s">
        <v>2398</v>
      </c>
      <c r="E1072" s="1">
        <v>85308</v>
      </c>
      <c r="F1072" s="1" t="s">
        <v>2406</v>
      </c>
      <c r="G1072" s="1" t="s">
        <v>5876</v>
      </c>
      <c r="H1072" s="4" t="s">
        <v>1482</v>
      </c>
      <c r="I1072" s="5" t="s">
        <v>2988</v>
      </c>
      <c r="J1072" s="5" t="s">
        <v>24</v>
      </c>
      <c r="K1072" s="5" t="s">
        <v>24</v>
      </c>
      <c r="L1072" s="5" t="s">
        <v>2819</v>
      </c>
      <c r="M1072" s="5" t="s">
        <v>24</v>
      </c>
      <c r="N1072" s="5" t="s">
        <v>24</v>
      </c>
      <c r="O1072" s="5" t="s">
        <v>75</v>
      </c>
      <c r="P1072" s="5" t="s">
        <v>2413</v>
      </c>
      <c r="Q1072" s="2">
        <v>45961</v>
      </c>
      <c r="V1072" s="45">
        <f t="shared" si="16"/>
        <v>1</v>
      </c>
      <c r="W1072" s="45" t="s">
        <v>5931</v>
      </c>
    </row>
    <row r="1073" spans="1:23" hidden="1">
      <c r="A1073" s="2">
        <v>45914</v>
      </c>
      <c r="B1073" s="1" t="s">
        <v>5932</v>
      </c>
      <c r="C1073" s="1" t="s">
        <v>5933</v>
      </c>
      <c r="D1073" s="1" t="s">
        <v>2800</v>
      </c>
      <c r="E1073" s="1">
        <v>85225</v>
      </c>
      <c r="F1073" s="1" t="s">
        <v>2730</v>
      </c>
      <c r="G1073" s="1" t="s">
        <v>5876</v>
      </c>
      <c r="H1073" s="4" t="s">
        <v>381</v>
      </c>
      <c r="I1073" s="5" t="s">
        <v>5934</v>
      </c>
      <c r="J1073" s="5" t="s">
        <v>24</v>
      </c>
      <c r="K1073" s="5" t="s">
        <v>24</v>
      </c>
      <c r="L1073" s="5" t="s">
        <v>5935</v>
      </c>
      <c r="M1073" s="5" t="s">
        <v>24</v>
      </c>
      <c r="N1073" s="5" t="s">
        <v>24</v>
      </c>
      <c r="O1073" s="5" t="s">
        <v>75</v>
      </c>
      <c r="P1073" s="5" t="s">
        <v>2413</v>
      </c>
      <c r="Q1073" s="2">
        <v>45961</v>
      </c>
      <c r="V1073" s="45">
        <f t="shared" si="16"/>
        <v>1</v>
      </c>
      <c r="W1073" s="45" t="s">
        <v>5936</v>
      </c>
    </row>
    <row r="1074" spans="1:23" hidden="1">
      <c r="A1074" s="2">
        <v>45914</v>
      </c>
      <c r="B1074" s="1" t="s">
        <v>5937</v>
      </c>
      <c r="C1074" s="1" t="s">
        <v>3065</v>
      </c>
      <c r="D1074" s="1" t="s">
        <v>2439</v>
      </c>
      <c r="E1074" s="1">
        <v>85020</v>
      </c>
      <c r="F1074" s="1" t="s">
        <v>2406</v>
      </c>
      <c r="G1074" s="1" t="s">
        <v>5876</v>
      </c>
      <c r="H1074" s="4" t="s">
        <v>1494</v>
      </c>
      <c r="I1074" s="5" t="s">
        <v>2848</v>
      </c>
      <c r="J1074" s="5" t="s">
        <v>24</v>
      </c>
      <c r="K1074" s="5" t="s">
        <v>24</v>
      </c>
      <c r="L1074" s="5" t="s">
        <v>2819</v>
      </c>
      <c r="M1074" s="5" t="s">
        <v>24</v>
      </c>
      <c r="N1074" s="5" t="s">
        <v>24</v>
      </c>
      <c r="O1074" s="5" t="s">
        <v>75</v>
      </c>
      <c r="P1074" s="5" t="s">
        <v>2413</v>
      </c>
      <c r="Q1074" s="2">
        <v>45961</v>
      </c>
      <c r="V1074" s="45">
        <f t="shared" si="16"/>
        <v>1</v>
      </c>
      <c r="W1074" s="45" t="s">
        <v>5938</v>
      </c>
    </row>
    <row r="1075" spans="1:23" hidden="1">
      <c r="A1075" s="2">
        <v>45914</v>
      </c>
      <c r="B1075" s="1" t="s">
        <v>3442</v>
      </c>
      <c r="C1075" s="1" t="s">
        <v>3647</v>
      </c>
      <c r="D1075" s="1" t="s">
        <v>3073</v>
      </c>
      <c r="E1075" s="1">
        <v>85365</v>
      </c>
      <c r="F1075" s="1" t="s">
        <v>5939</v>
      </c>
      <c r="G1075" s="1" t="s">
        <v>5876</v>
      </c>
      <c r="H1075" s="4" t="s">
        <v>2613</v>
      </c>
      <c r="V1075" s="45">
        <f t="shared" si="16"/>
        <v>1</v>
      </c>
      <c r="W1075" s="45" t="s">
        <v>5940</v>
      </c>
    </row>
    <row r="1076" spans="1:23" hidden="1">
      <c r="A1076" s="2">
        <v>45914</v>
      </c>
      <c r="B1076" s="1" t="s">
        <v>4645</v>
      </c>
      <c r="C1076" s="1" t="s">
        <v>5941</v>
      </c>
      <c r="D1076" s="1" t="s">
        <v>3073</v>
      </c>
      <c r="E1076" s="1">
        <v>85364</v>
      </c>
      <c r="F1076" s="1" t="s">
        <v>5942</v>
      </c>
      <c r="G1076" s="1" t="s">
        <v>5876</v>
      </c>
      <c r="H1076" s="21" t="s">
        <v>45</v>
      </c>
      <c r="I1076" s="5" t="s">
        <v>2659</v>
      </c>
      <c r="J1076" s="5" t="s">
        <v>24</v>
      </c>
      <c r="K1076" s="5" t="s">
        <v>24</v>
      </c>
      <c r="L1076" s="7" t="s">
        <v>5943</v>
      </c>
      <c r="M1076" s="5" t="s">
        <v>75</v>
      </c>
      <c r="N1076" s="15">
        <v>722.34</v>
      </c>
      <c r="O1076" s="5" t="s">
        <v>75</v>
      </c>
      <c r="Q1076" s="2">
        <v>45961</v>
      </c>
      <c r="R1076" s="1" t="s">
        <v>5944</v>
      </c>
      <c r="U1076" s="1" t="s">
        <v>5945</v>
      </c>
      <c r="V1076" s="45">
        <f t="shared" si="16"/>
        <v>1</v>
      </c>
      <c r="W1076" s="45" t="s">
        <v>5946</v>
      </c>
    </row>
    <row r="1077" spans="1:23" hidden="1">
      <c r="A1077" s="2">
        <v>45914</v>
      </c>
      <c r="B1077" s="1" t="s">
        <v>5947</v>
      </c>
      <c r="C1077" s="1" t="s">
        <v>2760</v>
      </c>
      <c r="D1077" s="1" t="s">
        <v>2439</v>
      </c>
      <c r="E1077" s="1">
        <v>85281</v>
      </c>
      <c r="F1077" s="1" t="s">
        <v>2730</v>
      </c>
      <c r="G1077" s="1" t="s">
        <v>5876</v>
      </c>
      <c r="H1077" s="4" t="s">
        <v>1496</v>
      </c>
      <c r="I1077" s="5" t="s">
        <v>2451</v>
      </c>
      <c r="J1077" s="5" t="s">
        <v>75</v>
      </c>
      <c r="K1077" s="5" t="s">
        <v>24</v>
      </c>
      <c r="L1077" s="5" t="s">
        <v>75</v>
      </c>
      <c r="M1077" s="5" t="s">
        <v>24</v>
      </c>
      <c r="N1077" s="5" t="s">
        <v>24</v>
      </c>
      <c r="O1077" s="5" t="s">
        <v>75</v>
      </c>
      <c r="P1077" s="5" t="s">
        <v>2413</v>
      </c>
      <c r="Q1077" s="2">
        <v>45961</v>
      </c>
      <c r="V1077" s="45">
        <f t="shared" si="16"/>
        <v>1</v>
      </c>
      <c r="W1077" s="45" t="s">
        <v>5948</v>
      </c>
    </row>
    <row r="1078" spans="1:23" hidden="1">
      <c r="A1078" s="2">
        <v>45914</v>
      </c>
      <c r="B1078" s="1" t="s">
        <v>5949</v>
      </c>
      <c r="C1078" s="1" t="s">
        <v>4148</v>
      </c>
      <c r="D1078" s="1" t="s">
        <v>2605</v>
      </c>
      <c r="E1078" s="1">
        <v>85383</v>
      </c>
      <c r="F1078" s="1" t="s">
        <v>5950</v>
      </c>
      <c r="G1078" s="1" t="s">
        <v>5876</v>
      </c>
      <c r="H1078" s="4" t="s">
        <v>2401</v>
      </c>
      <c r="V1078" s="45">
        <f t="shared" si="16"/>
        <v>1</v>
      </c>
      <c r="W1078" s="45" t="s">
        <v>5951</v>
      </c>
    </row>
    <row r="1079" spans="1:23" hidden="1">
      <c r="A1079" s="2">
        <v>45914</v>
      </c>
      <c r="B1079" s="1" t="s">
        <v>5838</v>
      </c>
      <c r="C1079" s="1" t="s">
        <v>5900</v>
      </c>
      <c r="D1079" s="1" t="s">
        <v>2513</v>
      </c>
      <c r="E1079" s="1">
        <v>85260</v>
      </c>
      <c r="F1079" s="1" t="s">
        <v>5952</v>
      </c>
      <c r="G1079" s="1" t="s">
        <v>5876</v>
      </c>
      <c r="H1079" s="4" t="s">
        <v>384</v>
      </c>
      <c r="I1079" s="5" t="s">
        <v>2597</v>
      </c>
      <c r="J1079" s="5" t="s">
        <v>24</v>
      </c>
      <c r="K1079" s="5" t="s">
        <v>24</v>
      </c>
      <c r="L1079" s="5" t="s">
        <v>5953</v>
      </c>
      <c r="M1079" s="5" t="s">
        <v>24</v>
      </c>
      <c r="N1079" s="5" t="s">
        <v>24</v>
      </c>
      <c r="O1079" s="5" t="s">
        <v>75</v>
      </c>
      <c r="P1079" s="5" t="s">
        <v>2413</v>
      </c>
      <c r="Q1079" s="2">
        <v>45961</v>
      </c>
      <c r="V1079" s="45">
        <f t="shared" si="16"/>
        <v>1</v>
      </c>
      <c r="W1079" s="45" t="s">
        <v>5954</v>
      </c>
    </row>
    <row r="1080" spans="1:23" hidden="1">
      <c r="A1080" s="2">
        <v>45917</v>
      </c>
      <c r="B1080" s="1" t="s">
        <v>5955</v>
      </c>
      <c r="C1080" s="1" t="s">
        <v>2584</v>
      </c>
      <c r="D1080" s="1" t="s">
        <v>2439</v>
      </c>
      <c r="E1080" s="1">
        <v>85023</v>
      </c>
      <c r="F1080" s="1" t="s">
        <v>5956</v>
      </c>
      <c r="G1080" s="1" t="s">
        <v>5957</v>
      </c>
      <c r="H1080" s="4" t="s">
        <v>386</v>
      </c>
      <c r="I1080" s="5" t="s">
        <v>2597</v>
      </c>
      <c r="J1080" s="5" t="s">
        <v>24</v>
      </c>
      <c r="K1080" s="5" t="s">
        <v>24</v>
      </c>
      <c r="L1080" s="7" t="s">
        <v>5958</v>
      </c>
      <c r="M1080" s="5" t="s">
        <v>24</v>
      </c>
      <c r="N1080" s="5" t="s">
        <v>24</v>
      </c>
      <c r="O1080" s="5" t="s">
        <v>75</v>
      </c>
      <c r="P1080" s="2">
        <v>45939</v>
      </c>
      <c r="Q1080" s="2">
        <v>45961</v>
      </c>
      <c r="R1080" s="1" t="s">
        <v>5299</v>
      </c>
      <c r="V1080" s="45">
        <f t="shared" si="16"/>
        <v>1</v>
      </c>
      <c r="W1080" s="45" t="s">
        <v>5959</v>
      </c>
    </row>
    <row r="1081" spans="1:23" hidden="1">
      <c r="A1081" s="2">
        <v>45917</v>
      </c>
      <c r="B1081" s="1" t="s">
        <v>5960</v>
      </c>
      <c r="C1081" s="1" t="s">
        <v>2632</v>
      </c>
      <c r="D1081" s="1" t="s">
        <v>3211</v>
      </c>
      <c r="E1081" s="1">
        <v>86326</v>
      </c>
      <c r="F1081" s="1" t="s">
        <v>5961</v>
      </c>
      <c r="G1081" s="1" t="s">
        <v>5962</v>
      </c>
      <c r="H1081" s="4" t="s">
        <v>1498</v>
      </c>
      <c r="I1081" s="5" t="s">
        <v>2412</v>
      </c>
      <c r="J1081" s="5" t="s">
        <v>24</v>
      </c>
      <c r="K1081" s="5" t="s">
        <v>24</v>
      </c>
      <c r="L1081" s="5" t="s">
        <v>75</v>
      </c>
      <c r="M1081" s="5" t="s">
        <v>24</v>
      </c>
      <c r="N1081" s="5" t="s">
        <v>24</v>
      </c>
      <c r="O1081" s="5" t="s">
        <v>75</v>
      </c>
      <c r="P1081" s="5" t="s">
        <v>2413</v>
      </c>
      <c r="Q1081" s="2">
        <v>45961</v>
      </c>
      <c r="V1081" s="45">
        <f t="shared" si="16"/>
        <v>1</v>
      </c>
      <c r="W1081" s="45" t="s">
        <v>5963</v>
      </c>
    </row>
    <row r="1082" spans="1:23" hidden="1">
      <c r="A1082" s="2">
        <v>45917</v>
      </c>
      <c r="B1082" s="1" t="s">
        <v>5964</v>
      </c>
      <c r="C1082" s="1" t="s">
        <v>3382</v>
      </c>
      <c r="D1082" s="1" t="s">
        <v>3211</v>
      </c>
      <c r="E1082" s="1">
        <v>86326</v>
      </c>
      <c r="F1082" s="1" t="s">
        <v>2406</v>
      </c>
      <c r="G1082" s="1" t="s">
        <v>5962</v>
      </c>
      <c r="H1082" s="4" t="s">
        <v>1500</v>
      </c>
      <c r="I1082" s="5" t="s">
        <v>2420</v>
      </c>
      <c r="J1082" s="5" t="s">
        <v>24</v>
      </c>
      <c r="K1082" s="5" t="s">
        <v>24</v>
      </c>
      <c r="L1082" s="5" t="s">
        <v>75</v>
      </c>
      <c r="M1082" s="5" t="s">
        <v>24</v>
      </c>
      <c r="N1082" s="5" t="s">
        <v>24</v>
      </c>
      <c r="O1082" s="5" t="s">
        <v>75</v>
      </c>
      <c r="P1082" s="5" t="s">
        <v>2413</v>
      </c>
      <c r="Q1082" s="2">
        <v>45961</v>
      </c>
      <c r="V1082" s="45">
        <f t="shared" si="16"/>
        <v>1</v>
      </c>
      <c r="W1082" s="45" t="s">
        <v>5965</v>
      </c>
    </row>
    <row r="1083" spans="1:23" hidden="1">
      <c r="A1083" s="2">
        <v>45917</v>
      </c>
      <c r="B1083" s="1" t="s">
        <v>5966</v>
      </c>
      <c r="C1083" s="1" t="s">
        <v>2699</v>
      </c>
      <c r="D1083" s="1" t="s">
        <v>2439</v>
      </c>
      <c r="E1083" s="1">
        <v>85050</v>
      </c>
      <c r="F1083" s="1" t="s">
        <v>5967</v>
      </c>
      <c r="G1083" s="1" t="s">
        <v>5962</v>
      </c>
      <c r="H1083" s="4" t="s">
        <v>1502</v>
      </c>
      <c r="I1083" s="5" t="s">
        <v>2412</v>
      </c>
      <c r="J1083" s="5" t="s">
        <v>24</v>
      </c>
      <c r="K1083" s="5" t="s">
        <v>24</v>
      </c>
      <c r="L1083" s="5" t="s">
        <v>75</v>
      </c>
      <c r="M1083" s="5" t="s">
        <v>24</v>
      </c>
      <c r="N1083" s="5" t="s">
        <v>24</v>
      </c>
      <c r="O1083" s="5" t="s">
        <v>75</v>
      </c>
      <c r="P1083" s="5" t="s">
        <v>2413</v>
      </c>
      <c r="Q1083" s="2">
        <v>45961</v>
      </c>
      <c r="V1083" s="45">
        <f t="shared" si="16"/>
        <v>1</v>
      </c>
      <c r="W1083" s="45" t="s">
        <v>5968</v>
      </c>
    </row>
    <row r="1084" spans="1:23" hidden="1">
      <c r="A1084" s="2">
        <v>45917</v>
      </c>
      <c r="B1084" s="1" t="s">
        <v>4524</v>
      </c>
      <c r="C1084" s="1" t="s">
        <v>2733</v>
      </c>
      <c r="D1084" s="1" t="s">
        <v>2439</v>
      </c>
      <c r="E1084" s="1">
        <v>85023</v>
      </c>
      <c r="F1084" s="1" t="s">
        <v>2730</v>
      </c>
      <c r="G1084" s="1" t="s">
        <v>5957</v>
      </c>
      <c r="H1084" s="4" t="s">
        <v>1505</v>
      </c>
      <c r="I1084" s="5" t="s">
        <v>2659</v>
      </c>
      <c r="J1084" s="5" t="s">
        <v>24</v>
      </c>
      <c r="K1084" s="5" t="s">
        <v>24</v>
      </c>
      <c r="L1084" s="5" t="s">
        <v>75</v>
      </c>
      <c r="M1084" s="5" t="s">
        <v>24</v>
      </c>
      <c r="N1084" s="5" t="s">
        <v>24</v>
      </c>
      <c r="O1084" s="5" t="s">
        <v>75</v>
      </c>
      <c r="P1084" s="5" t="s">
        <v>2413</v>
      </c>
      <c r="Q1084" s="2">
        <v>45961</v>
      </c>
      <c r="V1084" s="45">
        <f t="shared" si="16"/>
        <v>1</v>
      </c>
      <c r="W1084" s="45" t="s">
        <v>5969</v>
      </c>
    </row>
    <row r="1085" spans="1:23" hidden="1">
      <c r="A1085" s="2">
        <v>45917</v>
      </c>
      <c r="B1085" s="1" t="s">
        <v>5970</v>
      </c>
      <c r="C1085" s="1" t="s">
        <v>5971</v>
      </c>
      <c r="D1085" s="1" t="s">
        <v>2800</v>
      </c>
      <c r="E1085" s="1">
        <v>85225</v>
      </c>
      <c r="F1085" s="1" t="s">
        <v>5972</v>
      </c>
      <c r="G1085" s="1" t="s">
        <v>5973</v>
      </c>
      <c r="H1085" s="4" t="s">
        <v>389</v>
      </c>
      <c r="I1085" s="5" t="s">
        <v>2597</v>
      </c>
      <c r="J1085" s="5" t="s">
        <v>24</v>
      </c>
      <c r="K1085" s="5" t="s">
        <v>24</v>
      </c>
      <c r="L1085" s="7" t="s">
        <v>5974</v>
      </c>
      <c r="M1085" s="5" t="s">
        <v>24</v>
      </c>
      <c r="N1085" s="5" t="s">
        <v>24</v>
      </c>
      <c r="O1085" s="5" t="s">
        <v>75</v>
      </c>
      <c r="Q1085" s="2">
        <v>45961</v>
      </c>
      <c r="R1085" s="1" t="s">
        <v>5975</v>
      </c>
      <c r="V1085" s="45">
        <f t="shared" si="16"/>
        <v>1</v>
      </c>
      <c r="W1085" s="45" t="s">
        <v>5976</v>
      </c>
    </row>
    <row r="1086" spans="1:23" hidden="1">
      <c r="A1086" s="2">
        <v>45917</v>
      </c>
      <c r="B1086" s="1" t="s">
        <v>5977</v>
      </c>
      <c r="C1086" s="1" t="s">
        <v>4568</v>
      </c>
      <c r="D1086" s="1" t="s">
        <v>2513</v>
      </c>
      <c r="E1086" s="1">
        <v>85257</v>
      </c>
      <c r="F1086" s="1" t="s">
        <v>5978</v>
      </c>
      <c r="G1086" s="1" t="s">
        <v>5973</v>
      </c>
      <c r="H1086" s="4" t="s">
        <v>1507</v>
      </c>
      <c r="I1086" s="5" t="s">
        <v>2412</v>
      </c>
      <c r="J1086" s="5" t="s">
        <v>24</v>
      </c>
      <c r="K1086" s="5" t="s">
        <v>24</v>
      </c>
      <c r="L1086" s="5" t="s">
        <v>75</v>
      </c>
      <c r="M1086" s="5" t="s">
        <v>24</v>
      </c>
      <c r="N1086" s="5" t="s">
        <v>24</v>
      </c>
      <c r="O1086" s="5" t="s">
        <v>75</v>
      </c>
      <c r="P1086" s="5" t="s">
        <v>2413</v>
      </c>
      <c r="Q1086" s="2">
        <v>45961</v>
      </c>
      <c r="V1086" s="45">
        <f t="shared" si="16"/>
        <v>1</v>
      </c>
      <c r="W1086" s="45" t="s">
        <v>5979</v>
      </c>
    </row>
    <row r="1087" spans="1:23" hidden="1">
      <c r="A1087" s="2">
        <v>45917</v>
      </c>
      <c r="B1087" s="1" t="s">
        <v>5980</v>
      </c>
      <c r="C1087" s="1" t="s">
        <v>4899</v>
      </c>
      <c r="D1087" s="1" t="s">
        <v>2398</v>
      </c>
      <c r="E1087" s="1">
        <v>85310</v>
      </c>
      <c r="F1087" s="1" t="s">
        <v>5981</v>
      </c>
      <c r="G1087" s="1" t="s">
        <v>5973</v>
      </c>
      <c r="H1087" s="4" t="s">
        <v>1510</v>
      </c>
      <c r="I1087" s="5" t="s">
        <v>2412</v>
      </c>
      <c r="J1087" s="5" t="s">
        <v>24</v>
      </c>
      <c r="K1087" s="5" t="s">
        <v>24</v>
      </c>
      <c r="L1087" s="5" t="s">
        <v>75</v>
      </c>
      <c r="M1087" s="5" t="s">
        <v>24</v>
      </c>
      <c r="N1087" s="5" t="s">
        <v>24</v>
      </c>
      <c r="O1087" s="5" t="s">
        <v>75</v>
      </c>
      <c r="P1087" s="5" t="s">
        <v>2413</v>
      </c>
      <c r="Q1087" s="2">
        <v>45961</v>
      </c>
      <c r="V1087" s="45">
        <f t="shared" si="16"/>
        <v>1</v>
      </c>
      <c r="W1087" s="45" t="s">
        <v>5982</v>
      </c>
    </row>
    <row r="1088" spans="1:23" hidden="1">
      <c r="A1088" s="2">
        <v>45918</v>
      </c>
      <c r="B1088" s="1" t="s">
        <v>5983</v>
      </c>
      <c r="C1088" s="1" t="s">
        <v>2997</v>
      </c>
      <c r="D1088" s="1" t="s">
        <v>2564</v>
      </c>
      <c r="E1088" s="1">
        <v>85338</v>
      </c>
      <c r="F1088" s="1" t="s">
        <v>5984</v>
      </c>
      <c r="G1088" s="1" t="s">
        <v>5985</v>
      </c>
      <c r="H1088" s="4" t="s">
        <v>1512</v>
      </c>
      <c r="I1088" s="5" t="s">
        <v>2412</v>
      </c>
      <c r="J1088" s="5" t="s">
        <v>24</v>
      </c>
      <c r="K1088" s="5" t="s">
        <v>24</v>
      </c>
      <c r="L1088" s="5" t="s">
        <v>75</v>
      </c>
      <c r="M1088" s="5" t="s">
        <v>24</v>
      </c>
      <c r="N1088" s="5" t="s">
        <v>24</v>
      </c>
      <c r="O1088" s="5" t="s">
        <v>75</v>
      </c>
      <c r="P1088" s="5" t="s">
        <v>2413</v>
      </c>
      <c r="Q1088" s="2">
        <v>45961</v>
      </c>
      <c r="V1088" s="45">
        <f t="shared" si="16"/>
        <v>1</v>
      </c>
      <c r="W1088" s="125" t="s">
        <v>5986</v>
      </c>
    </row>
    <row r="1089" spans="1:23" hidden="1">
      <c r="A1089" s="2">
        <v>45918</v>
      </c>
      <c r="B1089" s="1" t="s">
        <v>5987</v>
      </c>
      <c r="C1089" s="1" t="s">
        <v>2830</v>
      </c>
      <c r="D1089" s="1" t="s">
        <v>2398</v>
      </c>
      <c r="E1089" s="1">
        <v>85310</v>
      </c>
      <c r="F1089" s="1" t="s">
        <v>5988</v>
      </c>
      <c r="G1089" s="1" t="s">
        <v>5985</v>
      </c>
      <c r="H1089" s="4" t="s">
        <v>2401</v>
      </c>
      <c r="V1089" s="45">
        <f t="shared" si="16"/>
        <v>1</v>
      </c>
      <c r="W1089" s="45" t="s">
        <v>5989</v>
      </c>
    </row>
    <row r="1090" spans="1:23" hidden="1">
      <c r="A1090" s="2">
        <v>45918</v>
      </c>
      <c r="B1090" s="1" t="s">
        <v>3741</v>
      </c>
      <c r="C1090" s="1" t="s">
        <v>3310</v>
      </c>
      <c r="D1090" s="1" t="s">
        <v>2564</v>
      </c>
      <c r="E1090" s="1">
        <v>85338</v>
      </c>
      <c r="F1090" s="1" t="s">
        <v>5990</v>
      </c>
      <c r="G1090" s="1" t="s">
        <v>5985</v>
      </c>
      <c r="H1090" s="4" t="s">
        <v>2401</v>
      </c>
      <c r="V1090" s="45">
        <f t="shared" ref="V1090:V1153" si="17">IF(OR(ISNUMBER(SEARCH("unable to locate acct",G1090)),ISNUMBER(SEARCH("unknown",G1090)),ISNUMBER(SEARCH("inactive",G1090)),H1090=""),0,1)</f>
        <v>1</v>
      </c>
      <c r="W1090" s="45" t="s">
        <v>5991</v>
      </c>
    </row>
    <row r="1091" spans="1:23" hidden="1">
      <c r="A1091" s="2">
        <v>45918</v>
      </c>
      <c r="B1091" s="1" t="s">
        <v>4510</v>
      </c>
      <c r="C1091" s="1" t="s">
        <v>2538</v>
      </c>
      <c r="D1091" s="1" t="s">
        <v>2439</v>
      </c>
      <c r="E1091" s="1">
        <v>85032</v>
      </c>
      <c r="F1091" s="1" t="s">
        <v>5992</v>
      </c>
      <c r="G1091" s="1" t="s">
        <v>5985</v>
      </c>
      <c r="H1091" s="4" t="s">
        <v>1514</v>
      </c>
      <c r="I1091" s="5" t="s">
        <v>2597</v>
      </c>
      <c r="J1091" s="5" t="s">
        <v>24</v>
      </c>
      <c r="K1091" s="5" t="s">
        <v>24</v>
      </c>
      <c r="L1091" s="5" t="s">
        <v>75</v>
      </c>
      <c r="M1091" s="5" t="s">
        <v>24</v>
      </c>
      <c r="N1091" s="5" t="s">
        <v>24</v>
      </c>
      <c r="O1091" s="5" t="s">
        <v>75</v>
      </c>
      <c r="P1091" s="5" t="s">
        <v>2413</v>
      </c>
      <c r="Q1091" s="2">
        <v>45961</v>
      </c>
      <c r="V1091" s="45">
        <f t="shared" si="17"/>
        <v>1</v>
      </c>
      <c r="W1091" s="45" t="s">
        <v>5993</v>
      </c>
    </row>
    <row r="1092" spans="1:23" hidden="1">
      <c r="A1092" s="2">
        <v>45918</v>
      </c>
      <c r="B1092" s="1" t="s">
        <v>5994</v>
      </c>
      <c r="C1092" s="1" t="s">
        <v>2612</v>
      </c>
      <c r="D1092" s="1" t="s">
        <v>5995</v>
      </c>
      <c r="E1092" s="1">
        <v>86032</v>
      </c>
      <c r="F1092" s="1" t="s">
        <v>5996</v>
      </c>
      <c r="G1092" s="1" t="s">
        <v>5985</v>
      </c>
      <c r="H1092" s="4" t="s">
        <v>643</v>
      </c>
      <c r="I1092" s="5" t="s">
        <v>2420</v>
      </c>
      <c r="J1092" s="5" t="s">
        <v>24</v>
      </c>
      <c r="K1092" s="5" t="s">
        <v>24</v>
      </c>
      <c r="L1092" s="5" t="s">
        <v>75</v>
      </c>
      <c r="M1092" s="5" t="s">
        <v>75</v>
      </c>
      <c r="N1092" s="13">
        <v>361.43</v>
      </c>
      <c r="O1092" s="5" t="s">
        <v>75</v>
      </c>
      <c r="P1092" s="5" t="s">
        <v>2413</v>
      </c>
      <c r="Q1092" s="2">
        <v>45961</v>
      </c>
      <c r="R1092" s="1" t="s">
        <v>5997</v>
      </c>
      <c r="V1092" s="45">
        <f t="shared" si="17"/>
        <v>1</v>
      </c>
      <c r="W1092" s="45" t="s">
        <v>5998</v>
      </c>
    </row>
    <row r="1093" spans="1:23" hidden="1">
      <c r="A1093" s="2">
        <v>45918</v>
      </c>
      <c r="B1093" s="1" t="s">
        <v>5999</v>
      </c>
      <c r="C1093" s="1" t="s">
        <v>3221</v>
      </c>
      <c r="D1093" s="1" t="s">
        <v>2439</v>
      </c>
      <c r="E1093" s="1">
        <v>85024</v>
      </c>
      <c r="F1093" s="1" t="s">
        <v>6000</v>
      </c>
      <c r="G1093" s="1" t="s">
        <v>5985</v>
      </c>
      <c r="H1093" s="4" t="s">
        <v>2401</v>
      </c>
      <c r="V1093" s="45">
        <f t="shared" si="17"/>
        <v>1</v>
      </c>
      <c r="W1093" s="45" t="s">
        <v>6001</v>
      </c>
    </row>
    <row r="1094" spans="1:23" hidden="1">
      <c r="A1094" s="2">
        <v>45918</v>
      </c>
      <c r="B1094" s="1" t="s">
        <v>6002</v>
      </c>
      <c r="C1094" s="1" t="s">
        <v>6003</v>
      </c>
      <c r="D1094" s="1" t="s">
        <v>2570</v>
      </c>
      <c r="E1094" s="1">
        <v>85396</v>
      </c>
      <c r="F1094" s="1" t="s">
        <v>6004</v>
      </c>
      <c r="G1094" s="1" t="s">
        <v>5985</v>
      </c>
      <c r="H1094" s="21" t="s">
        <v>6005</v>
      </c>
      <c r="I1094" s="5" t="s">
        <v>2412</v>
      </c>
      <c r="J1094" s="5" t="s">
        <v>75</v>
      </c>
      <c r="K1094" s="5" t="s">
        <v>24</v>
      </c>
      <c r="L1094" s="5" t="s">
        <v>75</v>
      </c>
      <c r="M1094" s="5" t="s">
        <v>75</v>
      </c>
      <c r="N1094" s="15">
        <v>2904.39</v>
      </c>
      <c r="O1094" s="5" t="s">
        <v>75</v>
      </c>
      <c r="Q1094" s="2">
        <v>45961</v>
      </c>
      <c r="R1094" s="1" t="s">
        <v>6006</v>
      </c>
      <c r="V1094" s="45">
        <f t="shared" si="17"/>
        <v>1</v>
      </c>
      <c r="W1094" s="45" t="s">
        <v>6007</v>
      </c>
    </row>
    <row r="1095" spans="1:23" hidden="1">
      <c r="A1095" s="2">
        <v>45918</v>
      </c>
      <c r="B1095" s="1" t="s">
        <v>5404</v>
      </c>
      <c r="C1095" s="1" t="s">
        <v>3047</v>
      </c>
      <c r="D1095" s="1" t="s">
        <v>2439</v>
      </c>
      <c r="E1095" s="1">
        <v>85014</v>
      </c>
      <c r="F1095" s="1" t="s">
        <v>6008</v>
      </c>
      <c r="G1095" s="1" t="s">
        <v>5985</v>
      </c>
      <c r="H1095" s="4" t="s">
        <v>646</v>
      </c>
      <c r="I1095" s="5" t="s">
        <v>2412</v>
      </c>
      <c r="J1095" s="5" t="s">
        <v>75</v>
      </c>
      <c r="L1095" s="5" t="s">
        <v>75</v>
      </c>
      <c r="O1095" s="5" t="s">
        <v>75</v>
      </c>
      <c r="P1095" s="5" t="s">
        <v>2413</v>
      </c>
      <c r="V1095" s="45">
        <f t="shared" si="17"/>
        <v>1</v>
      </c>
      <c r="W1095" s="45" t="s">
        <v>6009</v>
      </c>
    </row>
    <row r="1096" spans="1:23" hidden="1">
      <c r="A1096" s="2">
        <v>45918</v>
      </c>
      <c r="B1096" s="1" t="s">
        <v>6010</v>
      </c>
      <c r="C1096" s="1" t="s">
        <v>2924</v>
      </c>
      <c r="D1096" s="1" t="s">
        <v>3807</v>
      </c>
      <c r="E1096" s="1">
        <v>85607</v>
      </c>
      <c r="F1096" s="1" t="s">
        <v>6011</v>
      </c>
      <c r="G1096" s="1" t="s">
        <v>5985</v>
      </c>
      <c r="H1096" s="4" t="s">
        <v>2471</v>
      </c>
      <c r="V1096" s="45">
        <f t="shared" si="17"/>
        <v>1</v>
      </c>
      <c r="W1096" s="45" t="s">
        <v>6012</v>
      </c>
    </row>
    <row r="1097" spans="1:23" hidden="1">
      <c r="A1097" s="2">
        <v>45918</v>
      </c>
      <c r="B1097" s="1" t="s">
        <v>6013</v>
      </c>
      <c r="C1097" s="1" t="s">
        <v>2812</v>
      </c>
      <c r="D1097" s="1" t="s">
        <v>3090</v>
      </c>
      <c r="E1097" s="1">
        <v>85281</v>
      </c>
      <c r="F1097" s="1" t="s">
        <v>6014</v>
      </c>
      <c r="G1097" s="1" t="s">
        <v>5985</v>
      </c>
      <c r="H1097" s="4" t="s">
        <v>1517</v>
      </c>
      <c r="I1097" s="5" t="s">
        <v>2412</v>
      </c>
      <c r="J1097" s="5" t="s">
        <v>24</v>
      </c>
      <c r="K1097" s="5" t="s">
        <v>24</v>
      </c>
      <c r="L1097" s="5" t="s">
        <v>75</v>
      </c>
      <c r="M1097" s="5" t="s">
        <v>24</v>
      </c>
      <c r="N1097" s="5" t="s">
        <v>24</v>
      </c>
      <c r="O1097" s="5" t="s">
        <v>75</v>
      </c>
      <c r="P1097" s="5" t="s">
        <v>2413</v>
      </c>
      <c r="Q1097" s="2">
        <v>45961</v>
      </c>
      <c r="R1097" s="1" t="s">
        <v>6015</v>
      </c>
      <c r="V1097" s="45">
        <f t="shared" si="17"/>
        <v>1</v>
      </c>
      <c r="W1097" s="45" t="s">
        <v>6016</v>
      </c>
    </row>
    <row r="1098" spans="1:23" hidden="1">
      <c r="A1098" s="2">
        <v>45918</v>
      </c>
      <c r="B1098" s="1" t="s">
        <v>6017</v>
      </c>
      <c r="C1098" s="1" t="s">
        <v>4365</v>
      </c>
      <c r="D1098" s="1" t="s">
        <v>6018</v>
      </c>
      <c r="E1098" s="1">
        <v>85901</v>
      </c>
      <c r="F1098" s="1" t="s">
        <v>6019</v>
      </c>
      <c r="G1098" s="1" t="s">
        <v>5985</v>
      </c>
      <c r="H1098" s="4" t="s">
        <v>1519</v>
      </c>
      <c r="I1098" s="5" t="s">
        <v>2451</v>
      </c>
      <c r="J1098" s="5" t="s">
        <v>24</v>
      </c>
      <c r="K1098" s="5" t="s">
        <v>24</v>
      </c>
      <c r="L1098" s="5" t="s">
        <v>75</v>
      </c>
      <c r="M1098" s="5" t="s">
        <v>24</v>
      </c>
      <c r="N1098" s="5" t="s">
        <v>24</v>
      </c>
      <c r="O1098" s="5" t="s">
        <v>75</v>
      </c>
      <c r="P1098" s="5" t="s">
        <v>2413</v>
      </c>
      <c r="Q1098" s="2">
        <v>45961</v>
      </c>
      <c r="V1098" s="45">
        <f t="shared" si="17"/>
        <v>1</v>
      </c>
      <c r="W1098" s="45" t="s">
        <v>6020</v>
      </c>
    </row>
    <row r="1099" spans="1:23" hidden="1">
      <c r="A1099" s="2">
        <v>45918</v>
      </c>
      <c r="B1099" s="1" t="s">
        <v>6021</v>
      </c>
      <c r="C1099" s="1" t="s">
        <v>5483</v>
      </c>
      <c r="D1099" s="1" t="s">
        <v>2564</v>
      </c>
      <c r="E1099" s="1">
        <v>85338</v>
      </c>
      <c r="F1099" s="1" t="s">
        <v>6022</v>
      </c>
      <c r="G1099" s="1" t="s">
        <v>5985</v>
      </c>
      <c r="H1099" s="4" t="s">
        <v>1521</v>
      </c>
      <c r="I1099" s="5" t="s">
        <v>2514</v>
      </c>
      <c r="J1099" s="5" t="s">
        <v>24</v>
      </c>
      <c r="K1099" s="5" t="s">
        <v>24</v>
      </c>
      <c r="L1099" s="5" t="s">
        <v>75</v>
      </c>
      <c r="M1099" s="5" t="s">
        <v>24</v>
      </c>
      <c r="N1099" s="5" t="s">
        <v>24</v>
      </c>
      <c r="O1099" s="5" t="s">
        <v>75</v>
      </c>
      <c r="P1099" s="5" t="s">
        <v>2413</v>
      </c>
      <c r="Q1099" s="2">
        <v>45961</v>
      </c>
      <c r="V1099" s="45">
        <f t="shared" si="17"/>
        <v>1</v>
      </c>
      <c r="W1099" s="45" t="s">
        <v>6023</v>
      </c>
    </row>
    <row r="1100" spans="1:23" hidden="1">
      <c r="A1100" s="2">
        <v>45918</v>
      </c>
      <c r="B1100" s="1" t="s">
        <v>6024</v>
      </c>
      <c r="C1100" s="1" t="s">
        <v>6025</v>
      </c>
      <c r="D1100" s="1" t="s">
        <v>2650</v>
      </c>
      <c r="E1100" s="1">
        <v>85340</v>
      </c>
      <c r="F1100" s="1" t="s">
        <v>2730</v>
      </c>
      <c r="G1100" s="1" t="s">
        <v>5985</v>
      </c>
      <c r="H1100" s="4" t="s">
        <v>391</v>
      </c>
      <c r="I1100" s="5" t="s">
        <v>2597</v>
      </c>
      <c r="J1100" s="5" t="s">
        <v>24</v>
      </c>
      <c r="K1100" s="5" t="s">
        <v>24</v>
      </c>
      <c r="L1100" s="5" t="s">
        <v>6026</v>
      </c>
      <c r="M1100" s="5" t="s">
        <v>24</v>
      </c>
      <c r="N1100" s="5" t="s">
        <v>24</v>
      </c>
      <c r="O1100" s="5" t="s">
        <v>75</v>
      </c>
      <c r="P1100" s="5" t="s">
        <v>2413</v>
      </c>
      <c r="Q1100" s="2">
        <v>45961</v>
      </c>
      <c r="V1100" s="45">
        <f t="shared" si="17"/>
        <v>1</v>
      </c>
      <c r="W1100" s="45" t="s">
        <v>6027</v>
      </c>
    </row>
    <row r="1101" spans="1:23" hidden="1">
      <c r="A1101" s="2">
        <v>45918</v>
      </c>
      <c r="B1101" s="1" t="s">
        <v>3114</v>
      </c>
      <c r="C1101" s="1" t="s">
        <v>6028</v>
      </c>
      <c r="D1101" s="1" t="s">
        <v>2605</v>
      </c>
      <c r="E1101" s="1">
        <v>85383</v>
      </c>
      <c r="F1101" s="1" t="s">
        <v>6029</v>
      </c>
      <c r="G1101" s="1" t="s">
        <v>5985</v>
      </c>
      <c r="H1101" s="4" t="s">
        <v>2401</v>
      </c>
      <c r="V1101" s="45">
        <f t="shared" si="17"/>
        <v>1</v>
      </c>
      <c r="W1101" s="45" t="s">
        <v>6030</v>
      </c>
    </row>
    <row r="1102" spans="1:23" hidden="1">
      <c r="A1102" s="2">
        <v>45918</v>
      </c>
      <c r="B1102" s="1" t="s">
        <v>6031</v>
      </c>
      <c r="C1102" s="1" t="s">
        <v>6032</v>
      </c>
      <c r="D1102" s="1" t="s">
        <v>2513</v>
      </c>
      <c r="E1102" s="1">
        <v>85260</v>
      </c>
      <c r="F1102" s="1" t="s">
        <v>6033</v>
      </c>
      <c r="G1102" s="1" t="s">
        <v>5985</v>
      </c>
      <c r="H1102" s="4" t="s">
        <v>1523</v>
      </c>
      <c r="I1102" s="5" t="s">
        <v>2514</v>
      </c>
      <c r="J1102" s="5" t="s">
        <v>24</v>
      </c>
      <c r="K1102" s="5" t="s">
        <v>24</v>
      </c>
      <c r="L1102" s="5" t="s">
        <v>75</v>
      </c>
      <c r="M1102" s="5" t="s">
        <v>24</v>
      </c>
      <c r="N1102" s="5" t="s">
        <v>24</v>
      </c>
      <c r="O1102" s="5" t="s">
        <v>75</v>
      </c>
      <c r="P1102" s="5" t="s">
        <v>2413</v>
      </c>
      <c r="Q1102" s="2">
        <v>45960</v>
      </c>
      <c r="V1102" s="45">
        <f t="shared" si="17"/>
        <v>1</v>
      </c>
      <c r="W1102" s="45" t="s">
        <v>6034</v>
      </c>
    </row>
    <row r="1103" spans="1:23" hidden="1">
      <c r="A1103" s="2">
        <v>45918</v>
      </c>
      <c r="B1103" s="1" t="s">
        <v>6035</v>
      </c>
      <c r="C1103" s="1" t="s">
        <v>6036</v>
      </c>
      <c r="D1103" s="1" t="s">
        <v>2564</v>
      </c>
      <c r="E1103" s="1">
        <v>85338</v>
      </c>
      <c r="F1103" s="1" t="s">
        <v>6037</v>
      </c>
      <c r="G1103" s="1" t="s">
        <v>5985</v>
      </c>
      <c r="H1103" s="4" t="s">
        <v>1525</v>
      </c>
      <c r="I1103" s="5" t="s">
        <v>2652</v>
      </c>
      <c r="J1103" s="5" t="s">
        <v>24</v>
      </c>
      <c r="K1103" s="5" t="s">
        <v>24</v>
      </c>
      <c r="L1103" s="5" t="s">
        <v>2819</v>
      </c>
      <c r="M1103" s="5" t="s">
        <v>24</v>
      </c>
      <c r="N1103" s="5" t="s">
        <v>24</v>
      </c>
      <c r="O1103" s="5" t="s">
        <v>75</v>
      </c>
      <c r="P1103" s="5" t="s">
        <v>2413</v>
      </c>
      <c r="Q1103" s="2">
        <v>45960</v>
      </c>
      <c r="V1103" s="45">
        <f t="shared" si="17"/>
        <v>1</v>
      </c>
      <c r="W1103" s="45" t="s">
        <v>6038</v>
      </c>
    </row>
    <row r="1104" spans="1:23" hidden="1">
      <c r="A1104" s="2">
        <v>45918</v>
      </c>
      <c r="B1104" s="1" t="s">
        <v>6039</v>
      </c>
      <c r="C1104" s="1" t="s">
        <v>6040</v>
      </c>
      <c r="D1104" s="1" t="s">
        <v>2439</v>
      </c>
      <c r="E1104" s="1">
        <v>85029</v>
      </c>
      <c r="F1104" s="1" t="s">
        <v>6041</v>
      </c>
      <c r="G1104" s="1" t="s">
        <v>5985</v>
      </c>
      <c r="H1104" s="4" t="s">
        <v>1527</v>
      </c>
      <c r="I1104" s="5" t="s">
        <v>2420</v>
      </c>
      <c r="J1104" s="5" t="s">
        <v>24</v>
      </c>
      <c r="K1104" s="5" t="s">
        <v>24</v>
      </c>
      <c r="L1104" s="5" t="s">
        <v>75</v>
      </c>
      <c r="M1104" s="5" t="s">
        <v>24</v>
      </c>
      <c r="N1104" s="5" t="s">
        <v>24</v>
      </c>
      <c r="O1104" s="5" t="s">
        <v>75</v>
      </c>
      <c r="P1104" s="5" t="s">
        <v>2413</v>
      </c>
      <c r="Q1104" s="2">
        <v>45960</v>
      </c>
      <c r="V1104" s="45">
        <f t="shared" si="17"/>
        <v>1</v>
      </c>
      <c r="W1104" s="45" t="s">
        <v>6042</v>
      </c>
    </row>
    <row r="1105" spans="1:23" hidden="1">
      <c r="A1105" s="2">
        <v>45918</v>
      </c>
      <c r="B1105" s="1" t="s">
        <v>6043</v>
      </c>
      <c r="C1105" s="1" t="s">
        <v>2997</v>
      </c>
      <c r="D1105" s="1" t="s">
        <v>2439</v>
      </c>
      <c r="E1105" s="1">
        <v>85053</v>
      </c>
      <c r="F1105" s="1" t="s">
        <v>6044</v>
      </c>
      <c r="G1105" s="1" t="s">
        <v>5985</v>
      </c>
      <c r="H1105" s="4" t="s">
        <v>1529</v>
      </c>
      <c r="I1105" s="5" t="s">
        <v>2412</v>
      </c>
      <c r="J1105" s="5" t="s">
        <v>24</v>
      </c>
      <c r="K1105" s="5" t="s">
        <v>24</v>
      </c>
      <c r="L1105" s="5" t="s">
        <v>75</v>
      </c>
      <c r="M1105" s="5" t="s">
        <v>24</v>
      </c>
      <c r="N1105" s="5" t="s">
        <v>24</v>
      </c>
      <c r="O1105" s="5" t="s">
        <v>75</v>
      </c>
      <c r="P1105" s="5" t="s">
        <v>2413</v>
      </c>
      <c r="Q1105" s="2">
        <v>45960</v>
      </c>
      <c r="V1105" s="45">
        <f t="shared" si="17"/>
        <v>1</v>
      </c>
      <c r="W1105" s="45" t="s">
        <v>6045</v>
      </c>
    </row>
    <row r="1106" spans="1:23" hidden="1">
      <c r="A1106" s="2">
        <v>45918</v>
      </c>
      <c r="B1106" s="1" t="s">
        <v>6046</v>
      </c>
      <c r="C1106" s="1" t="s">
        <v>2924</v>
      </c>
      <c r="D1106" s="1" t="s">
        <v>2564</v>
      </c>
      <c r="E1106" s="1">
        <v>85338</v>
      </c>
      <c r="F1106" s="1" t="s">
        <v>6047</v>
      </c>
      <c r="G1106" s="1" t="s">
        <v>5985</v>
      </c>
      <c r="H1106" s="4" t="s">
        <v>1525</v>
      </c>
      <c r="I1106" s="5" t="s">
        <v>2652</v>
      </c>
      <c r="J1106" s="5" t="s">
        <v>24</v>
      </c>
      <c r="K1106" s="5" t="s">
        <v>24</v>
      </c>
      <c r="L1106" s="5" t="s">
        <v>2819</v>
      </c>
      <c r="M1106" s="5" t="s">
        <v>24</v>
      </c>
      <c r="N1106" s="5" t="s">
        <v>24</v>
      </c>
      <c r="O1106" s="5" t="s">
        <v>75</v>
      </c>
      <c r="P1106" s="5" t="s">
        <v>2413</v>
      </c>
      <c r="Q1106" s="2">
        <v>45960</v>
      </c>
      <c r="V1106" s="45">
        <f t="shared" si="17"/>
        <v>1</v>
      </c>
      <c r="W1106" s="45" t="s">
        <v>6048</v>
      </c>
    </row>
    <row r="1107" spans="1:23" hidden="1">
      <c r="A1107" s="2">
        <v>45918</v>
      </c>
      <c r="B1107" s="1" t="s">
        <v>6049</v>
      </c>
      <c r="C1107" s="1" t="s">
        <v>3009</v>
      </c>
      <c r="D1107" s="1" t="s">
        <v>2439</v>
      </c>
      <c r="E1107" s="1">
        <v>85013</v>
      </c>
      <c r="F1107" s="1" t="s">
        <v>6050</v>
      </c>
      <c r="G1107" s="1" t="s">
        <v>5985</v>
      </c>
      <c r="H1107" s="4" t="s">
        <v>48</v>
      </c>
      <c r="I1107" s="5" t="s">
        <v>2597</v>
      </c>
      <c r="J1107" s="5" t="s">
        <v>24</v>
      </c>
      <c r="K1107" s="5" t="s">
        <v>24</v>
      </c>
      <c r="L1107" s="7" t="s">
        <v>6051</v>
      </c>
      <c r="M1107" s="5" t="s">
        <v>75</v>
      </c>
      <c r="N1107" s="15">
        <v>349.63</v>
      </c>
      <c r="O1107" s="5" t="s">
        <v>75</v>
      </c>
      <c r="P1107" s="7"/>
      <c r="Q1107" s="2">
        <v>45960</v>
      </c>
      <c r="R1107" s="1" t="s">
        <v>2938</v>
      </c>
      <c r="V1107" s="45">
        <f t="shared" si="17"/>
        <v>1</v>
      </c>
      <c r="W1107" s="45" t="s">
        <v>6052</v>
      </c>
    </row>
    <row r="1108" spans="1:23" hidden="1">
      <c r="A1108" s="2">
        <v>45918</v>
      </c>
      <c r="B1108" s="1" t="s">
        <v>6053</v>
      </c>
      <c r="C1108" s="1" t="s">
        <v>3807</v>
      </c>
      <c r="D1108" s="1" t="s">
        <v>2513</v>
      </c>
      <c r="E1108" s="1">
        <v>85260</v>
      </c>
      <c r="F1108" s="1" t="s">
        <v>6054</v>
      </c>
      <c r="G1108" s="1" t="s">
        <v>5985</v>
      </c>
      <c r="H1108" s="21" t="s">
        <v>6055</v>
      </c>
      <c r="I1108" s="5" t="s">
        <v>2451</v>
      </c>
      <c r="J1108" s="5" t="s">
        <v>24</v>
      </c>
      <c r="K1108" s="5" t="s">
        <v>24</v>
      </c>
      <c r="L1108" s="5" t="s">
        <v>75</v>
      </c>
      <c r="M1108" s="5" t="s">
        <v>24</v>
      </c>
      <c r="N1108" s="5" t="s">
        <v>24</v>
      </c>
      <c r="O1108" s="5" t="s">
        <v>75</v>
      </c>
      <c r="P1108" s="5" t="s">
        <v>2413</v>
      </c>
      <c r="Q1108" s="2">
        <v>45960</v>
      </c>
      <c r="V1108" s="45">
        <f t="shared" si="17"/>
        <v>1</v>
      </c>
      <c r="W1108" s="45" t="s">
        <v>6056</v>
      </c>
    </row>
    <row r="1109" spans="1:23" hidden="1">
      <c r="A1109" s="2">
        <v>45918</v>
      </c>
      <c r="B1109" s="1" t="s">
        <v>6057</v>
      </c>
      <c r="C1109" s="1" t="s">
        <v>6058</v>
      </c>
      <c r="D1109" s="1" t="s">
        <v>2570</v>
      </c>
      <c r="E1109" s="1">
        <v>85396</v>
      </c>
      <c r="F1109" s="1" t="s">
        <v>6059</v>
      </c>
      <c r="G1109" s="1" t="s">
        <v>5985</v>
      </c>
      <c r="H1109" s="4" t="s">
        <v>394</v>
      </c>
      <c r="I1109" s="5" t="s">
        <v>2597</v>
      </c>
      <c r="J1109" s="5" t="s">
        <v>24</v>
      </c>
      <c r="K1109" s="5" t="s">
        <v>24</v>
      </c>
      <c r="L1109" s="7" t="s">
        <v>6060</v>
      </c>
      <c r="M1109" s="5" t="s">
        <v>24</v>
      </c>
      <c r="N1109" s="5" t="s">
        <v>24</v>
      </c>
      <c r="O1109" s="5" t="s">
        <v>75</v>
      </c>
      <c r="P1109" s="5" t="s">
        <v>2413</v>
      </c>
      <c r="Q1109" s="2">
        <v>45960</v>
      </c>
      <c r="R1109" s="1" t="s">
        <v>6061</v>
      </c>
      <c r="V1109" s="45">
        <f t="shared" si="17"/>
        <v>1</v>
      </c>
      <c r="W1109" s="45" t="s">
        <v>6062</v>
      </c>
    </row>
    <row r="1110" spans="1:23" hidden="1">
      <c r="A1110" s="2">
        <v>45918</v>
      </c>
      <c r="B1110" s="1" t="s">
        <v>6063</v>
      </c>
      <c r="C1110" s="1" t="s">
        <v>2662</v>
      </c>
      <c r="D1110" s="1" t="s">
        <v>2650</v>
      </c>
      <c r="E1110" s="1">
        <v>85340</v>
      </c>
      <c r="F1110" s="1" t="s">
        <v>6064</v>
      </c>
      <c r="G1110" s="1" t="s">
        <v>6065</v>
      </c>
      <c r="H1110" s="4" t="s">
        <v>1531</v>
      </c>
      <c r="I1110" s="5" t="s">
        <v>2451</v>
      </c>
      <c r="J1110" s="5" t="s">
        <v>24</v>
      </c>
      <c r="K1110" s="5" t="s">
        <v>24</v>
      </c>
      <c r="L1110" s="5" t="s">
        <v>4282</v>
      </c>
      <c r="M1110" s="5" t="s">
        <v>24</v>
      </c>
      <c r="N1110" s="5" t="s">
        <v>24</v>
      </c>
      <c r="O1110" s="5" t="s">
        <v>75</v>
      </c>
      <c r="P1110" s="5" t="s">
        <v>2413</v>
      </c>
      <c r="Q1110" s="2">
        <v>45960</v>
      </c>
      <c r="V1110" s="45">
        <f t="shared" si="17"/>
        <v>1</v>
      </c>
      <c r="W1110" s="45" t="s">
        <v>6066</v>
      </c>
    </row>
    <row r="1111" spans="1:23" hidden="1">
      <c r="A1111" s="2">
        <v>45918</v>
      </c>
      <c r="B1111" s="1" t="s">
        <v>4625</v>
      </c>
      <c r="C1111" s="1" t="s">
        <v>4151</v>
      </c>
      <c r="D1111" s="1" t="s">
        <v>2405</v>
      </c>
      <c r="E1111" s="1" t="s">
        <v>2405</v>
      </c>
      <c r="F1111" s="1" t="s">
        <v>6067</v>
      </c>
      <c r="G1111" s="1" t="s">
        <v>6068</v>
      </c>
      <c r="H1111" s="4" t="s">
        <v>2613</v>
      </c>
      <c r="V1111" s="45">
        <f t="shared" si="17"/>
        <v>1</v>
      </c>
      <c r="W1111" s="45" t="s">
        <v>6069</v>
      </c>
    </row>
    <row r="1112" spans="1:23" hidden="1">
      <c r="A1112" s="2">
        <v>45918</v>
      </c>
      <c r="B1112" s="1" t="s">
        <v>5688</v>
      </c>
      <c r="C1112" s="1" t="s">
        <v>2639</v>
      </c>
      <c r="D1112" s="1" t="s">
        <v>2513</v>
      </c>
      <c r="E1112" s="1">
        <v>85262</v>
      </c>
      <c r="F1112" s="1" t="s">
        <v>6070</v>
      </c>
      <c r="G1112" s="1" t="s">
        <v>6065</v>
      </c>
      <c r="H1112" s="4" t="s">
        <v>1533</v>
      </c>
      <c r="I1112" s="5" t="s">
        <v>4163</v>
      </c>
      <c r="J1112" s="5" t="s">
        <v>24</v>
      </c>
      <c r="K1112" s="5" t="s">
        <v>24</v>
      </c>
      <c r="L1112" s="5" t="s">
        <v>2819</v>
      </c>
      <c r="M1112" s="5" t="s">
        <v>24</v>
      </c>
      <c r="N1112" s="5" t="s">
        <v>24</v>
      </c>
      <c r="O1112" s="5" t="s">
        <v>75</v>
      </c>
      <c r="P1112" s="5" t="s">
        <v>2413</v>
      </c>
      <c r="Q1112" s="2">
        <v>45960</v>
      </c>
      <c r="V1112" s="45">
        <f t="shared" si="17"/>
        <v>1</v>
      </c>
      <c r="W1112" s="45" t="s">
        <v>6071</v>
      </c>
    </row>
    <row r="1113" spans="1:23" hidden="1">
      <c r="A1113" s="2">
        <v>45919</v>
      </c>
      <c r="B1113" s="1" t="s">
        <v>3447</v>
      </c>
      <c r="C1113" s="1" t="s">
        <v>2527</v>
      </c>
      <c r="D1113" s="1" t="s">
        <v>2498</v>
      </c>
      <c r="E1113" s="1">
        <v>85379</v>
      </c>
      <c r="F1113" s="1" t="s">
        <v>6072</v>
      </c>
      <c r="G1113" s="1" t="s">
        <v>6065</v>
      </c>
      <c r="H1113" s="4" t="s">
        <v>2401</v>
      </c>
      <c r="V1113" s="45">
        <f t="shared" si="17"/>
        <v>1</v>
      </c>
      <c r="W1113" s="45" t="s">
        <v>6073</v>
      </c>
    </row>
    <row r="1114" spans="1:23" hidden="1">
      <c r="A1114" s="2">
        <v>45919</v>
      </c>
      <c r="B1114" s="1" t="s">
        <v>6074</v>
      </c>
      <c r="C1114" s="1" t="s">
        <v>4113</v>
      </c>
      <c r="D1114" s="1" t="s">
        <v>2439</v>
      </c>
      <c r="E1114" s="1">
        <v>85032</v>
      </c>
      <c r="F1114" s="1" t="s">
        <v>6075</v>
      </c>
      <c r="G1114" s="1" t="s">
        <v>6065</v>
      </c>
      <c r="H1114" s="4" t="s">
        <v>648</v>
      </c>
      <c r="I1114" s="5" t="s">
        <v>2652</v>
      </c>
      <c r="J1114" s="5" t="s">
        <v>24</v>
      </c>
      <c r="K1114" s="5" t="s">
        <v>24</v>
      </c>
      <c r="L1114" s="5" t="s">
        <v>2819</v>
      </c>
      <c r="M1114" s="5" t="s">
        <v>75</v>
      </c>
      <c r="N1114" s="13">
        <v>719.22</v>
      </c>
      <c r="O1114" s="5" t="s">
        <v>75</v>
      </c>
      <c r="Q1114" s="2">
        <v>45960</v>
      </c>
      <c r="R1114" s="1" t="s">
        <v>6076</v>
      </c>
      <c r="V1114" s="45">
        <f t="shared" si="17"/>
        <v>1</v>
      </c>
      <c r="W1114" s="45" t="s">
        <v>6077</v>
      </c>
    </row>
    <row r="1115" spans="1:23" hidden="1">
      <c r="A1115" s="2">
        <v>45919</v>
      </c>
      <c r="B1115" s="1" t="s">
        <v>6078</v>
      </c>
      <c r="C1115" s="1" t="s">
        <v>2924</v>
      </c>
      <c r="D1115" s="1" t="s">
        <v>2528</v>
      </c>
      <c r="E1115" s="1">
        <v>85377</v>
      </c>
      <c r="F1115" s="1" t="s">
        <v>6079</v>
      </c>
      <c r="G1115" s="1" t="s">
        <v>6065</v>
      </c>
      <c r="H1115" s="4" t="s">
        <v>2401</v>
      </c>
      <c r="V1115" s="45">
        <f t="shared" si="17"/>
        <v>1</v>
      </c>
      <c r="W1115" s="45" t="s">
        <v>6080</v>
      </c>
    </row>
    <row r="1116" spans="1:23" hidden="1">
      <c r="A1116" s="2">
        <v>45919</v>
      </c>
      <c r="B1116" s="1" t="s">
        <v>6081</v>
      </c>
      <c r="C1116" s="1" t="s">
        <v>3327</v>
      </c>
      <c r="D1116" s="1" t="s">
        <v>2564</v>
      </c>
      <c r="E1116" s="1">
        <v>85339</v>
      </c>
      <c r="F1116" s="1" t="s">
        <v>6082</v>
      </c>
      <c r="G1116" s="1" t="s">
        <v>6065</v>
      </c>
      <c r="H1116" s="4" t="s">
        <v>2401</v>
      </c>
      <c r="V1116" s="45">
        <f t="shared" si="17"/>
        <v>1</v>
      </c>
      <c r="W1116" s="45" t="s">
        <v>6083</v>
      </c>
    </row>
    <row r="1117" spans="1:23" hidden="1">
      <c r="A1117" s="2">
        <v>45919</v>
      </c>
      <c r="B1117" s="1" t="s">
        <v>6084</v>
      </c>
      <c r="C1117" s="1" t="s">
        <v>6085</v>
      </c>
      <c r="D1117" s="1" t="s">
        <v>2439</v>
      </c>
      <c r="E1117" s="1">
        <v>85032</v>
      </c>
      <c r="F1117" s="1" t="s">
        <v>6086</v>
      </c>
      <c r="G1117" s="1" t="s">
        <v>6065</v>
      </c>
      <c r="H1117" s="4" t="s">
        <v>2401</v>
      </c>
      <c r="V1117" s="45">
        <f t="shared" si="17"/>
        <v>1</v>
      </c>
      <c r="W1117" s="45" t="s">
        <v>6087</v>
      </c>
    </row>
    <row r="1118" spans="1:23" hidden="1">
      <c r="A1118" s="2">
        <v>45919</v>
      </c>
      <c r="B1118" s="1" t="s">
        <v>6088</v>
      </c>
      <c r="C1118" s="1" t="s">
        <v>5977</v>
      </c>
      <c r="D1118" s="1" t="s">
        <v>2862</v>
      </c>
      <c r="E1118" s="1">
        <v>85335</v>
      </c>
      <c r="F1118" s="1" t="s">
        <v>6089</v>
      </c>
      <c r="G1118" s="1" t="s">
        <v>6065</v>
      </c>
      <c r="H1118" s="4" t="s">
        <v>1535</v>
      </c>
      <c r="I1118" s="5" t="s">
        <v>2420</v>
      </c>
      <c r="J1118" s="5" t="s">
        <v>24</v>
      </c>
      <c r="K1118" s="5" t="s">
        <v>24</v>
      </c>
      <c r="L1118" s="5" t="s">
        <v>75</v>
      </c>
      <c r="M1118" s="5" t="s">
        <v>24</v>
      </c>
      <c r="N1118" s="5" t="s">
        <v>24</v>
      </c>
      <c r="O1118" s="5" t="s">
        <v>75</v>
      </c>
      <c r="P1118" s="5" t="s">
        <v>2413</v>
      </c>
      <c r="Q1118" s="2">
        <v>45960</v>
      </c>
      <c r="V1118" s="45">
        <f t="shared" si="17"/>
        <v>1</v>
      </c>
      <c r="W1118" s="45" t="s">
        <v>6090</v>
      </c>
    </row>
    <row r="1119" spans="1:23" hidden="1">
      <c r="A1119" s="2">
        <v>45919</v>
      </c>
      <c r="B1119" s="1" t="s">
        <v>6091</v>
      </c>
      <c r="C1119" s="1" t="s">
        <v>4151</v>
      </c>
      <c r="D1119" s="1" t="s">
        <v>2398</v>
      </c>
      <c r="E1119" s="1">
        <v>85310</v>
      </c>
      <c r="F1119" s="1" t="s">
        <v>6092</v>
      </c>
      <c r="G1119" s="1" t="s">
        <v>6065</v>
      </c>
      <c r="H1119" s="4" t="s">
        <v>396</v>
      </c>
      <c r="I1119" s="5" t="s">
        <v>2420</v>
      </c>
      <c r="J1119" s="5" t="s">
        <v>24</v>
      </c>
      <c r="K1119" s="5" t="s">
        <v>24</v>
      </c>
      <c r="L1119" s="7" t="s">
        <v>6093</v>
      </c>
      <c r="M1119" s="5" t="s">
        <v>24</v>
      </c>
      <c r="N1119" s="5" t="s">
        <v>24</v>
      </c>
      <c r="O1119" s="5" t="s">
        <v>75</v>
      </c>
      <c r="P1119" s="2">
        <v>45940</v>
      </c>
      <c r="Q1119" s="2">
        <v>45960</v>
      </c>
      <c r="R1119" s="1" t="s">
        <v>6094</v>
      </c>
      <c r="V1119" s="45">
        <f t="shared" si="17"/>
        <v>1</v>
      </c>
      <c r="W1119" s="125" t="s">
        <v>6095</v>
      </c>
    </row>
    <row r="1120" spans="1:23" hidden="1">
      <c r="A1120" s="2">
        <v>45919</v>
      </c>
      <c r="B1120" s="1" t="s">
        <v>6096</v>
      </c>
      <c r="C1120" s="1" t="s">
        <v>6097</v>
      </c>
      <c r="D1120" s="1" t="s">
        <v>6098</v>
      </c>
      <c r="E1120" s="1">
        <v>85306</v>
      </c>
      <c r="F1120" s="1" t="s">
        <v>6099</v>
      </c>
      <c r="G1120" s="1" t="s">
        <v>6065</v>
      </c>
      <c r="H1120" s="4" t="s">
        <v>1537</v>
      </c>
      <c r="I1120" s="5" t="s">
        <v>2659</v>
      </c>
      <c r="J1120" s="5" t="s">
        <v>24</v>
      </c>
      <c r="K1120" s="5" t="s">
        <v>24</v>
      </c>
      <c r="L1120" s="5" t="s">
        <v>75</v>
      </c>
      <c r="M1120" s="5" t="s">
        <v>24</v>
      </c>
      <c r="N1120" s="5" t="s">
        <v>24</v>
      </c>
      <c r="O1120" s="5" t="s">
        <v>75</v>
      </c>
      <c r="P1120" s="5" t="s">
        <v>2413</v>
      </c>
      <c r="Q1120" s="2">
        <v>45960</v>
      </c>
      <c r="V1120" s="45">
        <f t="shared" si="17"/>
        <v>1</v>
      </c>
      <c r="W1120" s="45" t="s">
        <v>6100</v>
      </c>
    </row>
    <row r="1121" spans="1:23" hidden="1">
      <c r="A1121" s="2">
        <v>45919</v>
      </c>
      <c r="B1121" s="1" t="s">
        <v>6101</v>
      </c>
      <c r="C1121" s="1" t="s">
        <v>6102</v>
      </c>
      <c r="D1121" s="1" t="s">
        <v>2605</v>
      </c>
      <c r="E1121" s="1">
        <v>85345</v>
      </c>
      <c r="F1121" s="1" t="s">
        <v>6103</v>
      </c>
      <c r="G1121" s="1" t="s">
        <v>6104</v>
      </c>
      <c r="H1121" s="4" t="s">
        <v>1539</v>
      </c>
      <c r="I1121" s="5" t="s">
        <v>2514</v>
      </c>
      <c r="J1121" s="5" t="s">
        <v>24</v>
      </c>
      <c r="K1121" s="5" t="s">
        <v>24</v>
      </c>
      <c r="L1121" s="5" t="s">
        <v>75</v>
      </c>
      <c r="M1121" s="5" t="s">
        <v>24</v>
      </c>
      <c r="N1121" s="5" t="s">
        <v>24</v>
      </c>
      <c r="O1121" s="5" t="s">
        <v>75</v>
      </c>
      <c r="P1121" s="5" t="s">
        <v>2413</v>
      </c>
      <c r="Q1121" s="2">
        <v>45960</v>
      </c>
      <c r="V1121" s="45">
        <f t="shared" si="17"/>
        <v>1</v>
      </c>
      <c r="W1121" s="45" t="s">
        <v>6105</v>
      </c>
    </row>
    <row r="1122" spans="1:23" hidden="1">
      <c r="A1122" s="2">
        <v>45919</v>
      </c>
      <c r="B1122" s="1" t="s">
        <v>6106</v>
      </c>
      <c r="C1122" s="1" t="s">
        <v>5278</v>
      </c>
      <c r="D1122" s="1" t="s">
        <v>6107</v>
      </c>
      <c r="E1122" s="1">
        <v>85253</v>
      </c>
      <c r="F1122" s="1" t="s">
        <v>6108</v>
      </c>
      <c r="G1122" s="1" t="s">
        <v>6104</v>
      </c>
      <c r="H1122" s="4" t="s">
        <v>1541</v>
      </c>
      <c r="I1122" s="5" t="s">
        <v>2412</v>
      </c>
      <c r="J1122" s="5" t="s">
        <v>24</v>
      </c>
      <c r="K1122" s="5" t="s">
        <v>24</v>
      </c>
      <c r="L1122" s="5" t="s">
        <v>75</v>
      </c>
      <c r="M1122" s="5" t="s">
        <v>24</v>
      </c>
      <c r="N1122" s="5" t="s">
        <v>24</v>
      </c>
      <c r="O1122" s="5" t="s">
        <v>75</v>
      </c>
      <c r="P1122" s="5" t="s">
        <v>2413</v>
      </c>
      <c r="Q1122" s="2">
        <v>45960</v>
      </c>
      <c r="V1122" s="45">
        <f t="shared" si="17"/>
        <v>1</v>
      </c>
      <c r="W1122" s="45" t="s">
        <v>6109</v>
      </c>
    </row>
    <row r="1123" spans="1:23" hidden="1">
      <c r="A1123" s="2">
        <v>45919</v>
      </c>
      <c r="B1123" s="1" t="s">
        <v>6110</v>
      </c>
      <c r="C1123" s="1" t="s">
        <v>2733</v>
      </c>
      <c r="D1123" s="1" t="s">
        <v>2886</v>
      </c>
      <c r="E1123" s="1">
        <v>85361</v>
      </c>
      <c r="F1123" s="1" t="s">
        <v>6111</v>
      </c>
      <c r="G1123" s="1" t="s">
        <v>6104</v>
      </c>
      <c r="H1123" s="4" t="s">
        <v>1543</v>
      </c>
      <c r="I1123" s="5" t="s">
        <v>2451</v>
      </c>
      <c r="J1123" s="5" t="s">
        <v>24</v>
      </c>
      <c r="K1123" s="5" t="s">
        <v>24</v>
      </c>
      <c r="L1123" s="5" t="s">
        <v>75</v>
      </c>
      <c r="M1123" s="5" t="s">
        <v>24</v>
      </c>
      <c r="N1123" s="5" t="s">
        <v>24</v>
      </c>
      <c r="O1123" s="5" t="s">
        <v>75</v>
      </c>
      <c r="P1123" s="5" t="s">
        <v>2413</v>
      </c>
      <c r="Q1123" s="2">
        <v>45960</v>
      </c>
      <c r="V1123" s="45">
        <f t="shared" si="17"/>
        <v>1</v>
      </c>
      <c r="W1123" s="45" t="s">
        <v>6112</v>
      </c>
    </row>
    <row r="1124" spans="1:23" hidden="1">
      <c r="A1124" s="2">
        <v>45919</v>
      </c>
      <c r="B1124" s="1" t="s">
        <v>2830</v>
      </c>
      <c r="C1124" s="1" t="s">
        <v>6113</v>
      </c>
      <c r="D1124" s="1" t="s">
        <v>6107</v>
      </c>
      <c r="E1124" s="1">
        <v>85253</v>
      </c>
      <c r="F1124" s="1" t="s">
        <v>6114</v>
      </c>
      <c r="G1124" s="1" t="s">
        <v>6104</v>
      </c>
      <c r="H1124" s="4" t="s">
        <v>2401</v>
      </c>
      <c r="V1124" s="45">
        <f t="shared" si="17"/>
        <v>1</v>
      </c>
      <c r="W1124" s="45" t="s">
        <v>6115</v>
      </c>
    </row>
    <row r="1125" spans="1:23" hidden="1">
      <c r="A1125" s="2">
        <v>45919</v>
      </c>
      <c r="B1125" s="1" t="s">
        <v>3447</v>
      </c>
      <c r="C1125" s="1" t="s">
        <v>6116</v>
      </c>
      <c r="D1125" s="1" t="s">
        <v>2498</v>
      </c>
      <c r="E1125" s="1">
        <v>85379</v>
      </c>
      <c r="F1125" s="1" t="s">
        <v>6117</v>
      </c>
      <c r="G1125" s="1" t="s">
        <v>6104</v>
      </c>
      <c r="H1125" s="4" t="s">
        <v>1545</v>
      </c>
      <c r="I1125" s="5" t="s">
        <v>2848</v>
      </c>
      <c r="J1125" s="5" t="s">
        <v>24</v>
      </c>
      <c r="K1125" s="5" t="s">
        <v>24</v>
      </c>
      <c r="L1125" s="5" t="s">
        <v>2819</v>
      </c>
      <c r="M1125" s="5" t="s">
        <v>24</v>
      </c>
      <c r="N1125" s="5" t="s">
        <v>24</v>
      </c>
      <c r="O1125" s="5" t="s">
        <v>75</v>
      </c>
      <c r="P1125" s="5" t="s">
        <v>2413</v>
      </c>
      <c r="Q1125" s="2">
        <v>45960</v>
      </c>
      <c r="R1125" s="1" t="s">
        <v>5395</v>
      </c>
      <c r="V1125" s="45">
        <f t="shared" si="17"/>
        <v>1</v>
      </c>
      <c r="W1125" s="45" t="s">
        <v>6118</v>
      </c>
    </row>
    <row r="1126" spans="1:23" hidden="1">
      <c r="A1126" s="2">
        <v>45919</v>
      </c>
      <c r="B1126" s="1" t="s">
        <v>6119</v>
      </c>
      <c r="C1126" s="1" t="s">
        <v>6120</v>
      </c>
      <c r="D1126" s="1" t="s">
        <v>6121</v>
      </c>
      <c r="E1126" s="1">
        <v>85335</v>
      </c>
      <c r="F1126" s="1" t="s">
        <v>6122</v>
      </c>
      <c r="G1126" s="1" t="s">
        <v>6104</v>
      </c>
      <c r="H1126" s="4" t="s">
        <v>2401</v>
      </c>
      <c r="V1126" s="45">
        <f t="shared" si="17"/>
        <v>1</v>
      </c>
      <c r="W1126" s="45" t="s">
        <v>6123</v>
      </c>
    </row>
    <row r="1127" spans="1:23" hidden="1">
      <c r="A1127" s="2">
        <v>45919</v>
      </c>
      <c r="B1127" s="1" t="s">
        <v>6124</v>
      </c>
      <c r="C1127" s="1" t="s">
        <v>6125</v>
      </c>
      <c r="D1127" s="1" t="s">
        <v>2439</v>
      </c>
      <c r="E1127" s="1">
        <v>85027</v>
      </c>
      <c r="F1127" s="1" t="s">
        <v>6126</v>
      </c>
      <c r="G1127" s="1" t="s">
        <v>6104</v>
      </c>
      <c r="H1127" s="4" t="s">
        <v>1547</v>
      </c>
      <c r="I1127" s="5" t="s">
        <v>2848</v>
      </c>
      <c r="J1127" s="5" t="s">
        <v>24</v>
      </c>
      <c r="K1127" s="5" t="s">
        <v>24</v>
      </c>
      <c r="L1127" s="5" t="s">
        <v>2819</v>
      </c>
      <c r="M1127" s="5" t="s">
        <v>24</v>
      </c>
      <c r="N1127" s="5" t="s">
        <v>24</v>
      </c>
      <c r="O1127" s="5" t="s">
        <v>75</v>
      </c>
      <c r="P1127" s="5" t="s">
        <v>2413</v>
      </c>
      <c r="Q1127" s="2">
        <v>45960</v>
      </c>
      <c r="V1127" s="45">
        <f t="shared" si="17"/>
        <v>1</v>
      </c>
      <c r="W1127" s="45" t="s">
        <v>6127</v>
      </c>
    </row>
    <row r="1128" spans="1:23" hidden="1">
      <c r="A1128" s="2">
        <v>45919</v>
      </c>
      <c r="B1128" s="1" t="s">
        <v>6128</v>
      </c>
      <c r="C1128" s="1" t="s">
        <v>6129</v>
      </c>
      <c r="D1128" s="1" t="s">
        <v>2605</v>
      </c>
      <c r="E1128" s="1">
        <v>85382</v>
      </c>
      <c r="F1128" s="1" t="s">
        <v>6130</v>
      </c>
      <c r="G1128" s="1" t="s">
        <v>6104</v>
      </c>
      <c r="H1128" s="4" t="s">
        <v>1549</v>
      </c>
      <c r="I1128" s="5" t="s">
        <v>2659</v>
      </c>
      <c r="J1128" s="5" t="s">
        <v>24</v>
      </c>
      <c r="K1128" s="5" t="s">
        <v>24</v>
      </c>
      <c r="L1128" s="5" t="s">
        <v>75</v>
      </c>
      <c r="M1128" s="5" t="s">
        <v>24</v>
      </c>
      <c r="N1128" s="5" t="s">
        <v>24</v>
      </c>
      <c r="O1128" s="5" t="s">
        <v>75</v>
      </c>
      <c r="P1128" s="5" t="s">
        <v>2413</v>
      </c>
      <c r="Q1128" s="2">
        <v>45960</v>
      </c>
      <c r="V1128" s="45">
        <f t="shared" si="17"/>
        <v>1</v>
      </c>
      <c r="W1128" s="45" t="s">
        <v>6131</v>
      </c>
    </row>
    <row r="1129" spans="1:23" hidden="1">
      <c r="A1129" s="2">
        <v>45919</v>
      </c>
      <c r="B1129" s="1" t="s">
        <v>6132</v>
      </c>
      <c r="C1129" s="1" t="s">
        <v>3189</v>
      </c>
      <c r="D1129" s="1" t="s">
        <v>2513</v>
      </c>
      <c r="E1129" s="1">
        <v>85254</v>
      </c>
      <c r="F1129" s="1" t="s">
        <v>6133</v>
      </c>
      <c r="G1129" s="1" t="s">
        <v>6104</v>
      </c>
      <c r="H1129" s="4" t="s">
        <v>1551</v>
      </c>
      <c r="I1129" s="5" t="s">
        <v>2412</v>
      </c>
      <c r="J1129" s="5" t="s">
        <v>24</v>
      </c>
      <c r="K1129" s="5" t="s">
        <v>24</v>
      </c>
      <c r="L1129" s="5" t="s">
        <v>75</v>
      </c>
      <c r="M1129" s="5" t="s">
        <v>24</v>
      </c>
      <c r="N1129" s="5" t="s">
        <v>24</v>
      </c>
      <c r="O1129" s="5" t="s">
        <v>75</v>
      </c>
      <c r="P1129" s="5" t="s">
        <v>2413</v>
      </c>
      <c r="Q1129" s="2">
        <v>45960</v>
      </c>
      <c r="V1129" s="45">
        <f t="shared" si="17"/>
        <v>1</v>
      </c>
      <c r="W1129" s="45" t="s">
        <v>6134</v>
      </c>
    </row>
    <row r="1130" spans="1:23" hidden="1">
      <c r="A1130" s="2">
        <v>45919</v>
      </c>
      <c r="B1130" s="1" t="s">
        <v>6135</v>
      </c>
      <c r="C1130" s="1" t="s">
        <v>6136</v>
      </c>
      <c r="D1130" s="1" t="s">
        <v>2564</v>
      </c>
      <c r="E1130" s="1">
        <v>85338</v>
      </c>
      <c r="F1130" s="1" t="s">
        <v>6137</v>
      </c>
      <c r="G1130" s="1" t="s">
        <v>6104</v>
      </c>
      <c r="H1130" s="4" t="s">
        <v>651</v>
      </c>
      <c r="I1130" s="5" t="s">
        <v>2412</v>
      </c>
      <c r="J1130" s="5" t="s">
        <v>24</v>
      </c>
      <c r="K1130" s="5" t="s">
        <v>24</v>
      </c>
      <c r="L1130" s="5" t="s">
        <v>75</v>
      </c>
      <c r="M1130" s="5" t="s">
        <v>75</v>
      </c>
      <c r="N1130" s="15">
        <v>747.64</v>
      </c>
      <c r="O1130" s="5" t="s">
        <v>75</v>
      </c>
      <c r="P1130" s="7"/>
      <c r="Q1130" s="2">
        <v>45960</v>
      </c>
      <c r="R1130" s="1" t="s">
        <v>2938</v>
      </c>
      <c r="V1130" s="45">
        <f t="shared" si="17"/>
        <v>1</v>
      </c>
      <c r="W1130" s="45" t="s">
        <v>6138</v>
      </c>
    </row>
    <row r="1131" spans="1:23" hidden="1">
      <c r="A1131" s="2">
        <v>45919</v>
      </c>
      <c r="B1131" s="1" t="s">
        <v>6139</v>
      </c>
      <c r="C1131" s="1" t="s">
        <v>3050</v>
      </c>
      <c r="D1131" s="1" t="s">
        <v>2564</v>
      </c>
      <c r="E1131" s="1">
        <v>85338</v>
      </c>
      <c r="F1131" s="1" t="s">
        <v>6082</v>
      </c>
      <c r="G1131" s="1" t="s">
        <v>6104</v>
      </c>
      <c r="H1131" s="4" t="s">
        <v>399</v>
      </c>
      <c r="I1131" s="5" t="s">
        <v>2514</v>
      </c>
      <c r="J1131" s="5" t="s">
        <v>24</v>
      </c>
      <c r="K1131" s="5" t="s">
        <v>24</v>
      </c>
      <c r="L1131" s="7" t="s">
        <v>6140</v>
      </c>
      <c r="M1131" s="5" t="s">
        <v>24</v>
      </c>
      <c r="N1131" s="5" t="s">
        <v>24</v>
      </c>
      <c r="O1131" s="5" t="s">
        <v>75</v>
      </c>
      <c r="P1131" s="5" t="s">
        <v>2413</v>
      </c>
      <c r="Q1131" s="2">
        <v>45960</v>
      </c>
      <c r="R1131" s="1" t="s">
        <v>6141</v>
      </c>
      <c r="V1131" s="45">
        <f t="shared" si="17"/>
        <v>1</v>
      </c>
      <c r="W1131" s="45" t="s">
        <v>6142</v>
      </c>
    </row>
    <row r="1132" spans="1:23" hidden="1">
      <c r="A1132" s="2">
        <v>45919</v>
      </c>
      <c r="B1132" s="1" t="s">
        <v>5404</v>
      </c>
      <c r="C1132" s="1" t="s">
        <v>6143</v>
      </c>
      <c r="D1132" s="1" t="s">
        <v>2405</v>
      </c>
      <c r="E1132" s="1" t="s">
        <v>2405</v>
      </c>
      <c r="F1132" s="1" t="s">
        <v>6144</v>
      </c>
      <c r="G1132" s="1" t="s">
        <v>6104</v>
      </c>
      <c r="H1132" s="4" t="s">
        <v>2401</v>
      </c>
      <c r="V1132" s="45">
        <f t="shared" si="17"/>
        <v>1</v>
      </c>
      <c r="W1132" s="45" t="s">
        <v>6145</v>
      </c>
    </row>
    <row r="1133" spans="1:23" hidden="1">
      <c r="A1133" s="2">
        <v>45919</v>
      </c>
      <c r="B1133" s="1" t="s">
        <v>6146</v>
      </c>
      <c r="C1133" s="1" t="s">
        <v>2761</v>
      </c>
      <c r="D1133" s="1" t="s">
        <v>2405</v>
      </c>
      <c r="E1133" s="1" t="s">
        <v>2405</v>
      </c>
      <c r="F1133" s="1" t="s">
        <v>6147</v>
      </c>
      <c r="G1133" s="1" t="s">
        <v>6104</v>
      </c>
      <c r="H1133" s="4" t="s">
        <v>1553</v>
      </c>
      <c r="I1133" s="5" t="s">
        <v>2848</v>
      </c>
      <c r="J1133" s="5" t="s">
        <v>24</v>
      </c>
      <c r="K1133" s="5" t="s">
        <v>24</v>
      </c>
      <c r="L1133" s="5" t="s">
        <v>2819</v>
      </c>
      <c r="M1133" s="5" t="s">
        <v>24</v>
      </c>
      <c r="N1133" s="5" t="s">
        <v>24</v>
      </c>
      <c r="O1133" s="5" t="s">
        <v>75</v>
      </c>
      <c r="P1133" s="5" t="s">
        <v>2413</v>
      </c>
      <c r="Q1133" s="2">
        <v>45960</v>
      </c>
      <c r="V1133" s="45">
        <f t="shared" si="17"/>
        <v>1</v>
      </c>
      <c r="W1133" s="45" t="s">
        <v>6148</v>
      </c>
    </row>
    <row r="1134" spans="1:23" hidden="1">
      <c r="A1134" s="2">
        <v>45919</v>
      </c>
      <c r="B1134" s="1" t="s">
        <v>6149</v>
      </c>
      <c r="C1134" s="1" t="s">
        <v>2977</v>
      </c>
      <c r="D1134" s="1" t="s">
        <v>2439</v>
      </c>
      <c r="E1134" s="1">
        <v>85032</v>
      </c>
      <c r="F1134" s="1" t="s">
        <v>2406</v>
      </c>
      <c r="G1134" s="1" t="s">
        <v>6104</v>
      </c>
      <c r="H1134" s="4" t="s">
        <v>1556</v>
      </c>
      <c r="I1134" s="5" t="s">
        <v>2848</v>
      </c>
      <c r="J1134" s="5" t="s">
        <v>24</v>
      </c>
      <c r="K1134" s="5" t="s">
        <v>24</v>
      </c>
      <c r="L1134" s="5" t="s">
        <v>2819</v>
      </c>
      <c r="M1134" s="5" t="s">
        <v>24</v>
      </c>
      <c r="N1134" s="5" t="s">
        <v>24</v>
      </c>
      <c r="O1134" s="5" t="s">
        <v>75</v>
      </c>
      <c r="P1134" s="5" t="s">
        <v>2413</v>
      </c>
      <c r="Q1134" s="2">
        <v>45960</v>
      </c>
      <c r="V1134" s="45">
        <f t="shared" si="17"/>
        <v>1</v>
      </c>
      <c r="W1134" s="45" t="s">
        <v>6150</v>
      </c>
    </row>
    <row r="1135" spans="1:23" hidden="1">
      <c r="A1135" s="2">
        <v>45919</v>
      </c>
      <c r="B1135" s="1" t="s">
        <v>6151</v>
      </c>
      <c r="C1135" s="1" t="s">
        <v>3065</v>
      </c>
      <c r="D1135" s="1" t="s">
        <v>2439</v>
      </c>
      <c r="E1135" s="1">
        <v>85022</v>
      </c>
      <c r="F1135" s="1" t="s">
        <v>6152</v>
      </c>
      <c r="G1135" s="1" t="s">
        <v>6104</v>
      </c>
      <c r="H1135" s="4" t="s">
        <v>1558</v>
      </c>
      <c r="I1135" s="5" t="s">
        <v>2412</v>
      </c>
      <c r="J1135" s="5" t="s">
        <v>24</v>
      </c>
      <c r="K1135" s="5" t="s">
        <v>24</v>
      </c>
      <c r="L1135" s="5" t="s">
        <v>75</v>
      </c>
      <c r="M1135" s="5" t="s">
        <v>24</v>
      </c>
      <c r="N1135" s="5" t="s">
        <v>24</v>
      </c>
      <c r="O1135" s="5" t="s">
        <v>75</v>
      </c>
      <c r="P1135" s="5" t="s">
        <v>2413</v>
      </c>
      <c r="Q1135" s="2">
        <v>45960</v>
      </c>
      <c r="V1135" s="45">
        <f t="shared" si="17"/>
        <v>1</v>
      </c>
      <c r="W1135" s="45" t="s">
        <v>6153</v>
      </c>
    </row>
    <row r="1136" spans="1:23" hidden="1">
      <c r="A1136" s="2">
        <v>45919</v>
      </c>
      <c r="B1136" s="1" t="s">
        <v>6154</v>
      </c>
      <c r="C1136" s="1" t="s">
        <v>6155</v>
      </c>
      <c r="D1136" s="1" t="s">
        <v>3303</v>
      </c>
      <c r="E1136" s="1">
        <v>86303</v>
      </c>
      <c r="F1136" s="1" t="s">
        <v>6156</v>
      </c>
      <c r="G1136" s="1" t="s">
        <v>6104</v>
      </c>
      <c r="H1136" s="4" t="s">
        <v>1560</v>
      </c>
      <c r="I1136" s="5" t="s">
        <v>2514</v>
      </c>
      <c r="J1136" s="5" t="s">
        <v>24</v>
      </c>
      <c r="K1136" s="5" t="s">
        <v>24</v>
      </c>
      <c r="L1136" s="5" t="s">
        <v>75</v>
      </c>
      <c r="M1136" s="5" t="s">
        <v>24</v>
      </c>
      <c r="N1136" s="5" t="s">
        <v>24</v>
      </c>
      <c r="O1136" s="5" t="s">
        <v>75</v>
      </c>
      <c r="P1136" s="5" t="s">
        <v>2413</v>
      </c>
      <c r="Q1136" s="2">
        <v>45960</v>
      </c>
      <c r="V1136" s="45">
        <f t="shared" si="17"/>
        <v>1</v>
      </c>
      <c r="W1136" s="45" t="s">
        <v>6157</v>
      </c>
    </row>
    <row r="1137" spans="1:23" hidden="1">
      <c r="A1137" s="5" t="s">
        <v>6158</v>
      </c>
      <c r="B1137" s="1" t="s">
        <v>2554</v>
      </c>
      <c r="C1137" s="1" t="s">
        <v>3258</v>
      </c>
      <c r="D1137" s="1" t="s">
        <v>2439</v>
      </c>
      <c r="E1137" s="1">
        <v>85015</v>
      </c>
      <c r="F1137" s="1" t="s">
        <v>2730</v>
      </c>
      <c r="G1137" s="1" t="s">
        <v>5394</v>
      </c>
      <c r="H1137" s="4" t="s">
        <v>2401</v>
      </c>
      <c r="V1137" s="45">
        <f t="shared" si="17"/>
        <v>1</v>
      </c>
      <c r="W1137" s="45" t="s">
        <v>6159</v>
      </c>
    </row>
    <row r="1138" spans="1:23" hidden="1">
      <c r="A1138" s="2">
        <v>45919</v>
      </c>
      <c r="B1138" s="1" t="s">
        <v>6160</v>
      </c>
      <c r="C1138" s="1" t="s">
        <v>4091</v>
      </c>
      <c r="D1138" s="1" t="s">
        <v>2513</v>
      </c>
      <c r="E1138" s="1">
        <v>85260</v>
      </c>
      <c r="F1138" s="1" t="s">
        <v>6161</v>
      </c>
      <c r="G1138" s="1" t="s">
        <v>5394</v>
      </c>
      <c r="H1138" s="4" t="s">
        <v>1563</v>
      </c>
      <c r="I1138" s="5" t="s">
        <v>2412</v>
      </c>
      <c r="J1138" s="5" t="s">
        <v>24</v>
      </c>
      <c r="K1138" s="5" t="s">
        <v>24</v>
      </c>
      <c r="L1138" s="5" t="s">
        <v>4282</v>
      </c>
      <c r="M1138" s="5" t="s">
        <v>24</v>
      </c>
      <c r="N1138" s="5" t="s">
        <v>24</v>
      </c>
      <c r="O1138" s="5" t="s">
        <v>75</v>
      </c>
      <c r="P1138" s="5" t="s">
        <v>2413</v>
      </c>
      <c r="Q1138" s="2">
        <v>45960</v>
      </c>
      <c r="V1138" s="45">
        <f t="shared" si="17"/>
        <v>1</v>
      </c>
      <c r="W1138" s="45" t="s">
        <v>6162</v>
      </c>
    </row>
    <row r="1139" spans="1:23" hidden="1">
      <c r="A1139" s="2">
        <v>45919</v>
      </c>
      <c r="B1139" s="1" t="s">
        <v>6163</v>
      </c>
      <c r="C1139" s="1" t="s">
        <v>6164</v>
      </c>
      <c r="D1139" s="1" t="s">
        <v>2439</v>
      </c>
      <c r="E1139" s="1">
        <v>85013</v>
      </c>
      <c r="F1139" s="1" t="s">
        <v>6165</v>
      </c>
      <c r="G1139" s="1" t="s">
        <v>5394</v>
      </c>
      <c r="H1139" s="4" t="s">
        <v>1565</v>
      </c>
      <c r="I1139" s="5" t="s">
        <v>2412</v>
      </c>
      <c r="J1139" s="5" t="s">
        <v>24</v>
      </c>
      <c r="K1139" s="5" t="s">
        <v>24</v>
      </c>
      <c r="L1139" s="5" t="s">
        <v>4282</v>
      </c>
      <c r="M1139" s="5" t="s">
        <v>24</v>
      </c>
      <c r="N1139" s="5" t="s">
        <v>24</v>
      </c>
      <c r="O1139" s="5" t="s">
        <v>75</v>
      </c>
      <c r="P1139" s="5" t="s">
        <v>2413</v>
      </c>
      <c r="Q1139" s="2">
        <v>45960</v>
      </c>
      <c r="R1139" s="1" t="s">
        <v>6166</v>
      </c>
      <c r="V1139" s="45">
        <f t="shared" si="17"/>
        <v>1</v>
      </c>
      <c r="W1139" s="45" t="s">
        <v>6167</v>
      </c>
    </row>
    <row r="1140" spans="1:23" hidden="1">
      <c r="A1140" s="2">
        <v>45919</v>
      </c>
      <c r="B1140" s="1" t="s">
        <v>5392</v>
      </c>
      <c r="C1140" s="1" t="s">
        <v>5393</v>
      </c>
      <c r="D1140" s="1" t="s">
        <v>2498</v>
      </c>
      <c r="E1140" s="1">
        <v>85388</v>
      </c>
      <c r="F1140" s="1" t="s">
        <v>2730</v>
      </c>
      <c r="G1140" s="1" t="s">
        <v>5394</v>
      </c>
      <c r="H1140" s="4" t="s">
        <v>1338</v>
      </c>
      <c r="I1140" s="5" t="s">
        <v>2420</v>
      </c>
      <c r="J1140" s="5" t="s">
        <v>24</v>
      </c>
      <c r="K1140" s="5" t="s">
        <v>24</v>
      </c>
      <c r="L1140" s="5" t="s">
        <v>4282</v>
      </c>
      <c r="M1140" s="5" t="s">
        <v>24</v>
      </c>
      <c r="N1140" s="5" t="s">
        <v>24</v>
      </c>
      <c r="O1140" s="5" t="s">
        <v>75</v>
      </c>
      <c r="P1140" s="5" t="s">
        <v>2413</v>
      </c>
      <c r="Q1140" s="2">
        <v>45960</v>
      </c>
      <c r="V1140" s="45">
        <f t="shared" si="17"/>
        <v>1</v>
      </c>
      <c r="W1140" s="45" t="s">
        <v>6168</v>
      </c>
    </row>
    <row r="1141" spans="1:23" hidden="1">
      <c r="A1141" s="2">
        <v>45919</v>
      </c>
      <c r="B1141" s="1" t="s">
        <v>6169</v>
      </c>
      <c r="C1141" s="1" t="s">
        <v>6170</v>
      </c>
      <c r="D1141" s="1" t="s">
        <v>2439</v>
      </c>
      <c r="E1141" s="1">
        <v>85021</v>
      </c>
      <c r="F1141" s="1" t="s">
        <v>6171</v>
      </c>
      <c r="G1141" s="1" t="s">
        <v>5394</v>
      </c>
      <c r="H1141" s="4" t="s">
        <v>2401</v>
      </c>
      <c r="V1141" s="45">
        <f t="shared" si="17"/>
        <v>1</v>
      </c>
      <c r="W1141" s="45" t="s">
        <v>6172</v>
      </c>
    </row>
    <row r="1142" spans="1:23" hidden="1">
      <c r="A1142" s="2">
        <v>45919</v>
      </c>
      <c r="B1142" s="1" t="s">
        <v>6173</v>
      </c>
      <c r="C1142" s="1" t="s">
        <v>4009</v>
      </c>
      <c r="D1142" s="1" t="s">
        <v>2498</v>
      </c>
      <c r="E1142" s="1">
        <v>85374</v>
      </c>
      <c r="F1142" s="1" t="s">
        <v>6174</v>
      </c>
      <c r="G1142" s="1" t="s">
        <v>5394</v>
      </c>
      <c r="H1142" s="4" t="s">
        <v>1567</v>
      </c>
      <c r="I1142" s="5" t="s">
        <v>2412</v>
      </c>
      <c r="J1142" s="5" t="s">
        <v>24</v>
      </c>
      <c r="K1142" s="5" t="s">
        <v>24</v>
      </c>
      <c r="L1142" s="5" t="s">
        <v>4282</v>
      </c>
      <c r="M1142" s="5" t="s">
        <v>24</v>
      </c>
      <c r="N1142" s="5" t="s">
        <v>24</v>
      </c>
      <c r="O1142" s="5" t="s">
        <v>75</v>
      </c>
      <c r="P1142" s="5" t="s">
        <v>2413</v>
      </c>
      <c r="Q1142" s="2">
        <v>45960</v>
      </c>
      <c r="V1142" s="45">
        <f t="shared" si="17"/>
        <v>1</v>
      </c>
      <c r="W1142" s="45" t="s">
        <v>6175</v>
      </c>
    </row>
    <row r="1143" spans="1:23" hidden="1">
      <c r="A1143" s="2">
        <v>45922</v>
      </c>
      <c r="B1143" s="1" t="s">
        <v>6176</v>
      </c>
      <c r="C1143" s="1" t="s">
        <v>20</v>
      </c>
      <c r="D1143" s="1" t="s">
        <v>6177</v>
      </c>
      <c r="E1143" s="1">
        <v>85120</v>
      </c>
      <c r="F1143" s="1" t="s">
        <v>6178</v>
      </c>
      <c r="G1143" s="1" t="s">
        <v>5394</v>
      </c>
      <c r="H1143" s="4" t="s">
        <v>2401</v>
      </c>
      <c r="V1143" s="45">
        <f t="shared" si="17"/>
        <v>1</v>
      </c>
      <c r="W1143" s="45" t="s">
        <v>6179</v>
      </c>
    </row>
    <row r="1144" spans="1:23" hidden="1">
      <c r="A1144" s="2">
        <v>45921</v>
      </c>
      <c r="B1144" s="1" t="s">
        <v>6180</v>
      </c>
      <c r="C1144" s="1" t="s">
        <v>2596</v>
      </c>
      <c r="D1144" s="1" t="s">
        <v>3090</v>
      </c>
      <c r="E1144" s="1">
        <v>85281</v>
      </c>
      <c r="F1144" s="1" t="s">
        <v>6181</v>
      </c>
      <c r="G1144" s="1" t="s">
        <v>5394</v>
      </c>
      <c r="H1144" s="4" t="s">
        <v>402</v>
      </c>
      <c r="I1144" s="5" t="s">
        <v>2412</v>
      </c>
      <c r="J1144" s="5" t="s">
        <v>24</v>
      </c>
      <c r="K1144" s="5" t="s">
        <v>24</v>
      </c>
      <c r="L1144" s="5" t="s">
        <v>2831</v>
      </c>
      <c r="M1144" s="5" t="s">
        <v>24</v>
      </c>
      <c r="N1144" s="5" t="s">
        <v>24</v>
      </c>
      <c r="O1144" s="5" t="s">
        <v>75</v>
      </c>
      <c r="P1144" s="5" t="s">
        <v>2413</v>
      </c>
      <c r="Q1144" s="2">
        <v>45960</v>
      </c>
      <c r="V1144" s="45">
        <f t="shared" si="17"/>
        <v>1</v>
      </c>
      <c r="W1144" s="45" t="s">
        <v>6182</v>
      </c>
    </row>
    <row r="1145" spans="1:23" hidden="1">
      <c r="A1145" s="2">
        <v>45921</v>
      </c>
      <c r="B1145" s="1" t="s">
        <v>6183</v>
      </c>
      <c r="C1145" s="1" t="s">
        <v>2875</v>
      </c>
      <c r="D1145" s="1" t="s">
        <v>2498</v>
      </c>
      <c r="E1145" s="1">
        <v>85379</v>
      </c>
      <c r="F1145" s="1" t="s">
        <v>6184</v>
      </c>
      <c r="G1145" s="1" t="s">
        <v>5394</v>
      </c>
      <c r="H1145" s="4" t="s">
        <v>2471</v>
      </c>
      <c r="V1145" s="45">
        <f t="shared" si="17"/>
        <v>1</v>
      </c>
      <c r="W1145" s="45" t="s">
        <v>6185</v>
      </c>
    </row>
    <row r="1146" spans="1:23" hidden="1">
      <c r="A1146" s="2">
        <v>45921</v>
      </c>
      <c r="B1146" s="1" t="s">
        <v>6186</v>
      </c>
      <c r="C1146" s="1" t="s">
        <v>2719</v>
      </c>
      <c r="D1146" s="1" t="s">
        <v>2439</v>
      </c>
      <c r="E1146" s="1">
        <v>85087</v>
      </c>
      <c r="F1146" s="1" t="s">
        <v>6187</v>
      </c>
      <c r="G1146" s="1" t="s">
        <v>5394</v>
      </c>
      <c r="H1146" s="4" t="s">
        <v>2401</v>
      </c>
      <c r="V1146" s="45">
        <f t="shared" si="17"/>
        <v>1</v>
      </c>
      <c r="W1146" s="45" t="s">
        <v>6188</v>
      </c>
    </row>
    <row r="1147" spans="1:23" hidden="1">
      <c r="A1147" s="2">
        <v>45922</v>
      </c>
      <c r="B1147" s="1" t="s">
        <v>6189</v>
      </c>
      <c r="C1147" s="1" t="s">
        <v>2997</v>
      </c>
      <c r="D1147" s="1" t="s">
        <v>2518</v>
      </c>
      <c r="E1147" s="1">
        <v>85296</v>
      </c>
      <c r="F1147" s="1" t="s">
        <v>6190</v>
      </c>
      <c r="G1147" s="1" t="s">
        <v>5394</v>
      </c>
      <c r="H1147" s="4" t="s">
        <v>654</v>
      </c>
      <c r="I1147" s="5" t="s">
        <v>2412</v>
      </c>
      <c r="J1147" s="5" t="s">
        <v>24</v>
      </c>
      <c r="K1147" s="5" t="s">
        <v>24</v>
      </c>
      <c r="L1147" s="5" t="s">
        <v>4282</v>
      </c>
      <c r="M1147" s="5" t="s">
        <v>75</v>
      </c>
      <c r="N1147" s="15">
        <v>507.13</v>
      </c>
      <c r="O1147" s="5" t="s">
        <v>75</v>
      </c>
      <c r="P1147" s="7"/>
      <c r="Q1147" s="2">
        <v>45960</v>
      </c>
      <c r="R1147" s="1" t="s">
        <v>2938</v>
      </c>
      <c r="V1147" s="45">
        <f t="shared" si="17"/>
        <v>1</v>
      </c>
      <c r="W1147" s="45" t="s">
        <v>6191</v>
      </c>
    </row>
    <row r="1148" spans="1:23" hidden="1">
      <c r="A1148" s="2">
        <v>45922</v>
      </c>
      <c r="B1148" s="1" t="s">
        <v>6192</v>
      </c>
      <c r="C1148" s="1" t="s">
        <v>3065</v>
      </c>
      <c r="D1148" s="1" t="s">
        <v>2439</v>
      </c>
      <c r="E1148" s="1">
        <v>85023</v>
      </c>
      <c r="F1148" s="1" t="s">
        <v>6193</v>
      </c>
      <c r="G1148" s="1" t="s">
        <v>5394</v>
      </c>
      <c r="H1148" s="4" t="s">
        <v>404</v>
      </c>
      <c r="I1148" s="5" t="s">
        <v>2412</v>
      </c>
      <c r="J1148" s="5" t="s">
        <v>75</v>
      </c>
      <c r="K1148" s="5" t="s">
        <v>24</v>
      </c>
      <c r="L1148" s="5" t="s">
        <v>2831</v>
      </c>
      <c r="M1148" s="5" t="s">
        <v>24</v>
      </c>
      <c r="N1148" s="5" t="s">
        <v>24</v>
      </c>
      <c r="O1148" s="5" t="s">
        <v>75</v>
      </c>
      <c r="P1148" s="5" t="s">
        <v>2413</v>
      </c>
      <c r="Q1148" s="2">
        <v>45960</v>
      </c>
      <c r="V1148" s="45">
        <f t="shared" si="17"/>
        <v>1</v>
      </c>
      <c r="W1148" s="45" t="s">
        <v>6194</v>
      </c>
    </row>
    <row r="1149" spans="1:23" hidden="1">
      <c r="A1149" s="2">
        <v>45922</v>
      </c>
      <c r="B1149" s="1" t="s">
        <v>5154</v>
      </c>
      <c r="C1149" s="1" t="s">
        <v>6195</v>
      </c>
      <c r="D1149" s="1" t="s">
        <v>2405</v>
      </c>
      <c r="E1149" s="1" t="s">
        <v>2405</v>
      </c>
      <c r="F1149" s="1" t="s">
        <v>2406</v>
      </c>
      <c r="G1149" s="1" t="s">
        <v>5394</v>
      </c>
      <c r="H1149" s="4" t="s">
        <v>2613</v>
      </c>
      <c r="V1149" s="45">
        <f t="shared" si="17"/>
        <v>1</v>
      </c>
      <c r="W1149" s="45" t="s">
        <v>6196</v>
      </c>
    </row>
    <row r="1150" spans="1:23" hidden="1">
      <c r="A1150" s="2">
        <v>45922</v>
      </c>
      <c r="B1150" s="1" t="s">
        <v>6197</v>
      </c>
      <c r="C1150" s="1" t="s">
        <v>6198</v>
      </c>
      <c r="D1150" s="1" t="s">
        <v>2405</v>
      </c>
      <c r="E1150" s="1" t="s">
        <v>2405</v>
      </c>
      <c r="F1150" s="1" t="s">
        <v>6199</v>
      </c>
      <c r="G1150" s="1" t="s">
        <v>5394</v>
      </c>
      <c r="H1150" s="4" t="s">
        <v>1569</v>
      </c>
      <c r="I1150" s="5" t="s">
        <v>2412</v>
      </c>
      <c r="J1150" s="5" t="s">
        <v>24</v>
      </c>
      <c r="K1150" s="5" t="s">
        <v>24</v>
      </c>
      <c r="L1150" s="5" t="s">
        <v>4282</v>
      </c>
      <c r="M1150" s="5" t="s">
        <v>24</v>
      </c>
      <c r="N1150" s="5" t="s">
        <v>24</v>
      </c>
      <c r="O1150" s="5" t="s">
        <v>75</v>
      </c>
      <c r="P1150" s="5" t="s">
        <v>2413</v>
      </c>
      <c r="Q1150" s="2">
        <v>45960</v>
      </c>
      <c r="V1150" s="45">
        <f t="shared" si="17"/>
        <v>1</v>
      </c>
      <c r="W1150" s="45" t="s">
        <v>6200</v>
      </c>
    </row>
    <row r="1151" spans="1:23" hidden="1">
      <c r="A1151" s="2">
        <v>45919</v>
      </c>
      <c r="B1151" s="1" t="s">
        <v>6201</v>
      </c>
      <c r="C1151" s="1" t="s">
        <v>3331</v>
      </c>
      <c r="D1151" s="1" t="s">
        <v>2465</v>
      </c>
      <c r="E1151" s="1">
        <v>86323</v>
      </c>
      <c r="F1151" s="1" t="s">
        <v>6202</v>
      </c>
      <c r="G1151" s="1" t="s">
        <v>5394</v>
      </c>
      <c r="H1151" s="4" t="s">
        <v>1571</v>
      </c>
      <c r="I1151" s="5" t="s">
        <v>2451</v>
      </c>
      <c r="J1151" s="5" t="s">
        <v>24</v>
      </c>
      <c r="K1151" s="5" t="s">
        <v>24</v>
      </c>
      <c r="L1151" s="5" t="s">
        <v>4282</v>
      </c>
      <c r="M1151" s="5" t="s">
        <v>24</v>
      </c>
      <c r="N1151" s="5" t="s">
        <v>24</v>
      </c>
      <c r="O1151" s="5" t="s">
        <v>75</v>
      </c>
      <c r="P1151" s="5" t="s">
        <v>2413</v>
      </c>
      <c r="Q1151" s="2">
        <v>45960</v>
      </c>
      <c r="V1151" s="45">
        <f t="shared" si="17"/>
        <v>1</v>
      </c>
      <c r="W1151" s="45" t="s">
        <v>6203</v>
      </c>
    </row>
    <row r="1152" spans="1:23" hidden="1">
      <c r="A1152" s="2">
        <v>45922</v>
      </c>
      <c r="B1152" s="1" t="s">
        <v>5270</v>
      </c>
      <c r="C1152" s="1" t="s">
        <v>6204</v>
      </c>
      <c r="D1152" s="1" t="s">
        <v>2439</v>
      </c>
      <c r="E1152" s="1">
        <v>85012</v>
      </c>
      <c r="F1152" s="1" t="s">
        <v>6205</v>
      </c>
      <c r="G1152" s="1" t="s">
        <v>6206</v>
      </c>
      <c r="H1152" s="4" t="s">
        <v>406</v>
      </c>
      <c r="I1152" s="5" t="s">
        <v>2412</v>
      </c>
      <c r="J1152" s="5" t="s">
        <v>24</v>
      </c>
      <c r="K1152" s="5" t="s">
        <v>24</v>
      </c>
      <c r="L1152" s="7" t="s">
        <v>6207</v>
      </c>
      <c r="M1152" s="5" t="s">
        <v>24</v>
      </c>
      <c r="N1152" s="5" t="s">
        <v>24</v>
      </c>
      <c r="O1152" s="5" t="s">
        <v>75</v>
      </c>
      <c r="P1152" s="2">
        <v>45940</v>
      </c>
      <c r="Q1152" s="2">
        <v>45960</v>
      </c>
      <c r="R1152" s="1" t="s">
        <v>6208</v>
      </c>
      <c r="V1152" s="45">
        <f t="shared" si="17"/>
        <v>1</v>
      </c>
      <c r="W1152" s="45" t="s">
        <v>6209</v>
      </c>
    </row>
    <row r="1153" spans="1:23" hidden="1">
      <c r="A1153" s="2">
        <v>45922</v>
      </c>
      <c r="B1153" s="1" t="s">
        <v>6210</v>
      </c>
      <c r="C1153" s="1" t="s">
        <v>2584</v>
      </c>
      <c r="D1153" s="1" t="s">
        <v>2405</v>
      </c>
      <c r="E1153" s="1" t="s">
        <v>2405</v>
      </c>
      <c r="F1153" s="1" t="s">
        <v>6211</v>
      </c>
      <c r="G1153" s="1" t="s">
        <v>6206</v>
      </c>
      <c r="H1153" s="4" t="s">
        <v>2401</v>
      </c>
      <c r="V1153" s="45">
        <f t="shared" si="17"/>
        <v>1</v>
      </c>
      <c r="W1153" s="45" t="s">
        <v>6212</v>
      </c>
    </row>
    <row r="1154" spans="1:23" ht="11.45" hidden="1" customHeight="1">
      <c r="A1154" s="2">
        <v>45922</v>
      </c>
      <c r="B1154" s="1" t="s">
        <v>6213</v>
      </c>
      <c r="C1154" s="1" t="s">
        <v>2662</v>
      </c>
      <c r="D1154" s="1" t="s">
        <v>2498</v>
      </c>
      <c r="E1154" s="1">
        <v>85378</v>
      </c>
      <c r="F1154" s="1" t="s">
        <v>6214</v>
      </c>
      <c r="G1154" s="1" t="s">
        <v>6206</v>
      </c>
      <c r="H1154" s="4" t="s">
        <v>2401</v>
      </c>
      <c r="V1154" s="45">
        <f t="shared" ref="V1154:V1217" si="18">IF(OR(ISNUMBER(SEARCH("unable to locate acct",G1154)),ISNUMBER(SEARCH("unknown",G1154)),ISNUMBER(SEARCH("inactive",G1154)),H1154=""),0,1)</f>
        <v>1</v>
      </c>
      <c r="W1154" s="45" t="s">
        <v>6215</v>
      </c>
    </row>
    <row r="1155" spans="1:23" ht="11.45" hidden="1" customHeight="1">
      <c r="A1155" s="2">
        <v>45922</v>
      </c>
      <c r="B1155" s="1" t="s">
        <v>6216</v>
      </c>
      <c r="C1155" s="1" t="s">
        <v>2601</v>
      </c>
      <c r="D1155" s="1" t="s">
        <v>2570</v>
      </c>
      <c r="E1155" s="1">
        <v>85326</v>
      </c>
      <c r="F1155" s="1" t="s">
        <v>2730</v>
      </c>
      <c r="G1155" s="1" t="s">
        <v>6206</v>
      </c>
      <c r="H1155" s="4" t="s">
        <v>1573</v>
      </c>
      <c r="I1155" s="5" t="s">
        <v>2412</v>
      </c>
      <c r="J1155" s="5" t="s">
        <v>24</v>
      </c>
      <c r="K1155" s="5" t="s">
        <v>24</v>
      </c>
      <c r="L1155" s="5" t="s">
        <v>4282</v>
      </c>
      <c r="M1155" s="5" t="s">
        <v>24</v>
      </c>
      <c r="N1155" s="5" t="s">
        <v>24</v>
      </c>
      <c r="O1155" s="5" t="s">
        <v>75</v>
      </c>
      <c r="P1155" s="5" t="s">
        <v>2413</v>
      </c>
      <c r="Q1155" s="2">
        <v>45960</v>
      </c>
      <c r="V1155" s="45">
        <f t="shared" si="18"/>
        <v>1</v>
      </c>
      <c r="W1155" s="45" t="s">
        <v>6217</v>
      </c>
    </row>
    <row r="1156" spans="1:23" ht="11.45" hidden="1" customHeight="1">
      <c r="A1156" s="2">
        <v>45922</v>
      </c>
      <c r="B1156" s="1" t="s">
        <v>6218</v>
      </c>
      <c r="C1156" s="1" t="s">
        <v>6219</v>
      </c>
      <c r="D1156" s="1" t="s">
        <v>2650</v>
      </c>
      <c r="E1156" s="1">
        <v>85340</v>
      </c>
      <c r="F1156" s="1" t="s">
        <v>6220</v>
      </c>
      <c r="G1156" s="1" t="s">
        <v>6206</v>
      </c>
      <c r="H1156" s="4" t="s">
        <v>1575</v>
      </c>
      <c r="I1156" s="5" t="s">
        <v>2412</v>
      </c>
      <c r="J1156" s="5" t="s">
        <v>24</v>
      </c>
      <c r="K1156" s="5" t="s">
        <v>24</v>
      </c>
      <c r="L1156" s="5" t="s">
        <v>4282</v>
      </c>
      <c r="M1156" s="5" t="s">
        <v>24</v>
      </c>
      <c r="N1156" s="5" t="s">
        <v>24</v>
      </c>
      <c r="O1156" s="5" t="s">
        <v>75</v>
      </c>
      <c r="P1156" s="5" t="s">
        <v>2413</v>
      </c>
      <c r="Q1156" s="2">
        <v>45960</v>
      </c>
      <c r="V1156" s="45">
        <f t="shared" si="18"/>
        <v>1</v>
      </c>
      <c r="W1156" s="45" t="s">
        <v>6221</v>
      </c>
    </row>
    <row r="1157" spans="1:23" ht="11.45" hidden="1" customHeight="1">
      <c r="A1157" s="2">
        <v>45922</v>
      </c>
      <c r="B1157" s="1" t="s">
        <v>2683</v>
      </c>
      <c r="C1157" s="1" t="s">
        <v>5788</v>
      </c>
      <c r="D1157" s="1" t="s">
        <v>2605</v>
      </c>
      <c r="E1157" s="1">
        <v>85383</v>
      </c>
      <c r="F1157" s="1" t="s">
        <v>6222</v>
      </c>
      <c r="G1157" s="1" t="s">
        <v>6206</v>
      </c>
      <c r="H1157" s="4" t="s">
        <v>409</v>
      </c>
      <c r="I1157" s="5" t="s">
        <v>2597</v>
      </c>
      <c r="J1157" s="5" t="s">
        <v>24</v>
      </c>
      <c r="K1157" s="5" t="s">
        <v>24</v>
      </c>
      <c r="L1157" s="5" t="s">
        <v>6223</v>
      </c>
      <c r="M1157" s="5" t="s">
        <v>24</v>
      </c>
      <c r="N1157" s="5" t="s">
        <v>24</v>
      </c>
      <c r="O1157" s="5" t="s">
        <v>75</v>
      </c>
      <c r="P1157" s="5" t="s">
        <v>2413</v>
      </c>
      <c r="Q1157" s="2">
        <v>45960</v>
      </c>
      <c r="V1157" s="45">
        <f t="shared" si="18"/>
        <v>1</v>
      </c>
      <c r="W1157" s="45" t="s">
        <v>6224</v>
      </c>
    </row>
    <row r="1158" spans="1:23" ht="11.45" hidden="1" customHeight="1">
      <c r="A1158" s="2">
        <v>45922</v>
      </c>
      <c r="B1158" s="1" t="s">
        <v>6225</v>
      </c>
      <c r="C1158" s="1" t="s">
        <v>6198</v>
      </c>
      <c r="D1158" s="1" t="s">
        <v>2513</v>
      </c>
      <c r="E1158" s="1">
        <v>85254</v>
      </c>
      <c r="F1158" s="1" t="s">
        <v>2730</v>
      </c>
      <c r="G1158" s="1" t="s">
        <v>6206</v>
      </c>
      <c r="H1158" s="4" t="s">
        <v>412</v>
      </c>
      <c r="I1158" s="5" t="s">
        <v>2597</v>
      </c>
      <c r="J1158" s="5" t="s">
        <v>24</v>
      </c>
      <c r="K1158" s="5" t="s">
        <v>24</v>
      </c>
      <c r="L1158" s="5" t="s">
        <v>6226</v>
      </c>
      <c r="M1158" s="5" t="s">
        <v>24</v>
      </c>
      <c r="N1158" s="5" t="s">
        <v>24</v>
      </c>
      <c r="O1158" s="5" t="s">
        <v>75</v>
      </c>
      <c r="P1158" s="5" t="s">
        <v>2413</v>
      </c>
      <c r="Q1158" s="2">
        <v>45960</v>
      </c>
      <c r="V1158" s="45">
        <f t="shared" si="18"/>
        <v>1</v>
      </c>
      <c r="W1158" s="45" t="s">
        <v>6227</v>
      </c>
    </row>
    <row r="1159" spans="1:23" ht="11.45" hidden="1" customHeight="1">
      <c r="A1159" s="2">
        <v>45922</v>
      </c>
      <c r="B1159" s="1" t="s">
        <v>6228</v>
      </c>
      <c r="C1159" s="1" t="s">
        <v>4933</v>
      </c>
      <c r="D1159" s="1" t="s">
        <v>2570</v>
      </c>
      <c r="E1159" s="1">
        <v>85326</v>
      </c>
      <c r="F1159" s="1" t="s">
        <v>6229</v>
      </c>
      <c r="G1159" s="1" t="s">
        <v>6206</v>
      </c>
      <c r="H1159" s="4" t="s">
        <v>51</v>
      </c>
      <c r="I1159" s="5" t="s">
        <v>2420</v>
      </c>
      <c r="J1159" s="5" t="s">
        <v>24</v>
      </c>
      <c r="K1159" s="5" t="s">
        <v>24</v>
      </c>
      <c r="L1159" s="7" t="s">
        <v>6230</v>
      </c>
      <c r="M1159" s="5" t="s">
        <v>75</v>
      </c>
      <c r="N1159" s="15">
        <v>333.26</v>
      </c>
      <c r="O1159" s="5" t="s">
        <v>75</v>
      </c>
      <c r="P1159" s="29">
        <v>45940</v>
      </c>
      <c r="Q1159" s="2">
        <v>45960</v>
      </c>
      <c r="R1159" s="1" t="s">
        <v>6061</v>
      </c>
      <c r="V1159" s="45">
        <f t="shared" si="18"/>
        <v>1</v>
      </c>
      <c r="W1159" s="45" t="s">
        <v>6231</v>
      </c>
    </row>
    <row r="1160" spans="1:23" ht="11.45" hidden="1" customHeight="1">
      <c r="A1160" s="2">
        <v>45922</v>
      </c>
      <c r="B1160" s="1" t="s">
        <v>6232</v>
      </c>
      <c r="C1160" s="1" t="s">
        <v>3900</v>
      </c>
      <c r="D1160" s="1" t="s">
        <v>4892</v>
      </c>
      <c r="E1160" s="1">
        <v>86327</v>
      </c>
      <c r="F1160" s="1" t="s">
        <v>6233</v>
      </c>
      <c r="G1160" s="1" t="s">
        <v>6206</v>
      </c>
      <c r="H1160" s="4" t="s">
        <v>1577</v>
      </c>
      <c r="I1160" s="5" t="s">
        <v>2420</v>
      </c>
      <c r="J1160" s="5" t="s">
        <v>24</v>
      </c>
      <c r="K1160" s="5" t="s">
        <v>24</v>
      </c>
      <c r="L1160" s="5" t="s">
        <v>4282</v>
      </c>
      <c r="M1160" s="5" t="s">
        <v>24</v>
      </c>
      <c r="N1160" s="5" t="s">
        <v>24</v>
      </c>
      <c r="O1160" s="5" t="s">
        <v>75</v>
      </c>
      <c r="P1160" s="5" t="s">
        <v>2413</v>
      </c>
      <c r="Q1160" s="2">
        <v>45960</v>
      </c>
      <c r="V1160" s="45">
        <f t="shared" si="18"/>
        <v>1</v>
      </c>
      <c r="W1160" s="45" t="s">
        <v>6234</v>
      </c>
    </row>
    <row r="1161" spans="1:23" ht="11.45" hidden="1" customHeight="1">
      <c r="A1161" s="2">
        <v>45922</v>
      </c>
      <c r="B1161" s="1" t="s">
        <v>6235</v>
      </c>
      <c r="C1161" s="1" t="s">
        <v>3254</v>
      </c>
      <c r="D1161" s="1" t="s">
        <v>2862</v>
      </c>
      <c r="E1161" s="1">
        <v>85335</v>
      </c>
      <c r="F1161" s="1" t="s">
        <v>6236</v>
      </c>
      <c r="G1161" s="1" t="s">
        <v>6206</v>
      </c>
      <c r="H1161" s="4" t="s">
        <v>2471</v>
      </c>
      <c r="V1161" s="45">
        <f t="shared" si="18"/>
        <v>1</v>
      </c>
      <c r="W1161" s="45" t="s">
        <v>6237</v>
      </c>
    </row>
    <row r="1162" spans="1:23" ht="11.45" hidden="1" customHeight="1">
      <c r="A1162" s="2">
        <v>45922</v>
      </c>
      <c r="B1162" s="1" t="s">
        <v>6238</v>
      </c>
      <c r="C1162" s="1" t="s">
        <v>6239</v>
      </c>
      <c r="D1162" s="1" t="s">
        <v>2498</v>
      </c>
      <c r="E1162" s="1">
        <v>85379</v>
      </c>
      <c r="F1162" s="1" t="s">
        <v>6240</v>
      </c>
      <c r="G1162" s="1" t="s">
        <v>6206</v>
      </c>
      <c r="H1162" s="4" t="s">
        <v>657</v>
      </c>
      <c r="I1162" s="5" t="s">
        <v>2659</v>
      </c>
      <c r="J1162" s="5" t="s">
        <v>24</v>
      </c>
      <c r="K1162" s="5" t="s">
        <v>24</v>
      </c>
      <c r="L1162" s="5" t="s">
        <v>75</v>
      </c>
      <c r="M1162" s="5" t="s">
        <v>75</v>
      </c>
      <c r="N1162" s="13">
        <v>309.36</v>
      </c>
      <c r="O1162" s="5" t="s">
        <v>75</v>
      </c>
      <c r="P1162" s="5" t="s">
        <v>2413</v>
      </c>
      <c r="Q1162" s="2">
        <v>45960</v>
      </c>
      <c r="V1162" s="45">
        <f t="shared" si="18"/>
        <v>1</v>
      </c>
      <c r="W1162" s="45" t="s">
        <v>6241</v>
      </c>
    </row>
    <row r="1163" spans="1:23" ht="11.45" hidden="1" customHeight="1">
      <c r="A1163" s="2">
        <v>45922</v>
      </c>
      <c r="B1163" s="1" t="s">
        <v>5464</v>
      </c>
      <c r="C1163" s="1" t="s">
        <v>20</v>
      </c>
      <c r="D1163" s="1" t="s">
        <v>3303</v>
      </c>
      <c r="E1163" s="1">
        <v>86303</v>
      </c>
      <c r="F1163" s="1" t="s">
        <v>6242</v>
      </c>
      <c r="G1163" s="1" t="s">
        <v>6206</v>
      </c>
      <c r="H1163" s="4" t="s">
        <v>1579</v>
      </c>
      <c r="I1163" s="5" t="s">
        <v>2451</v>
      </c>
      <c r="J1163" s="5" t="s">
        <v>24</v>
      </c>
      <c r="K1163" s="5" t="s">
        <v>24</v>
      </c>
      <c r="L1163" s="5" t="s">
        <v>75</v>
      </c>
      <c r="M1163" s="5" t="s">
        <v>24</v>
      </c>
      <c r="N1163" s="5" t="s">
        <v>24</v>
      </c>
      <c r="O1163" s="5" t="s">
        <v>75</v>
      </c>
      <c r="P1163" s="5" t="s">
        <v>2413</v>
      </c>
      <c r="Q1163" s="2">
        <v>45960</v>
      </c>
      <c r="V1163" s="45">
        <f t="shared" si="18"/>
        <v>1</v>
      </c>
      <c r="W1163" s="45" t="s">
        <v>6243</v>
      </c>
    </row>
    <row r="1164" spans="1:23" ht="11.45" hidden="1" customHeight="1">
      <c r="A1164" s="2">
        <v>45922</v>
      </c>
      <c r="B1164" s="1" t="s">
        <v>6244</v>
      </c>
      <c r="C1164" s="1" t="s">
        <v>3951</v>
      </c>
      <c r="D1164" s="1" t="s">
        <v>2570</v>
      </c>
      <c r="E1164" s="1">
        <v>85326</v>
      </c>
      <c r="F1164" s="1" t="s">
        <v>6245</v>
      </c>
      <c r="G1164" s="1" t="s">
        <v>6206</v>
      </c>
      <c r="H1164" s="4" t="s">
        <v>660</v>
      </c>
      <c r="I1164" s="5" t="s">
        <v>2412</v>
      </c>
      <c r="J1164" s="5" t="s">
        <v>24</v>
      </c>
      <c r="K1164" s="5" t="s">
        <v>24</v>
      </c>
      <c r="L1164" s="5" t="s">
        <v>75</v>
      </c>
      <c r="M1164" s="5" t="s">
        <v>75</v>
      </c>
      <c r="N1164" s="15">
        <v>1027.99</v>
      </c>
      <c r="O1164" s="5" t="s">
        <v>75</v>
      </c>
      <c r="P1164" s="7"/>
      <c r="Q1164" s="2">
        <v>45960</v>
      </c>
      <c r="R1164" s="1" t="s">
        <v>2938</v>
      </c>
      <c r="V1164" s="45">
        <f t="shared" si="18"/>
        <v>1</v>
      </c>
      <c r="W1164" s="45" t="s">
        <v>6246</v>
      </c>
    </row>
    <row r="1165" spans="1:23" ht="11.45" hidden="1" customHeight="1">
      <c r="A1165" s="2">
        <v>45922</v>
      </c>
      <c r="B1165" s="1" t="s">
        <v>2794</v>
      </c>
      <c r="C1165" s="1" t="s">
        <v>2667</v>
      </c>
      <c r="D1165" s="1" t="s">
        <v>2570</v>
      </c>
      <c r="E1165" s="1">
        <v>85326</v>
      </c>
      <c r="F1165" s="1" t="s">
        <v>6247</v>
      </c>
      <c r="G1165" s="1" t="s">
        <v>6206</v>
      </c>
      <c r="H1165" s="4" t="s">
        <v>2401</v>
      </c>
      <c r="V1165" s="45">
        <f t="shared" si="18"/>
        <v>1</v>
      </c>
      <c r="W1165" s="45" t="s">
        <v>6248</v>
      </c>
    </row>
    <row r="1166" spans="1:23" ht="11.45" hidden="1" customHeight="1">
      <c r="A1166" s="2">
        <v>45922</v>
      </c>
      <c r="B1166" s="1" t="s">
        <v>6249</v>
      </c>
      <c r="C1166" s="1" t="s">
        <v>3078</v>
      </c>
      <c r="D1166" s="1" t="s">
        <v>2570</v>
      </c>
      <c r="E1166" s="1">
        <v>85326</v>
      </c>
      <c r="F1166" s="1" t="s">
        <v>6250</v>
      </c>
      <c r="G1166" s="1" t="s">
        <v>6206</v>
      </c>
      <c r="H1166" s="4" t="s">
        <v>2401</v>
      </c>
      <c r="V1166" s="45">
        <f t="shared" si="18"/>
        <v>1</v>
      </c>
      <c r="W1166" s="45" t="s">
        <v>6251</v>
      </c>
    </row>
    <row r="1167" spans="1:23" ht="11.45" hidden="1" customHeight="1">
      <c r="A1167" s="2">
        <v>45922</v>
      </c>
      <c r="B1167" s="1" t="s">
        <v>6252</v>
      </c>
      <c r="C1167" s="1" t="s">
        <v>6253</v>
      </c>
      <c r="D1167" s="1" t="s">
        <v>2498</v>
      </c>
      <c r="E1167" s="1">
        <v>85387</v>
      </c>
      <c r="F1167" s="1" t="s">
        <v>6254</v>
      </c>
      <c r="G1167" s="1" t="s">
        <v>6206</v>
      </c>
      <c r="H1167" s="4" t="s">
        <v>1581</v>
      </c>
      <c r="I1167" s="5" t="s">
        <v>2412</v>
      </c>
      <c r="J1167" s="5" t="s">
        <v>24</v>
      </c>
      <c r="K1167" s="5" t="s">
        <v>24</v>
      </c>
      <c r="L1167" s="5" t="s">
        <v>75</v>
      </c>
      <c r="M1167" s="5" t="s">
        <v>24</v>
      </c>
      <c r="N1167" s="5" t="s">
        <v>24</v>
      </c>
      <c r="O1167" s="5" t="s">
        <v>75</v>
      </c>
      <c r="P1167" s="5" t="s">
        <v>2413</v>
      </c>
      <c r="Q1167" s="2">
        <v>45960</v>
      </c>
      <c r="V1167" s="45">
        <f t="shared" si="18"/>
        <v>1</v>
      </c>
      <c r="W1167" s="45" t="s">
        <v>6255</v>
      </c>
    </row>
    <row r="1168" spans="1:23" ht="11.45" hidden="1" customHeight="1">
      <c r="A1168" s="2">
        <v>45922</v>
      </c>
      <c r="B1168" s="1" t="s">
        <v>6256</v>
      </c>
      <c r="C1168" s="1" t="s">
        <v>4899</v>
      </c>
      <c r="D1168" s="1" t="s">
        <v>3166</v>
      </c>
      <c r="E1168" s="1">
        <v>85375</v>
      </c>
      <c r="F1168" s="1" t="s">
        <v>6257</v>
      </c>
      <c r="G1168" s="1" t="s">
        <v>6258</v>
      </c>
      <c r="H1168" s="4" t="s">
        <v>2401</v>
      </c>
      <c r="V1168" s="45">
        <f t="shared" si="18"/>
        <v>1</v>
      </c>
      <c r="W1168" s="45" t="s">
        <v>6259</v>
      </c>
    </row>
    <row r="1169" spans="1:23" ht="11.45" hidden="1" customHeight="1">
      <c r="A1169" s="2">
        <v>45922</v>
      </c>
      <c r="B1169" s="1" t="s">
        <v>6260</v>
      </c>
      <c r="C1169" s="1" t="s">
        <v>6261</v>
      </c>
      <c r="D1169" s="1" t="s">
        <v>2570</v>
      </c>
      <c r="E1169" s="1">
        <v>85326</v>
      </c>
      <c r="F1169" s="1" t="s">
        <v>6254</v>
      </c>
      <c r="G1169" s="1" t="s">
        <v>6258</v>
      </c>
      <c r="H1169" s="4" t="s">
        <v>662</v>
      </c>
      <c r="I1169" s="5" t="s">
        <v>2412</v>
      </c>
      <c r="J1169" s="5" t="s">
        <v>75</v>
      </c>
      <c r="K1169" s="5" t="s">
        <v>24</v>
      </c>
      <c r="L1169" s="5" t="s">
        <v>75</v>
      </c>
      <c r="M1169" s="5" t="s">
        <v>75</v>
      </c>
      <c r="N1169" s="15">
        <v>771.64</v>
      </c>
      <c r="O1169" s="5" t="s">
        <v>75</v>
      </c>
      <c r="P1169" s="7"/>
      <c r="Q1169" s="2">
        <v>45960</v>
      </c>
      <c r="R1169" s="1" t="s">
        <v>2938</v>
      </c>
      <c r="V1169" s="45">
        <f t="shared" si="18"/>
        <v>1</v>
      </c>
      <c r="W1169" s="45" t="s">
        <v>6262</v>
      </c>
    </row>
    <row r="1170" spans="1:23" ht="11.45" hidden="1" customHeight="1">
      <c r="A1170" s="2">
        <v>45922</v>
      </c>
      <c r="B1170" s="1" t="s">
        <v>6263</v>
      </c>
      <c r="C1170" s="1" t="s">
        <v>6264</v>
      </c>
      <c r="D1170" s="1" t="s">
        <v>2439</v>
      </c>
      <c r="E1170" s="1">
        <v>85022</v>
      </c>
      <c r="F1170" s="1" t="s">
        <v>6265</v>
      </c>
      <c r="G1170" s="1" t="s">
        <v>6266</v>
      </c>
      <c r="H1170" s="4" t="s">
        <v>1583</v>
      </c>
      <c r="I1170" s="5" t="s">
        <v>2514</v>
      </c>
      <c r="J1170" s="5" t="s">
        <v>75</v>
      </c>
      <c r="K1170" s="5" t="s">
        <v>24</v>
      </c>
      <c r="L1170" s="5" t="s">
        <v>75</v>
      </c>
      <c r="M1170" s="5" t="s">
        <v>24</v>
      </c>
      <c r="N1170" s="5" t="s">
        <v>24</v>
      </c>
      <c r="O1170" s="5" t="s">
        <v>75</v>
      </c>
      <c r="P1170" s="5" t="s">
        <v>2413</v>
      </c>
      <c r="Q1170" s="2">
        <v>45960</v>
      </c>
      <c r="V1170" s="45">
        <f t="shared" si="18"/>
        <v>1</v>
      </c>
      <c r="W1170" s="45" t="s">
        <v>6267</v>
      </c>
    </row>
    <row r="1171" spans="1:23" ht="11.45" hidden="1" customHeight="1">
      <c r="A1171" s="2">
        <v>45923</v>
      </c>
      <c r="B1171" s="1" t="s">
        <v>6268</v>
      </c>
      <c r="C1171" s="1" t="s">
        <v>6269</v>
      </c>
      <c r="D1171" s="1" t="s">
        <v>2570</v>
      </c>
      <c r="E1171" s="1">
        <v>85326</v>
      </c>
      <c r="F1171" s="1" t="s">
        <v>6270</v>
      </c>
      <c r="G1171" s="1" t="s">
        <v>6258</v>
      </c>
      <c r="H1171" s="4" t="s">
        <v>415</v>
      </c>
      <c r="I1171" s="5" t="s">
        <v>2597</v>
      </c>
      <c r="J1171" s="5" t="s">
        <v>24</v>
      </c>
      <c r="K1171" s="5" t="s">
        <v>24</v>
      </c>
      <c r="L1171" s="7" t="s">
        <v>6271</v>
      </c>
      <c r="M1171" s="5" t="s">
        <v>24</v>
      </c>
      <c r="N1171" s="5" t="s">
        <v>24</v>
      </c>
      <c r="O1171" s="5" t="s">
        <v>75</v>
      </c>
      <c r="P1171" s="2">
        <v>45940</v>
      </c>
      <c r="Q1171" s="2">
        <v>45960</v>
      </c>
      <c r="R1171" s="1" t="s">
        <v>6272</v>
      </c>
      <c r="V1171" s="45">
        <f t="shared" si="18"/>
        <v>1</v>
      </c>
      <c r="W1171" s="45" t="s">
        <v>6273</v>
      </c>
    </row>
    <row r="1172" spans="1:23" ht="11.45" hidden="1" customHeight="1">
      <c r="A1172" s="2">
        <v>45923</v>
      </c>
      <c r="B1172" s="1" t="s">
        <v>6274</v>
      </c>
      <c r="C1172" s="1" t="s">
        <v>2699</v>
      </c>
      <c r="D1172" s="1" t="s">
        <v>2570</v>
      </c>
      <c r="E1172" s="1">
        <v>85326</v>
      </c>
      <c r="F1172" s="1" t="s">
        <v>6275</v>
      </c>
      <c r="G1172" s="1" t="s">
        <v>6258</v>
      </c>
      <c r="H1172" s="4" t="s">
        <v>1585</v>
      </c>
      <c r="I1172" s="5" t="s">
        <v>2420</v>
      </c>
      <c r="J1172" s="5" t="s">
        <v>24</v>
      </c>
      <c r="K1172" s="5" t="s">
        <v>24</v>
      </c>
      <c r="L1172" s="5" t="s">
        <v>75</v>
      </c>
      <c r="M1172" s="5" t="s">
        <v>24</v>
      </c>
      <c r="N1172" s="5" t="s">
        <v>24</v>
      </c>
      <c r="O1172" s="5" t="s">
        <v>75</v>
      </c>
      <c r="P1172" s="5" t="s">
        <v>2413</v>
      </c>
      <c r="Q1172" s="2">
        <v>45960</v>
      </c>
      <c r="V1172" s="45">
        <f t="shared" si="18"/>
        <v>1</v>
      </c>
      <c r="W1172" s="45" t="s">
        <v>6276</v>
      </c>
    </row>
    <row r="1173" spans="1:23" ht="11.45" hidden="1" customHeight="1">
      <c r="A1173" s="2">
        <v>45923</v>
      </c>
      <c r="B1173" s="1" t="s">
        <v>6277</v>
      </c>
      <c r="C1173" s="1" t="s">
        <v>4347</v>
      </c>
      <c r="D1173" s="1" t="s">
        <v>2564</v>
      </c>
      <c r="E1173" s="1">
        <v>85338</v>
      </c>
      <c r="F1173" s="1" t="s">
        <v>6278</v>
      </c>
      <c r="G1173" s="1" t="s">
        <v>6258</v>
      </c>
      <c r="H1173" s="4" t="s">
        <v>2401</v>
      </c>
      <c r="V1173" s="45">
        <f t="shared" si="18"/>
        <v>1</v>
      </c>
      <c r="W1173" s="45" t="s">
        <v>6279</v>
      </c>
    </row>
    <row r="1174" spans="1:23" ht="11.45" hidden="1" customHeight="1">
      <c r="A1174" s="2">
        <v>45923</v>
      </c>
      <c r="B1174" s="1" t="s">
        <v>6280</v>
      </c>
      <c r="C1174" s="1" t="s">
        <v>6281</v>
      </c>
      <c r="D1174" s="1" t="s">
        <v>2439</v>
      </c>
      <c r="E1174" s="1">
        <v>85022</v>
      </c>
      <c r="F1174" s="1" t="s">
        <v>6282</v>
      </c>
      <c r="G1174" s="1" t="s">
        <v>6258</v>
      </c>
      <c r="H1174" s="21" t="s">
        <v>6283</v>
      </c>
      <c r="I1174" s="5" t="s">
        <v>2412</v>
      </c>
      <c r="J1174" s="5" t="s">
        <v>24</v>
      </c>
      <c r="K1174" s="5" t="s">
        <v>24</v>
      </c>
      <c r="L1174" s="5" t="s">
        <v>75</v>
      </c>
      <c r="M1174" s="5" t="s">
        <v>75</v>
      </c>
      <c r="N1174" s="15">
        <v>1080.4000000000001</v>
      </c>
      <c r="O1174" s="5" t="s">
        <v>75</v>
      </c>
      <c r="Q1174" s="2">
        <v>45960</v>
      </c>
      <c r="R1174" s="1" t="s">
        <v>2938</v>
      </c>
      <c r="V1174" s="45">
        <f t="shared" si="18"/>
        <v>1</v>
      </c>
      <c r="W1174" s="45" t="s">
        <v>6284</v>
      </c>
    </row>
    <row r="1175" spans="1:23" ht="11.45" hidden="1" customHeight="1">
      <c r="A1175" s="2">
        <v>45923</v>
      </c>
      <c r="B1175" s="1" t="s">
        <v>6285</v>
      </c>
      <c r="C1175" s="1" t="s">
        <v>6286</v>
      </c>
      <c r="D1175" s="1" t="s">
        <v>2862</v>
      </c>
      <c r="E1175" s="1">
        <v>85335</v>
      </c>
      <c r="F1175" s="1" t="s">
        <v>6287</v>
      </c>
      <c r="G1175" s="1" t="s">
        <v>6288</v>
      </c>
      <c r="H1175" s="4" t="s">
        <v>2401</v>
      </c>
      <c r="V1175" s="45">
        <f t="shared" si="18"/>
        <v>1</v>
      </c>
      <c r="W1175" s="45" t="s">
        <v>6289</v>
      </c>
    </row>
    <row r="1176" spans="1:23" ht="11.45" hidden="1" customHeight="1">
      <c r="A1176" s="2">
        <v>45923</v>
      </c>
      <c r="B1176" s="1" t="s">
        <v>3447</v>
      </c>
      <c r="C1176" s="1" t="s">
        <v>2677</v>
      </c>
      <c r="D1176" s="1" t="s">
        <v>2650</v>
      </c>
      <c r="E1176" s="1">
        <v>85340</v>
      </c>
      <c r="F1176" s="1" t="s">
        <v>6290</v>
      </c>
      <c r="G1176" s="1" t="s">
        <v>6258</v>
      </c>
      <c r="H1176" s="4" t="s">
        <v>1587</v>
      </c>
      <c r="I1176" s="5" t="s">
        <v>2412</v>
      </c>
      <c r="J1176" s="5" t="s">
        <v>24</v>
      </c>
      <c r="K1176" s="5" t="s">
        <v>24</v>
      </c>
      <c r="L1176" s="5" t="s">
        <v>75</v>
      </c>
      <c r="M1176" s="5" t="s">
        <v>24</v>
      </c>
      <c r="N1176" s="5" t="s">
        <v>24</v>
      </c>
      <c r="O1176" s="5" t="s">
        <v>75</v>
      </c>
      <c r="P1176" s="5" t="s">
        <v>2413</v>
      </c>
      <c r="Q1176" s="2">
        <v>45960</v>
      </c>
      <c r="V1176" s="45">
        <f t="shared" si="18"/>
        <v>1</v>
      </c>
      <c r="W1176" s="45" t="s">
        <v>6291</v>
      </c>
    </row>
    <row r="1177" spans="1:23" ht="11.45" hidden="1" customHeight="1">
      <c r="A1177" s="2">
        <v>45924</v>
      </c>
      <c r="B1177" s="1" t="s">
        <v>6163</v>
      </c>
      <c r="C1177" s="1" t="s">
        <v>6164</v>
      </c>
      <c r="D1177" s="1" t="s">
        <v>2439</v>
      </c>
      <c r="E1177" s="1">
        <v>85013</v>
      </c>
      <c r="F1177" s="1" t="s">
        <v>6292</v>
      </c>
      <c r="G1177" s="1" t="s">
        <v>6293</v>
      </c>
      <c r="H1177" s="4" t="s">
        <v>1565</v>
      </c>
      <c r="I1177" s="5" t="s">
        <v>2412</v>
      </c>
      <c r="J1177" s="5" t="s">
        <v>24</v>
      </c>
      <c r="K1177" s="5" t="s">
        <v>24</v>
      </c>
      <c r="L1177" s="5" t="s">
        <v>75</v>
      </c>
      <c r="M1177" s="5" t="s">
        <v>24</v>
      </c>
      <c r="N1177" s="5" t="s">
        <v>24</v>
      </c>
      <c r="O1177" s="5" t="s">
        <v>75</v>
      </c>
      <c r="P1177" s="5" t="s">
        <v>2413</v>
      </c>
      <c r="Q1177" s="2">
        <v>45960</v>
      </c>
      <c r="R1177" s="1" t="s">
        <v>5395</v>
      </c>
      <c r="V1177" s="45">
        <f t="shared" si="18"/>
        <v>1</v>
      </c>
      <c r="W1177" s="45" t="s">
        <v>6294</v>
      </c>
    </row>
    <row r="1178" spans="1:23" ht="11.45" hidden="1" customHeight="1">
      <c r="A1178" s="2">
        <v>44098</v>
      </c>
      <c r="B1178" s="1" t="s">
        <v>6295</v>
      </c>
      <c r="C1178" s="1" t="s">
        <v>6296</v>
      </c>
      <c r="D1178" s="1" t="s">
        <v>6297</v>
      </c>
      <c r="E1178" s="1">
        <v>86322</v>
      </c>
      <c r="F1178" s="1" t="s">
        <v>6298</v>
      </c>
      <c r="G1178" s="1" t="s">
        <v>6293</v>
      </c>
      <c r="H1178" s="21" t="s">
        <v>6299</v>
      </c>
      <c r="I1178" s="5" t="s">
        <v>2432</v>
      </c>
      <c r="J1178" s="5" t="s">
        <v>24</v>
      </c>
      <c r="K1178" s="5" t="s">
        <v>24</v>
      </c>
      <c r="L1178" s="7" t="s">
        <v>6300</v>
      </c>
      <c r="M1178" s="5" t="s">
        <v>24</v>
      </c>
      <c r="N1178" s="5" t="s">
        <v>24</v>
      </c>
      <c r="O1178" s="5" t="s">
        <v>75</v>
      </c>
      <c r="P1178" s="2">
        <v>45940</v>
      </c>
      <c r="Q1178" s="2">
        <v>45960</v>
      </c>
      <c r="R1178" s="1" t="s">
        <v>6061</v>
      </c>
      <c r="V1178" s="45">
        <f t="shared" si="18"/>
        <v>1</v>
      </c>
      <c r="W1178" s="45" t="s">
        <v>6301</v>
      </c>
    </row>
    <row r="1179" spans="1:23" ht="11.45" hidden="1" customHeight="1">
      <c r="A1179" s="2">
        <v>45924</v>
      </c>
      <c r="B1179" s="1" t="s">
        <v>6302</v>
      </c>
      <c r="C1179" s="1" t="s">
        <v>5918</v>
      </c>
      <c r="D1179" s="1" t="s">
        <v>2498</v>
      </c>
      <c r="E1179" s="1">
        <v>85387</v>
      </c>
      <c r="F1179" s="1" t="s">
        <v>6303</v>
      </c>
      <c r="G1179" s="1" t="s">
        <v>6293</v>
      </c>
      <c r="H1179" s="4" t="s">
        <v>2613</v>
      </c>
      <c r="V1179" s="45">
        <f t="shared" si="18"/>
        <v>1</v>
      </c>
      <c r="W1179" s="45" t="s">
        <v>6304</v>
      </c>
    </row>
    <row r="1180" spans="1:23" ht="11.45" hidden="1" customHeight="1">
      <c r="A1180" s="2">
        <v>45925</v>
      </c>
      <c r="B1180" s="1" t="s">
        <v>6305</v>
      </c>
      <c r="C1180" s="1" t="s">
        <v>2527</v>
      </c>
      <c r="D1180" s="1" t="s">
        <v>2678</v>
      </c>
      <c r="E1180" s="1">
        <v>85541</v>
      </c>
      <c r="F1180" s="1" t="s">
        <v>6306</v>
      </c>
      <c r="G1180" s="1" t="s">
        <v>6293</v>
      </c>
      <c r="H1180" s="4" t="s">
        <v>1590</v>
      </c>
      <c r="I1180" s="5" t="s">
        <v>2451</v>
      </c>
      <c r="J1180" s="5" t="s">
        <v>24</v>
      </c>
      <c r="K1180" s="5" t="s">
        <v>24</v>
      </c>
      <c r="L1180" s="5" t="s">
        <v>75</v>
      </c>
      <c r="M1180" s="5" t="s">
        <v>24</v>
      </c>
      <c r="N1180" s="5" t="s">
        <v>24</v>
      </c>
      <c r="O1180" s="5" t="s">
        <v>75</v>
      </c>
      <c r="P1180" s="5" t="s">
        <v>2413</v>
      </c>
      <c r="Q1180" s="2">
        <v>45960</v>
      </c>
      <c r="V1180" s="45">
        <f t="shared" si="18"/>
        <v>1</v>
      </c>
      <c r="W1180" s="45" t="s">
        <v>6307</v>
      </c>
    </row>
    <row r="1181" spans="1:23" ht="11.45" hidden="1" customHeight="1">
      <c r="A1181" s="2">
        <v>45925</v>
      </c>
      <c r="B1181" s="1" t="s">
        <v>6308</v>
      </c>
      <c r="C1181" s="1" t="s">
        <v>2538</v>
      </c>
      <c r="D1181" s="1" t="s">
        <v>2439</v>
      </c>
      <c r="E1181" s="1">
        <v>85032</v>
      </c>
      <c r="F1181" s="1" t="s">
        <v>6309</v>
      </c>
      <c r="G1181" s="1" t="s">
        <v>6293</v>
      </c>
      <c r="H1181" s="4" t="s">
        <v>1592</v>
      </c>
      <c r="I1181" s="5" t="s">
        <v>4414</v>
      </c>
      <c r="J1181" s="5" t="s">
        <v>24</v>
      </c>
      <c r="K1181" s="5" t="s">
        <v>24</v>
      </c>
      <c r="L1181" s="5" t="s">
        <v>75</v>
      </c>
      <c r="M1181" s="5" t="s">
        <v>24</v>
      </c>
      <c r="N1181" s="5" t="s">
        <v>24</v>
      </c>
      <c r="O1181" s="5" t="s">
        <v>75</v>
      </c>
      <c r="P1181" s="5" t="s">
        <v>2413</v>
      </c>
      <c r="Q1181" s="2">
        <v>45960</v>
      </c>
      <c r="R1181" s="30" t="s">
        <v>6310</v>
      </c>
      <c r="V1181" s="45">
        <f t="shared" si="18"/>
        <v>1</v>
      </c>
      <c r="W1181" s="45" t="s">
        <v>6311</v>
      </c>
    </row>
    <row r="1182" spans="1:23" ht="11.45" hidden="1" customHeight="1">
      <c r="A1182" s="2">
        <v>45925</v>
      </c>
      <c r="B1182" s="1" t="s">
        <v>6312</v>
      </c>
      <c r="C1182" s="1" t="s">
        <v>3050</v>
      </c>
      <c r="D1182" s="1" t="s">
        <v>3303</v>
      </c>
      <c r="E1182" s="1">
        <v>86301</v>
      </c>
      <c r="F1182" s="1" t="s">
        <v>6313</v>
      </c>
      <c r="G1182" s="1" t="s">
        <v>6293</v>
      </c>
      <c r="H1182" s="21" t="s">
        <v>6314</v>
      </c>
      <c r="I1182" s="5" t="s">
        <v>2420</v>
      </c>
      <c r="J1182" s="5" t="s">
        <v>24</v>
      </c>
      <c r="K1182" s="5" t="s">
        <v>24</v>
      </c>
      <c r="L1182" s="5" t="s">
        <v>75</v>
      </c>
      <c r="M1182" s="5" t="s">
        <v>24</v>
      </c>
      <c r="N1182" s="5" t="s">
        <v>24</v>
      </c>
      <c r="O1182" s="5" t="s">
        <v>75</v>
      </c>
      <c r="P1182" s="5" t="s">
        <v>2413</v>
      </c>
      <c r="Q1182" s="2">
        <v>45960</v>
      </c>
      <c r="V1182" s="45">
        <f t="shared" si="18"/>
        <v>1</v>
      </c>
      <c r="W1182" s="45" t="s">
        <v>6315</v>
      </c>
    </row>
    <row r="1183" spans="1:23" ht="11.45" hidden="1" customHeight="1">
      <c r="A1183" s="2">
        <v>45926</v>
      </c>
      <c r="B1183" s="1" t="s">
        <v>6316</v>
      </c>
      <c r="C1183" s="1" t="s">
        <v>2875</v>
      </c>
      <c r="D1183" s="1" t="s">
        <v>2465</v>
      </c>
      <c r="E1183" s="1">
        <v>86323</v>
      </c>
      <c r="F1183" s="1" t="s">
        <v>6317</v>
      </c>
      <c r="G1183" s="1" t="s">
        <v>6318</v>
      </c>
      <c r="H1183" s="21" t="s">
        <v>1594</v>
      </c>
      <c r="I1183" s="5" t="s">
        <v>2514</v>
      </c>
      <c r="J1183" s="5" t="s">
        <v>24</v>
      </c>
      <c r="K1183" s="5" t="s">
        <v>24</v>
      </c>
      <c r="L1183" s="5" t="s">
        <v>75</v>
      </c>
      <c r="M1183" s="5" t="s">
        <v>24</v>
      </c>
      <c r="N1183" s="5" t="s">
        <v>24</v>
      </c>
      <c r="O1183" s="5" t="s">
        <v>75</v>
      </c>
      <c r="P1183" s="5" t="s">
        <v>2413</v>
      </c>
      <c r="Q1183" s="2">
        <v>45960</v>
      </c>
      <c r="V1183" s="45">
        <f t="shared" si="18"/>
        <v>1</v>
      </c>
      <c r="W1183" s="45" t="s">
        <v>6319</v>
      </c>
    </row>
    <row r="1184" spans="1:23" ht="11.45" hidden="1" customHeight="1">
      <c r="A1184" s="2">
        <v>45926</v>
      </c>
      <c r="B1184" s="1" t="s">
        <v>2656</v>
      </c>
      <c r="C1184" s="1" t="s">
        <v>6320</v>
      </c>
      <c r="D1184" s="1" t="s">
        <v>2475</v>
      </c>
      <c r="E1184" s="1">
        <v>85351</v>
      </c>
      <c r="F1184" s="1" t="s">
        <v>6321</v>
      </c>
      <c r="G1184" s="1" t="s">
        <v>6322</v>
      </c>
      <c r="H1184" s="4" t="s">
        <v>2401</v>
      </c>
      <c r="V1184" s="45">
        <f t="shared" si="18"/>
        <v>1</v>
      </c>
      <c r="W1184" s="45" t="s">
        <v>6323</v>
      </c>
    </row>
    <row r="1185" spans="1:23" ht="11.45" hidden="1" customHeight="1">
      <c r="A1185" s="2">
        <v>45926</v>
      </c>
      <c r="B1185" s="1" t="s">
        <v>6324</v>
      </c>
      <c r="C1185" s="1" t="s">
        <v>4499</v>
      </c>
      <c r="D1185" s="1" t="s">
        <v>2650</v>
      </c>
      <c r="E1185" s="1">
        <v>85340</v>
      </c>
      <c r="F1185" s="1" t="s">
        <v>6325</v>
      </c>
      <c r="G1185" s="1" t="s">
        <v>6318</v>
      </c>
      <c r="H1185" s="4" t="s">
        <v>1596</v>
      </c>
      <c r="I1185" s="5" t="s">
        <v>2412</v>
      </c>
      <c r="J1185" s="5" t="s">
        <v>24</v>
      </c>
      <c r="K1185" s="5" t="s">
        <v>24</v>
      </c>
      <c r="L1185" s="5" t="s">
        <v>75</v>
      </c>
      <c r="M1185" s="5" t="s">
        <v>24</v>
      </c>
      <c r="N1185" s="5" t="s">
        <v>24</v>
      </c>
      <c r="O1185" s="5" t="s">
        <v>75</v>
      </c>
      <c r="P1185" s="5" t="s">
        <v>2413</v>
      </c>
      <c r="Q1185" s="2">
        <v>45960</v>
      </c>
      <c r="V1185" s="45">
        <f t="shared" si="18"/>
        <v>1</v>
      </c>
      <c r="W1185" s="45" t="s">
        <v>6326</v>
      </c>
    </row>
    <row r="1186" spans="1:23" ht="11.45" hidden="1" customHeight="1">
      <c r="A1186" s="2">
        <v>45927</v>
      </c>
      <c r="B1186" s="1" t="s">
        <v>5223</v>
      </c>
      <c r="C1186" s="1" t="s">
        <v>5900</v>
      </c>
      <c r="D1186" s="1" t="s">
        <v>2398</v>
      </c>
      <c r="E1186" s="1">
        <v>85308</v>
      </c>
      <c r="F1186" s="1" t="s">
        <v>6327</v>
      </c>
      <c r="G1186" s="1" t="s">
        <v>6328</v>
      </c>
      <c r="H1186" s="4" t="s">
        <v>2613</v>
      </c>
      <c r="V1186" s="45">
        <f t="shared" si="18"/>
        <v>1</v>
      </c>
      <c r="W1186" s="45" t="s">
        <v>6329</v>
      </c>
    </row>
    <row r="1187" spans="1:23" ht="11.45" hidden="1" customHeight="1">
      <c r="A1187" s="2">
        <v>45928</v>
      </c>
      <c r="B1187" s="1" t="s">
        <v>6330</v>
      </c>
      <c r="C1187" s="1" t="s">
        <v>3006</v>
      </c>
      <c r="D1187" s="1" t="s">
        <v>3073</v>
      </c>
      <c r="E1187" s="1">
        <v>85367</v>
      </c>
      <c r="F1187" s="1" t="s">
        <v>6331</v>
      </c>
      <c r="G1187" s="1" t="s">
        <v>6328</v>
      </c>
      <c r="H1187" s="4" t="s">
        <v>1598</v>
      </c>
      <c r="I1187" s="5" t="s">
        <v>2412</v>
      </c>
      <c r="J1187" s="5" t="s">
        <v>24</v>
      </c>
      <c r="K1187" s="5" t="s">
        <v>24</v>
      </c>
      <c r="L1187" s="5" t="s">
        <v>75</v>
      </c>
      <c r="M1187" s="5" t="s">
        <v>24</v>
      </c>
      <c r="N1187" s="5" t="s">
        <v>24</v>
      </c>
      <c r="O1187" s="5" t="s">
        <v>75</v>
      </c>
      <c r="P1187" s="5" t="s">
        <v>2413</v>
      </c>
      <c r="Q1187" s="2">
        <v>45960</v>
      </c>
      <c r="V1187" s="45">
        <f t="shared" si="18"/>
        <v>1</v>
      </c>
      <c r="W1187" s="45" t="s">
        <v>6332</v>
      </c>
    </row>
    <row r="1188" spans="1:23" ht="11.45" hidden="1" customHeight="1">
      <c r="A1188" s="2">
        <v>45928</v>
      </c>
      <c r="B1188" s="1" t="s">
        <v>6333</v>
      </c>
      <c r="C1188" s="1" t="s">
        <v>6334</v>
      </c>
      <c r="D1188" s="1" t="s">
        <v>2398</v>
      </c>
      <c r="E1188" s="1">
        <v>85310</v>
      </c>
      <c r="F1188" s="1" t="s">
        <v>6335</v>
      </c>
      <c r="G1188" s="1" t="s">
        <v>6328</v>
      </c>
      <c r="H1188" s="4" t="s">
        <v>665</v>
      </c>
      <c r="I1188" s="5" t="s">
        <v>2988</v>
      </c>
      <c r="J1188" s="5" t="s">
        <v>24</v>
      </c>
      <c r="K1188" s="5" t="s">
        <v>24</v>
      </c>
      <c r="L1188" s="5" t="s">
        <v>2819</v>
      </c>
      <c r="M1188" s="5" t="s">
        <v>75</v>
      </c>
      <c r="N1188" s="13">
        <v>368.4</v>
      </c>
      <c r="O1188" s="5" t="s">
        <v>75</v>
      </c>
      <c r="P1188" s="5" t="s">
        <v>2413</v>
      </c>
      <c r="Q1188" s="2">
        <v>45960</v>
      </c>
      <c r="V1188" s="45">
        <f t="shared" si="18"/>
        <v>1</v>
      </c>
      <c r="W1188" s="45" t="s">
        <v>6336</v>
      </c>
    </row>
    <row r="1189" spans="1:23" ht="11.45" hidden="1" customHeight="1">
      <c r="A1189" s="2">
        <v>45929</v>
      </c>
      <c r="B1189" s="1" t="s">
        <v>6337</v>
      </c>
      <c r="C1189" s="1" t="s">
        <v>4091</v>
      </c>
      <c r="D1189" s="1" t="s">
        <v>2439</v>
      </c>
      <c r="E1189" s="1">
        <v>85086</v>
      </c>
      <c r="F1189" s="1" t="s">
        <v>6338</v>
      </c>
      <c r="G1189" s="1" t="s">
        <v>6328</v>
      </c>
      <c r="H1189" s="4" t="s">
        <v>2401</v>
      </c>
      <c r="V1189" s="45">
        <f t="shared" si="18"/>
        <v>1</v>
      </c>
      <c r="W1189" s="45" t="s">
        <v>6339</v>
      </c>
    </row>
    <row r="1190" spans="1:23" ht="11.45" hidden="1" customHeight="1">
      <c r="A1190" s="2">
        <v>45929</v>
      </c>
      <c r="B1190" s="1" t="s">
        <v>6340</v>
      </c>
      <c r="C1190" s="1" t="s">
        <v>6341</v>
      </c>
      <c r="D1190" s="1" t="s">
        <v>2439</v>
      </c>
      <c r="E1190" s="1">
        <v>85050</v>
      </c>
      <c r="F1190" s="1" t="s">
        <v>6342</v>
      </c>
      <c r="G1190" s="1" t="s">
        <v>6328</v>
      </c>
      <c r="H1190" s="21" t="s">
        <v>6343</v>
      </c>
      <c r="I1190" s="5" t="s">
        <v>2412</v>
      </c>
      <c r="J1190" s="5" t="s">
        <v>24</v>
      </c>
      <c r="K1190" s="5" t="s">
        <v>24</v>
      </c>
      <c r="L1190" s="5" t="s">
        <v>75</v>
      </c>
      <c r="M1190" s="5" t="s">
        <v>24</v>
      </c>
      <c r="N1190" s="5" t="s">
        <v>24</v>
      </c>
      <c r="O1190" s="5" t="s">
        <v>75</v>
      </c>
      <c r="P1190" s="5" t="s">
        <v>2413</v>
      </c>
      <c r="Q1190" s="2">
        <v>45960</v>
      </c>
      <c r="V1190" s="45">
        <f t="shared" si="18"/>
        <v>1</v>
      </c>
      <c r="W1190" s="45" t="s">
        <v>6344</v>
      </c>
    </row>
    <row r="1191" spans="1:23" ht="11.45" hidden="1" customHeight="1">
      <c r="A1191" s="2">
        <v>45930</v>
      </c>
      <c r="B1191" s="1" t="s">
        <v>6345</v>
      </c>
      <c r="C1191" s="1" t="s">
        <v>6346</v>
      </c>
      <c r="D1191" s="1" t="s">
        <v>2498</v>
      </c>
      <c r="E1191" s="1">
        <v>85379</v>
      </c>
      <c r="F1191" s="1" t="s">
        <v>6347</v>
      </c>
      <c r="G1191" s="1" t="s">
        <v>6348</v>
      </c>
      <c r="H1191" s="4" t="s">
        <v>3191</v>
      </c>
      <c r="I1191" s="5" t="s">
        <v>2652</v>
      </c>
      <c r="J1191" s="5" t="s">
        <v>24</v>
      </c>
      <c r="K1191" s="5" t="s">
        <v>24</v>
      </c>
      <c r="L1191" s="5" t="s">
        <v>2819</v>
      </c>
      <c r="M1191" s="5" t="s">
        <v>24</v>
      </c>
      <c r="N1191" s="5" t="s">
        <v>24</v>
      </c>
      <c r="O1191" s="5" t="s">
        <v>75</v>
      </c>
      <c r="P1191" s="5" t="s">
        <v>2413</v>
      </c>
      <c r="Q1191" s="2">
        <v>45960</v>
      </c>
      <c r="V1191" s="45">
        <f t="shared" si="18"/>
        <v>1</v>
      </c>
      <c r="W1191" s="45" t="s">
        <v>6349</v>
      </c>
    </row>
    <row r="1192" spans="1:23" ht="11.45" hidden="1" customHeight="1">
      <c r="A1192" s="2">
        <v>45930</v>
      </c>
      <c r="B1192" s="1" t="s">
        <v>6350</v>
      </c>
      <c r="C1192" s="1" t="s">
        <v>3666</v>
      </c>
      <c r="D1192" s="1" t="s">
        <v>2513</v>
      </c>
      <c r="E1192" s="1">
        <v>85266</v>
      </c>
      <c r="F1192" s="1" t="s">
        <v>6351</v>
      </c>
      <c r="G1192" s="1" t="s">
        <v>6348</v>
      </c>
      <c r="H1192" s="4" t="s">
        <v>1600</v>
      </c>
      <c r="I1192" s="5" t="s">
        <v>2412</v>
      </c>
      <c r="J1192" s="5" t="s">
        <v>24</v>
      </c>
      <c r="K1192" s="5" t="s">
        <v>24</v>
      </c>
      <c r="L1192" s="5" t="s">
        <v>75</v>
      </c>
      <c r="M1192" s="5" t="s">
        <v>24</v>
      </c>
      <c r="N1192" s="5" t="s">
        <v>24</v>
      </c>
      <c r="O1192" s="5" t="s">
        <v>75</v>
      </c>
      <c r="P1192" s="5" t="s">
        <v>2413</v>
      </c>
      <c r="Q1192" s="2">
        <v>45960</v>
      </c>
      <c r="V1192" s="45">
        <f t="shared" si="18"/>
        <v>1</v>
      </c>
      <c r="W1192" s="45" t="s">
        <v>6352</v>
      </c>
    </row>
    <row r="1193" spans="1:23" ht="11.45" hidden="1" customHeight="1">
      <c r="A1193" s="2">
        <v>45930</v>
      </c>
      <c r="B1193" s="1" t="s">
        <v>3904</v>
      </c>
      <c r="C1193" s="1" t="s">
        <v>2512</v>
      </c>
      <c r="D1193" s="1" t="s">
        <v>2475</v>
      </c>
      <c r="E1193" s="1">
        <v>85351</v>
      </c>
      <c r="F1193" s="1" t="s">
        <v>6353</v>
      </c>
      <c r="G1193" s="1" t="s">
        <v>6348</v>
      </c>
      <c r="H1193" s="4" t="s">
        <v>1602</v>
      </c>
      <c r="I1193" s="5" t="s">
        <v>2659</v>
      </c>
      <c r="J1193" s="5" t="s">
        <v>24</v>
      </c>
      <c r="K1193" s="5" t="s">
        <v>24</v>
      </c>
      <c r="L1193" s="5" t="s">
        <v>75</v>
      </c>
      <c r="M1193" s="5" t="s">
        <v>24</v>
      </c>
      <c r="N1193" s="5" t="s">
        <v>24</v>
      </c>
      <c r="O1193" s="5" t="s">
        <v>75</v>
      </c>
      <c r="P1193" s="5" t="s">
        <v>2413</v>
      </c>
      <c r="Q1193" s="2">
        <v>45960</v>
      </c>
      <c r="R1193" s="1" t="s">
        <v>6354</v>
      </c>
      <c r="V1193" s="45">
        <f t="shared" si="18"/>
        <v>1</v>
      </c>
      <c r="W1193" s="45" t="s">
        <v>6355</v>
      </c>
    </row>
    <row r="1194" spans="1:23" ht="11.45" hidden="1" customHeight="1">
      <c r="A1194" s="2">
        <v>45930</v>
      </c>
      <c r="B1194" s="1" t="s">
        <v>6356</v>
      </c>
      <c r="C1194" s="1" t="s">
        <v>2699</v>
      </c>
      <c r="D1194" s="1" t="s">
        <v>4892</v>
      </c>
      <c r="E1194" s="1">
        <v>86327</v>
      </c>
      <c r="F1194" s="1" t="s">
        <v>6357</v>
      </c>
      <c r="G1194" s="1" t="s">
        <v>6348</v>
      </c>
      <c r="H1194" s="4" t="s">
        <v>417</v>
      </c>
      <c r="I1194" s="5" t="s">
        <v>2451</v>
      </c>
      <c r="J1194" s="5" t="s">
        <v>24</v>
      </c>
      <c r="K1194" s="5" t="s">
        <v>24</v>
      </c>
      <c r="L1194" s="5" t="s">
        <v>6358</v>
      </c>
      <c r="M1194" s="5" t="s">
        <v>24</v>
      </c>
      <c r="N1194" s="5" t="s">
        <v>24</v>
      </c>
      <c r="O1194" s="5" t="s">
        <v>75</v>
      </c>
      <c r="P1194" s="5" t="s">
        <v>2413</v>
      </c>
      <c r="Q1194" s="2">
        <v>45960</v>
      </c>
      <c r="R1194" s="1" t="s">
        <v>6359</v>
      </c>
      <c r="V1194" s="45">
        <f t="shared" si="18"/>
        <v>1</v>
      </c>
      <c r="W1194" s="45" t="s">
        <v>6360</v>
      </c>
    </row>
    <row r="1195" spans="1:23" ht="11.25" hidden="1" customHeight="1">
      <c r="A1195" s="2">
        <v>45930</v>
      </c>
      <c r="B1195" s="1" t="s">
        <v>6361</v>
      </c>
      <c r="C1195" s="1" t="s">
        <v>6362</v>
      </c>
      <c r="D1195" s="1" t="s">
        <v>2605</v>
      </c>
      <c r="E1195" s="1">
        <v>85345</v>
      </c>
      <c r="F1195" s="1" t="s">
        <v>2730</v>
      </c>
      <c r="G1195" s="1" t="s">
        <v>6348</v>
      </c>
      <c r="H1195" s="4" t="s">
        <v>419</v>
      </c>
      <c r="I1195" s="5" t="s">
        <v>2597</v>
      </c>
      <c r="J1195" s="5" t="s">
        <v>24</v>
      </c>
      <c r="K1195" s="5" t="s">
        <v>24</v>
      </c>
      <c r="L1195" s="7" t="s">
        <v>6363</v>
      </c>
      <c r="M1195" s="5" t="s">
        <v>24</v>
      </c>
      <c r="N1195" s="5" t="s">
        <v>24</v>
      </c>
      <c r="O1195" s="5" t="s">
        <v>75</v>
      </c>
      <c r="P1195" s="2">
        <v>45940</v>
      </c>
      <c r="Q1195" s="2">
        <v>45960</v>
      </c>
      <c r="R1195" s="1" t="s">
        <v>6364</v>
      </c>
      <c r="V1195" s="45">
        <f t="shared" si="18"/>
        <v>1</v>
      </c>
      <c r="W1195" s="45" t="s">
        <v>6365</v>
      </c>
    </row>
    <row r="1196" spans="1:23" ht="13.5" hidden="1" customHeight="1">
      <c r="A1196" s="2">
        <v>45930</v>
      </c>
      <c r="B1196" s="1" t="s">
        <v>6366</v>
      </c>
      <c r="C1196" s="1" t="s">
        <v>5071</v>
      </c>
      <c r="D1196" s="1" t="s">
        <v>2564</v>
      </c>
      <c r="E1196" s="1">
        <v>85395</v>
      </c>
      <c r="F1196" s="1" t="s">
        <v>6367</v>
      </c>
      <c r="G1196" s="1" t="s">
        <v>6348</v>
      </c>
      <c r="H1196" s="4" t="s">
        <v>421</v>
      </c>
      <c r="I1196" s="5" t="s">
        <v>2420</v>
      </c>
      <c r="J1196" s="5" t="s">
        <v>24</v>
      </c>
      <c r="K1196" s="5" t="s">
        <v>24</v>
      </c>
      <c r="L1196" s="5" t="s">
        <v>6368</v>
      </c>
      <c r="M1196" s="5" t="s">
        <v>24</v>
      </c>
      <c r="N1196" s="5" t="s">
        <v>24</v>
      </c>
      <c r="O1196" s="5" t="s">
        <v>75</v>
      </c>
      <c r="P1196" s="5" t="s">
        <v>2413</v>
      </c>
      <c r="Q1196" s="2">
        <v>45960</v>
      </c>
      <c r="V1196" s="45">
        <f t="shared" si="18"/>
        <v>1</v>
      </c>
      <c r="W1196" s="45" t="s">
        <v>6369</v>
      </c>
    </row>
    <row r="1197" spans="1:23" ht="11.45" hidden="1" customHeight="1">
      <c r="A1197" s="2">
        <v>45930</v>
      </c>
      <c r="B1197" s="1" t="s">
        <v>6370</v>
      </c>
      <c r="C1197" s="1" t="s">
        <v>6371</v>
      </c>
      <c r="D1197" s="1" t="s">
        <v>2570</v>
      </c>
      <c r="E1197" s="1">
        <v>85396</v>
      </c>
      <c r="F1197" s="1" t="s">
        <v>6372</v>
      </c>
      <c r="G1197" s="1" t="s">
        <v>6373</v>
      </c>
      <c r="H1197" s="4" t="s">
        <v>423</v>
      </c>
      <c r="I1197" s="5" t="s">
        <v>3596</v>
      </c>
      <c r="J1197" s="5" t="s">
        <v>24</v>
      </c>
      <c r="K1197" s="5" t="s">
        <v>24</v>
      </c>
      <c r="L1197" s="5" t="s">
        <v>6374</v>
      </c>
      <c r="M1197" s="5" t="s">
        <v>24</v>
      </c>
      <c r="N1197" s="5" t="s">
        <v>24</v>
      </c>
      <c r="O1197" s="5" t="s">
        <v>75</v>
      </c>
      <c r="P1197" s="5" t="s">
        <v>2413</v>
      </c>
      <c r="Q1197" s="2">
        <v>45960</v>
      </c>
      <c r="V1197" s="45">
        <f t="shared" si="18"/>
        <v>1</v>
      </c>
      <c r="W1197" s="45" t="s">
        <v>6375</v>
      </c>
    </row>
    <row r="1198" spans="1:23" ht="13.5" hidden="1" customHeight="1">
      <c r="A1198" s="2">
        <v>45931</v>
      </c>
      <c r="B1198" s="1" t="s">
        <v>6376</v>
      </c>
      <c r="C1198" s="1" t="s">
        <v>6377</v>
      </c>
      <c r="D1198" s="1" t="s">
        <v>2439</v>
      </c>
      <c r="E1198" s="1">
        <v>85032</v>
      </c>
      <c r="F1198" s="1" t="s">
        <v>6378</v>
      </c>
      <c r="G1198" s="1" t="s">
        <v>6379</v>
      </c>
      <c r="H1198" s="4" t="s">
        <v>2471</v>
      </c>
      <c r="V1198" s="45">
        <f t="shared" si="18"/>
        <v>1</v>
      </c>
      <c r="W1198" s="45" t="s">
        <v>6380</v>
      </c>
    </row>
    <row r="1199" spans="1:23" hidden="1">
      <c r="A1199" s="2">
        <v>45932</v>
      </c>
      <c r="B1199" s="1" t="s">
        <v>6381</v>
      </c>
      <c r="C1199" s="1" t="s">
        <v>6382</v>
      </c>
      <c r="D1199" s="1" t="s">
        <v>2405</v>
      </c>
      <c r="E1199" s="1" t="s">
        <v>2405</v>
      </c>
      <c r="F1199" s="1" t="s">
        <v>6383</v>
      </c>
      <c r="G1199" s="1" t="s">
        <v>6384</v>
      </c>
      <c r="H1199" s="4" t="s">
        <v>668</v>
      </c>
      <c r="I1199" s="5" t="s">
        <v>2988</v>
      </c>
      <c r="J1199" s="5" t="s">
        <v>24</v>
      </c>
      <c r="K1199" s="5" t="s">
        <v>24</v>
      </c>
      <c r="L1199" s="5" t="s">
        <v>2819</v>
      </c>
      <c r="M1199" s="5" t="s">
        <v>75</v>
      </c>
      <c r="N1199" s="13">
        <v>170.45</v>
      </c>
      <c r="O1199" s="5" t="s">
        <v>75</v>
      </c>
      <c r="P1199" s="5" t="s">
        <v>2413</v>
      </c>
      <c r="Q1199" s="2">
        <v>45960</v>
      </c>
      <c r="V1199" s="45">
        <f t="shared" si="18"/>
        <v>1</v>
      </c>
      <c r="W1199" s="45" t="s">
        <v>6385</v>
      </c>
    </row>
    <row r="1200" spans="1:23" hidden="1">
      <c r="A1200" s="2">
        <v>45932</v>
      </c>
      <c r="B1200" s="1" t="s">
        <v>6386</v>
      </c>
      <c r="C1200" s="1" t="s">
        <v>6387</v>
      </c>
      <c r="D1200" s="1" t="s">
        <v>2518</v>
      </c>
      <c r="E1200" s="1">
        <v>85233</v>
      </c>
      <c r="F1200" s="1" t="s">
        <v>2730</v>
      </c>
      <c r="G1200" s="1" t="s">
        <v>6388</v>
      </c>
      <c r="H1200" s="4" t="s">
        <v>1604</v>
      </c>
      <c r="I1200" s="5" t="s">
        <v>2652</v>
      </c>
      <c r="J1200" s="5" t="s">
        <v>24</v>
      </c>
      <c r="K1200" s="5" t="s">
        <v>24</v>
      </c>
      <c r="L1200" s="5" t="s">
        <v>2819</v>
      </c>
      <c r="M1200" s="5" t="s">
        <v>24</v>
      </c>
      <c r="N1200" s="5" t="s">
        <v>24</v>
      </c>
      <c r="O1200" s="5" t="s">
        <v>75</v>
      </c>
      <c r="P1200" s="5" t="s">
        <v>2413</v>
      </c>
      <c r="Q1200" s="2">
        <v>45960</v>
      </c>
      <c r="V1200" s="45">
        <f t="shared" si="18"/>
        <v>1</v>
      </c>
      <c r="W1200" s="45" t="s">
        <v>6389</v>
      </c>
    </row>
    <row r="1201" spans="1:23" hidden="1">
      <c r="A1201" s="2">
        <v>45932</v>
      </c>
      <c r="B1201" s="1" t="s">
        <v>2976</v>
      </c>
      <c r="C1201" s="1" t="s">
        <v>6337</v>
      </c>
      <c r="D1201" s="1" t="s">
        <v>2439</v>
      </c>
      <c r="E1201" s="1">
        <v>85085</v>
      </c>
      <c r="F1201" s="1" t="s">
        <v>6390</v>
      </c>
      <c r="G1201" s="1" t="s">
        <v>6388</v>
      </c>
      <c r="H1201" s="4" t="s">
        <v>425</v>
      </c>
      <c r="I1201" s="5" t="s">
        <v>3596</v>
      </c>
      <c r="J1201" s="5" t="s">
        <v>24</v>
      </c>
      <c r="K1201" s="5" t="s">
        <v>24</v>
      </c>
      <c r="L1201" s="5" t="s">
        <v>2831</v>
      </c>
      <c r="M1201" s="5" t="s">
        <v>24</v>
      </c>
      <c r="N1201" s="5" t="s">
        <v>24</v>
      </c>
      <c r="O1201" s="5" t="s">
        <v>75</v>
      </c>
      <c r="P1201" s="5" t="s">
        <v>2413</v>
      </c>
      <c r="Q1201" s="2">
        <v>45960</v>
      </c>
      <c r="R1201" s="1" t="s">
        <v>6391</v>
      </c>
      <c r="V1201" s="45">
        <f t="shared" si="18"/>
        <v>1</v>
      </c>
      <c r="W1201" s="45" t="s">
        <v>6392</v>
      </c>
    </row>
    <row r="1202" spans="1:23" hidden="1">
      <c r="A1202" s="2">
        <v>45933</v>
      </c>
      <c r="B1202" s="1" t="s">
        <v>3284</v>
      </c>
      <c r="C1202" s="1" t="s">
        <v>3285</v>
      </c>
      <c r="D1202" s="1" t="s">
        <v>2405</v>
      </c>
      <c r="E1202" s="1" t="s">
        <v>2405</v>
      </c>
      <c r="F1202" s="1" t="s">
        <v>6393</v>
      </c>
      <c r="G1202" s="1" t="s">
        <v>6394</v>
      </c>
      <c r="H1202" s="4" t="s">
        <v>1606</v>
      </c>
      <c r="I1202" s="5" t="s">
        <v>2451</v>
      </c>
      <c r="J1202" s="5" t="s">
        <v>24</v>
      </c>
      <c r="K1202" s="5" t="s">
        <v>24</v>
      </c>
      <c r="L1202" s="5" t="s">
        <v>75</v>
      </c>
      <c r="M1202" s="5" t="s">
        <v>24</v>
      </c>
      <c r="N1202" s="5" t="s">
        <v>24</v>
      </c>
      <c r="O1202" s="5" t="s">
        <v>75</v>
      </c>
      <c r="P1202" s="5" t="s">
        <v>2413</v>
      </c>
      <c r="Q1202" s="2">
        <v>45960</v>
      </c>
      <c r="V1202" s="45">
        <f t="shared" si="18"/>
        <v>1</v>
      </c>
      <c r="W1202" s="45" t="s">
        <v>6395</v>
      </c>
    </row>
    <row r="1203" spans="1:23" hidden="1">
      <c r="A1203" s="2">
        <v>45933</v>
      </c>
      <c r="B1203" s="1" t="s">
        <v>2526</v>
      </c>
      <c r="C1203" s="1" t="s">
        <v>2792</v>
      </c>
      <c r="D1203" s="1" t="s">
        <v>2405</v>
      </c>
      <c r="E1203" s="1" t="s">
        <v>2405</v>
      </c>
      <c r="F1203" s="1" t="s">
        <v>2406</v>
      </c>
      <c r="G1203" s="1" t="s">
        <v>6394</v>
      </c>
      <c r="H1203" s="4" t="s">
        <v>2613</v>
      </c>
      <c r="V1203" s="45">
        <f t="shared" si="18"/>
        <v>1</v>
      </c>
      <c r="W1203" s="45" t="s">
        <v>6396</v>
      </c>
    </row>
    <row r="1204" spans="1:23" hidden="1">
      <c r="A1204" s="2">
        <v>45933</v>
      </c>
      <c r="B1204" s="1" t="s">
        <v>6397</v>
      </c>
      <c r="C1204" s="1" t="s">
        <v>2469</v>
      </c>
      <c r="D1204" s="1" t="s">
        <v>2445</v>
      </c>
      <c r="E1204" s="1">
        <v>85331</v>
      </c>
      <c r="F1204" s="1" t="s">
        <v>6398</v>
      </c>
      <c r="G1204" s="1" t="s">
        <v>6399</v>
      </c>
      <c r="H1204" s="4" t="s">
        <v>1608</v>
      </c>
      <c r="I1204" s="5" t="s">
        <v>2412</v>
      </c>
      <c r="J1204" s="5" t="s">
        <v>24</v>
      </c>
      <c r="K1204" s="5" t="s">
        <v>24</v>
      </c>
      <c r="L1204" s="5" t="s">
        <v>75</v>
      </c>
      <c r="M1204" s="5" t="s">
        <v>24</v>
      </c>
      <c r="N1204" s="5" t="s">
        <v>24</v>
      </c>
      <c r="O1204" s="5" t="s">
        <v>75</v>
      </c>
      <c r="P1204" s="5" t="s">
        <v>2413</v>
      </c>
      <c r="Q1204" s="2">
        <v>45960</v>
      </c>
      <c r="V1204" s="45">
        <f t="shared" si="18"/>
        <v>1</v>
      </c>
      <c r="W1204" s="45" t="s">
        <v>6400</v>
      </c>
    </row>
    <row r="1205" spans="1:23" hidden="1">
      <c r="A1205" s="2">
        <v>45934</v>
      </c>
      <c r="B1205" s="1" t="s">
        <v>6401</v>
      </c>
      <c r="C1205" s="1" t="s">
        <v>4009</v>
      </c>
      <c r="D1205" s="1" t="s">
        <v>2800</v>
      </c>
      <c r="E1205" s="1">
        <v>85225</v>
      </c>
      <c r="F1205" s="1" t="s">
        <v>6402</v>
      </c>
      <c r="G1205" s="1" t="s">
        <v>6403</v>
      </c>
      <c r="H1205" s="4" t="s">
        <v>3191</v>
      </c>
      <c r="I1205" s="5" t="s">
        <v>6404</v>
      </c>
      <c r="J1205" s="5" t="s">
        <v>24</v>
      </c>
      <c r="K1205" s="5" t="s">
        <v>24</v>
      </c>
      <c r="L1205" s="5" t="s">
        <v>6405</v>
      </c>
      <c r="M1205" s="5" t="s">
        <v>24</v>
      </c>
      <c r="N1205" s="5" t="s">
        <v>24</v>
      </c>
      <c r="O1205" s="5" t="s">
        <v>75</v>
      </c>
      <c r="P1205" s="5" t="s">
        <v>2413</v>
      </c>
      <c r="Q1205" s="2">
        <v>45954</v>
      </c>
      <c r="V1205" s="45">
        <f t="shared" si="18"/>
        <v>1</v>
      </c>
      <c r="W1205" s="45" t="s">
        <v>6406</v>
      </c>
    </row>
    <row r="1206" spans="1:23" hidden="1">
      <c r="A1206" s="2">
        <v>45934</v>
      </c>
      <c r="B1206" s="1" t="s">
        <v>6407</v>
      </c>
      <c r="C1206" s="1" t="s">
        <v>2745</v>
      </c>
      <c r="D1206" s="1" t="s">
        <v>2439</v>
      </c>
      <c r="E1206" s="1">
        <v>85032</v>
      </c>
      <c r="F1206" s="1" t="s">
        <v>6408</v>
      </c>
      <c r="G1206" s="1" t="s">
        <v>6403</v>
      </c>
      <c r="H1206" s="4" t="s">
        <v>1610</v>
      </c>
      <c r="I1206" s="5" t="s">
        <v>2412</v>
      </c>
      <c r="J1206" s="5" t="s">
        <v>75</v>
      </c>
      <c r="K1206" s="5" t="s">
        <v>24</v>
      </c>
      <c r="L1206" s="5" t="s">
        <v>75</v>
      </c>
      <c r="M1206" s="5" t="s">
        <v>24</v>
      </c>
      <c r="N1206" s="5" t="s">
        <v>24</v>
      </c>
      <c r="O1206" s="5" t="s">
        <v>75</v>
      </c>
      <c r="P1206" s="5" t="s">
        <v>2413</v>
      </c>
      <c r="Q1206" s="2">
        <v>45954</v>
      </c>
      <c r="V1206" s="45">
        <f t="shared" si="18"/>
        <v>1</v>
      </c>
      <c r="W1206" s="45" t="s">
        <v>6409</v>
      </c>
    </row>
    <row r="1207" spans="1:23" hidden="1">
      <c r="A1207" s="2">
        <v>45934</v>
      </c>
      <c r="B1207" s="1" t="s">
        <v>2410</v>
      </c>
      <c r="C1207" s="1" t="s">
        <v>5071</v>
      </c>
      <c r="D1207" s="1" t="s">
        <v>2674</v>
      </c>
      <c r="E1207" s="1">
        <v>86314</v>
      </c>
      <c r="F1207" s="1" t="s">
        <v>6410</v>
      </c>
      <c r="G1207" s="1" t="s">
        <v>6403</v>
      </c>
      <c r="H1207" s="4" t="s">
        <v>427</v>
      </c>
      <c r="I1207" s="5" t="s">
        <v>2597</v>
      </c>
      <c r="J1207" s="5" t="s">
        <v>24</v>
      </c>
      <c r="K1207" s="5" t="s">
        <v>24</v>
      </c>
      <c r="L1207" s="5" t="s">
        <v>6411</v>
      </c>
      <c r="M1207" s="5" t="s">
        <v>24</v>
      </c>
      <c r="N1207" s="5" t="s">
        <v>24</v>
      </c>
      <c r="O1207" s="5" t="s">
        <v>75</v>
      </c>
      <c r="P1207" s="5" t="s">
        <v>2413</v>
      </c>
      <c r="Q1207" s="2">
        <v>45954</v>
      </c>
      <c r="V1207" s="45">
        <f t="shared" si="18"/>
        <v>1</v>
      </c>
      <c r="W1207" s="45" t="s">
        <v>6412</v>
      </c>
    </row>
    <row r="1208" spans="1:23" hidden="1">
      <c r="A1208" s="2">
        <v>45935</v>
      </c>
      <c r="B1208" s="1" t="s">
        <v>3824</v>
      </c>
      <c r="C1208" s="1" t="s">
        <v>6413</v>
      </c>
      <c r="D1208" s="1" t="s">
        <v>3211</v>
      </c>
      <c r="E1208" s="1">
        <v>86326</v>
      </c>
      <c r="F1208" s="1" t="s">
        <v>6414</v>
      </c>
      <c r="G1208" s="1" t="s">
        <v>6403</v>
      </c>
      <c r="H1208" s="4" t="s">
        <v>1612</v>
      </c>
      <c r="I1208" s="5" t="s">
        <v>2652</v>
      </c>
      <c r="J1208" s="5" t="s">
        <v>24</v>
      </c>
      <c r="K1208" s="5" t="s">
        <v>24</v>
      </c>
      <c r="L1208" s="5" t="s">
        <v>2819</v>
      </c>
      <c r="M1208" s="5" t="s">
        <v>24</v>
      </c>
      <c r="N1208" s="5" t="s">
        <v>24</v>
      </c>
      <c r="O1208" s="5" t="s">
        <v>75</v>
      </c>
      <c r="P1208" s="5" t="s">
        <v>2413</v>
      </c>
      <c r="Q1208" s="2">
        <v>45954</v>
      </c>
      <c r="V1208" s="45">
        <f t="shared" si="18"/>
        <v>1</v>
      </c>
      <c r="W1208" s="45" t="s">
        <v>6415</v>
      </c>
    </row>
    <row r="1209" spans="1:23" hidden="1">
      <c r="A1209" s="2">
        <v>45935</v>
      </c>
      <c r="B1209" s="1" t="s">
        <v>6416</v>
      </c>
      <c r="C1209" s="1" t="s">
        <v>5815</v>
      </c>
      <c r="D1209" s="1" t="s">
        <v>2439</v>
      </c>
      <c r="E1209" s="1">
        <v>85014</v>
      </c>
      <c r="F1209" s="1" t="s">
        <v>2730</v>
      </c>
      <c r="G1209" s="1" t="s">
        <v>6403</v>
      </c>
      <c r="H1209" s="4" t="s">
        <v>2401</v>
      </c>
      <c r="V1209" s="45">
        <f t="shared" si="18"/>
        <v>1</v>
      </c>
      <c r="W1209" s="45" t="s">
        <v>6417</v>
      </c>
    </row>
    <row r="1210" spans="1:23" hidden="1">
      <c r="A1210" s="2">
        <v>45935</v>
      </c>
      <c r="B1210" s="1" t="s">
        <v>6418</v>
      </c>
      <c r="C1210" s="1" t="s">
        <v>3660</v>
      </c>
      <c r="D1210" s="1" t="s">
        <v>6419</v>
      </c>
      <c r="E1210" s="1">
        <v>86324</v>
      </c>
      <c r="F1210" s="1" t="s">
        <v>2406</v>
      </c>
      <c r="G1210" s="1" t="s">
        <v>6403</v>
      </c>
      <c r="H1210" s="4" t="s">
        <v>1614</v>
      </c>
      <c r="I1210" s="5" t="s">
        <v>2451</v>
      </c>
      <c r="J1210" s="5" t="s">
        <v>24</v>
      </c>
      <c r="K1210" s="5" t="s">
        <v>24</v>
      </c>
      <c r="L1210" s="5" t="s">
        <v>75</v>
      </c>
      <c r="M1210" s="5" t="s">
        <v>24</v>
      </c>
      <c r="N1210" s="5" t="s">
        <v>24</v>
      </c>
      <c r="O1210" s="5" t="s">
        <v>75</v>
      </c>
      <c r="P1210" s="5" t="s">
        <v>2413</v>
      </c>
      <c r="Q1210" s="2">
        <v>45954</v>
      </c>
      <c r="R1210" s="1" t="s">
        <v>6359</v>
      </c>
      <c r="V1210" s="45">
        <f t="shared" si="18"/>
        <v>1</v>
      </c>
      <c r="W1210" s="45" t="s">
        <v>6420</v>
      </c>
    </row>
    <row r="1211" spans="1:23" hidden="1">
      <c r="A1211" s="2">
        <v>45936</v>
      </c>
      <c r="B1211" s="1" t="s">
        <v>6421</v>
      </c>
      <c r="C1211" s="1" t="s">
        <v>6422</v>
      </c>
      <c r="D1211" s="1" t="s">
        <v>2439</v>
      </c>
      <c r="E1211" s="1">
        <v>85024</v>
      </c>
      <c r="F1211" s="1" t="s">
        <v>6423</v>
      </c>
      <c r="G1211" s="1" t="s">
        <v>6403</v>
      </c>
      <c r="H1211" s="4" t="s">
        <v>2401</v>
      </c>
      <c r="V1211" s="45">
        <f t="shared" si="18"/>
        <v>1</v>
      </c>
      <c r="W1211" s="45" t="s">
        <v>6424</v>
      </c>
    </row>
    <row r="1212" spans="1:23" hidden="1">
      <c r="A1212" s="2">
        <v>45936</v>
      </c>
      <c r="B1212" s="1" t="s">
        <v>6425</v>
      </c>
      <c r="C1212" s="1" t="s">
        <v>4441</v>
      </c>
      <c r="D1212" s="1" t="s">
        <v>2398</v>
      </c>
      <c r="E1212" s="1">
        <v>85308</v>
      </c>
      <c r="F1212" s="1" t="s">
        <v>6426</v>
      </c>
      <c r="G1212" s="1" t="s">
        <v>6403</v>
      </c>
      <c r="H1212" s="4" t="s">
        <v>2401</v>
      </c>
      <c r="V1212" s="45">
        <f t="shared" si="18"/>
        <v>1</v>
      </c>
      <c r="W1212" s="45" t="s">
        <v>6427</v>
      </c>
    </row>
    <row r="1213" spans="1:23" hidden="1">
      <c r="A1213" s="2">
        <v>45937</v>
      </c>
      <c r="B1213" s="1" t="s">
        <v>6428</v>
      </c>
      <c r="C1213" s="1" t="s">
        <v>6429</v>
      </c>
      <c r="D1213" s="1" t="s">
        <v>2564</v>
      </c>
      <c r="E1213" s="1">
        <v>85338</v>
      </c>
      <c r="F1213" s="1" t="s">
        <v>6430</v>
      </c>
      <c r="G1213" s="1" t="s">
        <v>6403</v>
      </c>
      <c r="H1213" s="4" t="s">
        <v>1616</v>
      </c>
      <c r="I1213" s="5" t="s">
        <v>2988</v>
      </c>
      <c r="J1213" s="5" t="s">
        <v>75</v>
      </c>
      <c r="K1213" s="5" t="s">
        <v>24</v>
      </c>
      <c r="L1213" s="5" t="s">
        <v>2819</v>
      </c>
      <c r="M1213" s="5" t="s">
        <v>24</v>
      </c>
      <c r="N1213" s="5" t="s">
        <v>24</v>
      </c>
      <c r="O1213" s="5" t="s">
        <v>75</v>
      </c>
      <c r="P1213" s="5" t="s">
        <v>2413</v>
      </c>
      <c r="Q1213" s="2">
        <v>45954</v>
      </c>
      <c r="V1213" s="45">
        <f t="shared" si="18"/>
        <v>1</v>
      </c>
      <c r="W1213" s="45" t="s">
        <v>6431</v>
      </c>
    </row>
    <row r="1214" spans="1:23" hidden="1">
      <c r="A1214" s="2">
        <v>45938</v>
      </c>
      <c r="B1214" s="1" t="s">
        <v>6432</v>
      </c>
      <c r="C1214" s="1" t="s">
        <v>6433</v>
      </c>
      <c r="D1214" s="1" t="s">
        <v>2498</v>
      </c>
      <c r="E1214" s="1">
        <v>85379</v>
      </c>
      <c r="F1214" s="1" t="s">
        <v>2730</v>
      </c>
      <c r="G1214" s="1" t="s">
        <v>6068</v>
      </c>
      <c r="H1214" s="4" t="s">
        <v>2471</v>
      </c>
      <c r="V1214" s="45">
        <f t="shared" si="18"/>
        <v>1</v>
      </c>
      <c r="W1214" s="45" t="s">
        <v>6434</v>
      </c>
    </row>
    <row r="1215" spans="1:23" hidden="1">
      <c r="A1215" s="2">
        <v>45938</v>
      </c>
      <c r="B1215" s="1" t="s">
        <v>6435</v>
      </c>
      <c r="C1215" s="1" t="s">
        <v>6436</v>
      </c>
      <c r="D1215" s="1" t="s">
        <v>2513</v>
      </c>
      <c r="E1215" s="1">
        <v>85258</v>
      </c>
      <c r="F1215" s="1" t="s">
        <v>6437</v>
      </c>
      <c r="G1215" s="1" t="s">
        <v>6068</v>
      </c>
      <c r="H1215" s="4" t="s">
        <v>1618</v>
      </c>
      <c r="I1215" s="5" t="s">
        <v>2412</v>
      </c>
      <c r="J1215" s="5" t="s">
        <v>24</v>
      </c>
      <c r="K1215" s="5" t="s">
        <v>24</v>
      </c>
      <c r="L1215" s="5" t="s">
        <v>75</v>
      </c>
      <c r="M1215" s="5" t="s">
        <v>24</v>
      </c>
      <c r="N1215" s="5" t="s">
        <v>24</v>
      </c>
      <c r="O1215" s="5" t="s">
        <v>75</v>
      </c>
      <c r="P1215" s="5" t="s">
        <v>2413</v>
      </c>
      <c r="Q1215" s="2">
        <v>45954</v>
      </c>
      <c r="V1215" s="45">
        <f t="shared" si="18"/>
        <v>1</v>
      </c>
      <c r="W1215" s="45" t="s">
        <v>6438</v>
      </c>
    </row>
    <row r="1216" spans="1:23" hidden="1">
      <c r="A1216" s="2">
        <v>45938</v>
      </c>
      <c r="B1216" s="1" t="s">
        <v>6439</v>
      </c>
      <c r="C1216" s="1" t="s">
        <v>4812</v>
      </c>
      <c r="D1216" s="1" t="s">
        <v>2405</v>
      </c>
      <c r="E1216" s="1" t="s">
        <v>2405</v>
      </c>
      <c r="F1216" s="1" t="s">
        <v>6440</v>
      </c>
      <c r="G1216" s="1" t="s">
        <v>6068</v>
      </c>
      <c r="H1216" s="4" t="s">
        <v>429</v>
      </c>
      <c r="I1216" s="5" t="s">
        <v>2432</v>
      </c>
      <c r="J1216" s="5" t="s">
        <v>24</v>
      </c>
      <c r="K1216" s="5" t="s">
        <v>24</v>
      </c>
      <c r="L1216" s="5" t="s">
        <v>6441</v>
      </c>
      <c r="M1216" s="5" t="s">
        <v>24</v>
      </c>
      <c r="N1216" s="5" t="s">
        <v>24</v>
      </c>
      <c r="O1216" s="5" t="s">
        <v>75</v>
      </c>
      <c r="P1216" s="5" t="s">
        <v>2413</v>
      </c>
      <c r="Q1216" s="2">
        <v>45954</v>
      </c>
      <c r="V1216" s="45">
        <f t="shared" si="18"/>
        <v>1</v>
      </c>
      <c r="W1216" s="45" t="s">
        <v>6442</v>
      </c>
    </row>
    <row r="1217" spans="1:23" hidden="1">
      <c r="A1217" s="2">
        <v>45938</v>
      </c>
      <c r="B1217" s="1" t="s">
        <v>6443</v>
      </c>
      <c r="C1217" s="1" t="s">
        <v>6444</v>
      </c>
      <c r="D1217" s="1" t="s">
        <v>2513</v>
      </c>
      <c r="E1217" s="1">
        <v>85258</v>
      </c>
      <c r="F1217" s="1" t="s">
        <v>6445</v>
      </c>
      <c r="G1217" s="1" t="s">
        <v>6446</v>
      </c>
      <c r="H1217" s="4" t="s">
        <v>1620</v>
      </c>
      <c r="I1217" s="5" t="s">
        <v>2412</v>
      </c>
      <c r="J1217" s="5" t="s">
        <v>24</v>
      </c>
      <c r="K1217" s="5" t="s">
        <v>24</v>
      </c>
      <c r="L1217" s="5" t="s">
        <v>75</v>
      </c>
      <c r="M1217" s="5" t="s">
        <v>24</v>
      </c>
      <c r="N1217" s="5" t="s">
        <v>24</v>
      </c>
      <c r="O1217" s="5" t="s">
        <v>75</v>
      </c>
      <c r="P1217" s="5" t="s">
        <v>2413</v>
      </c>
      <c r="Q1217" s="2">
        <v>45954</v>
      </c>
      <c r="V1217" s="45">
        <f t="shared" si="18"/>
        <v>1</v>
      </c>
      <c r="W1217" s="45" t="s">
        <v>6447</v>
      </c>
    </row>
    <row r="1218" spans="1:23" hidden="1">
      <c r="A1218" s="2">
        <v>45938</v>
      </c>
      <c r="B1218" s="1" t="s">
        <v>6448</v>
      </c>
      <c r="C1218" s="1" t="s">
        <v>6449</v>
      </c>
      <c r="D1218" s="1" t="s">
        <v>6450</v>
      </c>
      <c r="E1218" s="1" t="s">
        <v>2405</v>
      </c>
      <c r="F1218" s="1" t="s">
        <v>2730</v>
      </c>
      <c r="G1218" s="1" t="s">
        <v>6446</v>
      </c>
      <c r="H1218" s="4" t="s">
        <v>2401</v>
      </c>
      <c r="R1218" s="1" t="s">
        <v>6451</v>
      </c>
      <c r="V1218" s="45">
        <f t="shared" ref="V1218:V1281" si="19">IF(OR(ISNUMBER(SEARCH("unable to locate acct",G1218)),ISNUMBER(SEARCH("unknown",G1218)),ISNUMBER(SEARCH("inactive",G1218)),H1218=""),0,1)</f>
        <v>1</v>
      </c>
      <c r="W1218" s="45" t="s">
        <v>6452</v>
      </c>
    </row>
    <row r="1219" spans="1:23" hidden="1">
      <c r="A1219" s="2">
        <v>45938</v>
      </c>
      <c r="B1219" s="1" t="s">
        <v>6453</v>
      </c>
      <c r="C1219" s="1" t="s">
        <v>6449</v>
      </c>
      <c r="D1219" s="1" t="s">
        <v>6450</v>
      </c>
      <c r="E1219" s="1" t="s">
        <v>2405</v>
      </c>
      <c r="F1219" s="1" t="s">
        <v>2730</v>
      </c>
      <c r="G1219" s="1" t="s">
        <v>6446</v>
      </c>
      <c r="H1219" s="4" t="s">
        <v>2401</v>
      </c>
      <c r="R1219" s="1" t="s">
        <v>6451</v>
      </c>
      <c r="V1219" s="45">
        <f t="shared" si="19"/>
        <v>1</v>
      </c>
      <c r="W1219" s="45" t="s">
        <v>6454</v>
      </c>
    </row>
    <row r="1220" spans="1:23" hidden="1">
      <c r="A1220" s="2">
        <v>45938</v>
      </c>
      <c r="B1220" s="1" t="s">
        <v>2885</v>
      </c>
      <c r="C1220" s="1" t="s">
        <v>3840</v>
      </c>
      <c r="D1220" s="1" t="s">
        <v>6455</v>
      </c>
      <c r="E1220" s="1">
        <v>85541</v>
      </c>
      <c r="F1220" s="1" t="s">
        <v>6456</v>
      </c>
      <c r="G1220" s="1" t="s">
        <v>6446</v>
      </c>
      <c r="H1220" s="4" t="s">
        <v>1622</v>
      </c>
      <c r="I1220" s="5" t="s">
        <v>2451</v>
      </c>
      <c r="J1220" s="5" t="s">
        <v>24</v>
      </c>
      <c r="K1220" s="5" t="s">
        <v>24</v>
      </c>
      <c r="L1220" s="5" t="s">
        <v>75</v>
      </c>
      <c r="M1220" s="5" t="s">
        <v>24</v>
      </c>
      <c r="N1220" s="5" t="s">
        <v>24</v>
      </c>
      <c r="O1220" s="5" t="s">
        <v>75</v>
      </c>
      <c r="P1220" s="5" t="s">
        <v>2413</v>
      </c>
      <c r="Q1220" s="2">
        <v>45954</v>
      </c>
      <c r="V1220" s="45">
        <f t="shared" si="19"/>
        <v>1</v>
      </c>
      <c r="W1220" s="45" t="s">
        <v>6457</v>
      </c>
    </row>
    <row r="1221" spans="1:23" hidden="1">
      <c r="A1221" s="2">
        <v>45938</v>
      </c>
      <c r="B1221" s="1" t="s">
        <v>6449</v>
      </c>
      <c r="C1221" s="1" t="s">
        <v>6453</v>
      </c>
      <c r="D1221" s="1" t="s">
        <v>6450</v>
      </c>
      <c r="E1221" s="1" t="s">
        <v>2405</v>
      </c>
      <c r="F1221" s="1" t="s">
        <v>2730</v>
      </c>
      <c r="G1221" s="1" t="s">
        <v>6446</v>
      </c>
      <c r="H1221" s="4" t="s">
        <v>2401</v>
      </c>
      <c r="R1221" s="1" t="s">
        <v>6451</v>
      </c>
      <c r="V1221" s="45">
        <f t="shared" si="19"/>
        <v>1</v>
      </c>
      <c r="W1221" s="45" t="s">
        <v>6458</v>
      </c>
    </row>
    <row r="1222" spans="1:23" hidden="1">
      <c r="A1222" s="2">
        <v>45938</v>
      </c>
      <c r="B1222" s="1" t="s">
        <v>6449</v>
      </c>
      <c r="C1222" s="1" t="s">
        <v>6453</v>
      </c>
      <c r="D1222" s="1" t="s">
        <v>6450</v>
      </c>
      <c r="E1222" s="1" t="s">
        <v>2405</v>
      </c>
      <c r="F1222" s="1" t="s">
        <v>2730</v>
      </c>
      <c r="G1222" s="1" t="s">
        <v>6446</v>
      </c>
      <c r="H1222" s="4" t="s">
        <v>2401</v>
      </c>
      <c r="R1222" s="1" t="s">
        <v>6451</v>
      </c>
      <c r="V1222" s="45">
        <f t="shared" si="19"/>
        <v>1</v>
      </c>
      <c r="W1222" s="45" t="s">
        <v>6459</v>
      </c>
    </row>
    <row r="1223" spans="1:23" hidden="1">
      <c r="A1223" s="2">
        <v>45938</v>
      </c>
      <c r="B1223" s="1" t="s">
        <v>6449</v>
      </c>
      <c r="C1223" s="1" t="s">
        <v>6460</v>
      </c>
      <c r="D1223" s="1" t="s">
        <v>6450</v>
      </c>
      <c r="E1223" s="1" t="s">
        <v>2405</v>
      </c>
      <c r="F1223" s="1" t="s">
        <v>2730</v>
      </c>
      <c r="G1223" s="1" t="s">
        <v>6446</v>
      </c>
      <c r="H1223" s="4" t="s">
        <v>2401</v>
      </c>
      <c r="R1223" s="1" t="s">
        <v>6451</v>
      </c>
      <c r="V1223" s="45">
        <f t="shared" si="19"/>
        <v>1</v>
      </c>
      <c r="W1223" s="45" t="s">
        <v>6461</v>
      </c>
    </row>
    <row r="1224" spans="1:23" hidden="1">
      <c r="A1224" s="2">
        <v>45939</v>
      </c>
      <c r="B1224" s="1" t="s">
        <v>6462</v>
      </c>
      <c r="C1224" s="1" t="s">
        <v>6463</v>
      </c>
      <c r="D1224" s="1" t="s">
        <v>2605</v>
      </c>
      <c r="E1224" s="1">
        <v>85382</v>
      </c>
      <c r="F1224" s="1" t="s">
        <v>6464</v>
      </c>
      <c r="G1224" s="1" t="s">
        <v>6446</v>
      </c>
      <c r="H1224" s="4" t="s">
        <v>1624</v>
      </c>
      <c r="I1224" s="5" t="s">
        <v>2412</v>
      </c>
      <c r="J1224" s="5" t="s">
        <v>24</v>
      </c>
      <c r="K1224" s="5" t="s">
        <v>24</v>
      </c>
      <c r="L1224" s="5" t="s">
        <v>75</v>
      </c>
      <c r="M1224" s="5" t="s">
        <v>24</v>
      </c>
      <c r="N1224" s="5" t="s">
        <v>24</v>
      </c>
      <c r="O1224" s="5" t="s">
        <v>75</v>
      </c>
      <c r="P1224" s="5" t="s">
        <v>2413</v>
      </c>
      <c r="Q1224" s="2">
        <v>45954</v>
      </c>
      <c r="V1224" s="45">
        <f t="shared" si="19"/>
        <v>1</v>
      </c>
      <c r="W1224" s="45" t="s">
        <v>6465</v>
      </c>
    </row>
    <row r="1225" spans="1:23" hidden="1">
      <c r="A1225" s="2">
        <v>45939</v>
      </c>
      <c r="B1225" s="1" t="s">
        <v>6466</v>
      </c>
      <c r="C1225" s="1" t="s">
        <v>3285</v>
      </c>
      <c r="D1225" s="1" t="s">
        <v>2439</v>
      </c>
      <c r="E1225" s="1">
        <v>85050</v>
      </c>
      <c r="F1225" s="1" t="s">
        <v>6467</v>
      </c>
      <c r="G1225" s="1" t="s">
        <v>6446</v>
      </c>
      <c r="H1225" s="4" t="s">
        <v>2471</v>
      </c>
      <c r="V1225" s="45">
        <f t="shared" si="19"/>
        <v>1</v>
      </c>
      <c r="W1225" s="45" t="s">
        <v>6468</v>
      </c>
    </row>
    <row r="1226" spans="1:23" hidden="1">
      <c r="A1226" s="2">
        <v>45940</v>
      </c>
      <c r="B1226" s="1" t="s">
        <v>6469</v>
      </c>
      <c r="C1226" s="1" t="s">
        <v>2527</v>
      </c>
      <c r="D1226" s="1" t="s">
        <v>2564</v>
      </c>
      <c r="E1226" s="1">
        <v>85338</v>
      </c>
      <c r="F1226" s="1" t="s">
        <v>5043</v>
      </c>
      <c r="G1226" s="8" t="s">
        <v>6470</v>
      </c>
      <c r="H1226" s="4" t="s">
        <v>2401</v>
      </c>
      <c r="V1226" s="45">
        <f t="shared" si="19"/>
        <v>1</v>
      </c>
      <c r="W1226" s="45" t="s">
        <v>6471</v>
      </c>
    </row>
    <row r="1227" spans="1:23" hidden="1">
      <c r="A1227" s="2">
        <v>45940</v>
      </c>
      <c r="B1227" s="1" t="s">
        <v>2473</v>
      </c>
      <c r="C1227" s="1" t="s">
        <v>6472</v>
      </c>
      <c r="D1227" s="1" t="s">
        <v>2475</v>
      </c>
      <c r="E1227" s="1">
        <v>85351</v>
      </c>
      <c r="F1227" s="1" t="s">
        <v>6473</v>
      </c>
      <c r="G1227" s="8" t="s">
        <v>6470</v>
      </c>
      <c r="H1227" s="4" t="s">
        <v>2241</v>
      </c>
      <c r="I1227" s="5" t="s">
        <v>2451</v>
      </c>
      <c r="J1227" s="5" t="s">
        <v>24</v>
      </c>
      <c r="K1227" s="5" t="s">
        <v>24</v>
      </c>
      <c r="L1227" s="5" t="s">
        <v>75</v>
      </c>
      <c r="M1227" s="5" t="s">
        <v>24</v>
      </c>
      <c r="N1227" s="5" t="s">
        <v>24</v>
      </c>
      <c r="O1227" s="5" t="s">
        <v>75</v>
      </c>
      <c r="P1227" s="5" t="s">
        <v>2413</v>
      </c>
      <c r="Q1227" s="2">
        <v>45954</v>
      </c>
      <c r="R1227" s="1" t="s">
        <v>6474</v>
      </c>
      <c r="V1227" s="45">
        <f t="shared" si="19"/>
        <v>1</v>
      </c>
      <c r="W1227" s="45" t="s">
        <v>6475</v>
      </c>
    </row>
    <row r="1228" spans="1:23" hidden="1">
      <c r="A1228" s="2">
        <v>45940</v>
      </c>
      <c r="B1228" s="1" t="s">
        <v>6476</v>
      </c>
      <c r="C1228" s="1" t="s">
        <v>4472</v>
      </c>
      <c r="D1228" s="1" t="s">
        <v>5252</v>
      </c>
      <c r="E1228" s="1">
        <v>85132</v>
      </c>
      <c r="F1228" s="1" t="s">
        <v>6477</v>
      </c>
      <c r="G1228" s="8" t="s">
        <v>6470</v>
      </c>
      <c r="H1228" s="4" t="s">
        <v>1626</v>
      </c>
      <c r="I1228" s="5" t="s">
        <v>2659</v>
      </c>
      <c r="J1228" s="5" t="s">
        <v>24</v>
      </c>
      <c r="K1228" s="5" t="s">
        <v>24</v>
      </c>
      <c r="L1228" s="5" t="s">
        <v>75</v>
      </c>
      <c r="M1228" s="5" t="s">
        <v>24</v>
      </c>
      <c r="N1228" s="5" t="s">
        <v>24</v>
      </c>
      <c r="O1228" s="5" t="s">
        <v>75</v>
      </c>
      <c r="P1228" s="5" t="s">
        <v>2413</v>
      </c>
      <c r="Q1228" s="2">
        <v>45954</v>
      </c>
      <c r="V1228" s="45">
        <f t="shared" si="19"/>
        <v>1</v>
      </c>
      <c r="W1228" s="45" t="s">
        <v>6478</v>
      </c>
    </row>
    <row r="1229" spans="1:23" hidden="1">
      <c r="A1229" s="2">
        <v>45940</v>
      </c>
      <c r="B1229" s="1" t="s">
        <v>6479</v>
      </c>
      <c r="C1229" s="1" t="s">
        <v>2851</v>
      </c>
      <c r="D1229" s="1" t="s">
        <v>2987</v>
      </c>
      <c r="E1229" s="1">
        <v>85122</v>
      </c>
      <c r="F1229" s="1" t="s">
        <v>6480</v>
      </c>
      <c r="G1229" s="8" t="s">
        <v>6470</v>
      </c>
      <c r="H1229" s="4" t="s">
        <v>1629</v>
      </c>
      <c r="I1229" s="5" t="s">
        <v>2412</v>
      </c>
      <c r="J1229" s="5" t="s">
        <v>24</v>
      </c>
      <c r="K1229" s="5" t="s">
        <v>24</v>
      </c>
      <c r="L1229" s="5" t="s">
        <v>75</v>
      </c>
      <c r="M1229" s="5" t="s">
        <v>24</v>
      </c>
      <c r="N1229" s="5" t="s">
        <v>24</v>
      </c>
      <c r="O1229" s="5" t="s">
        <v>75</v>
      </c>
      <c r="P1229" s="5" t="s">
        <v>2413</v>
      </c>
      <c r="Q1229" s="2">
        <v>45954</v>
      </c>
      <c r="R1229" s="1" t="s">
        <v>6481</v>
      </c>
      <c r="V1229" s="45">
        <f t="shared" si="19"/>
        <v>1</v>
      </c>
      <c r="W1229" s="45" t="s">
        <v>6482</v>
      </c>
    </row>
    <row r="1230" spans="1:23" hidden="1">
      <c r="A1230" s="2">
        <v>45940</v>
      </c>
      <c r="B1230" s="1" t="s">
        <v>6479</v>
      </c>
      <c r="C1230" s="1" t="s">
        <v>3050</v>
      </c>
      <c r="D1230" s="1" t="s">
        <v>2987</v>
      </c>
      <c r="E1230" s="1">
        <v>85122</v>
      </c>
      <c r="F1230" s="1" t="s">
        <v>6483</v>
      </c>
      <c r="G1230" s="8" t="s">
        <v>6470</v>
      </c>
      <c r="H1230" s="4" t="s">
        <v>1629</v>
      </c>
      <c r="I1230" s="5" t="s">
        <v>2412</v>
      </c>
      <c r="J1230" s="5" t="s">
        <v>24</v>
      </c>
      <c r="K1230" s="5" t="s">
        <v>24</v>
      </c>
      <c r="L1230" s="5" t="s">
        <v>75</v>
      </c>
      <c r="M1230" s="5" t="s">
        <v>24</v>
      </c>
      <c r="N1230" s="5" t="s">
        <v>24</v>
      </c>
      <c r="O1230" s="5" t="s">
        <v>75</v>
      </c>
      <c r="P1230" s="5" t="s">
        <v>2413</v>
      </c>
      <c r="Q1230" s="2">
        <v>45954</v>
      </c>
      <c r="R1230" s="1" t="s">
        <v>6481</v>
      </c>
      <c r="V1230" s="45">
        <f t="shared" si="19"/>
        <v>1</v>
      </c>
      <c r="W1230" s="45" t="s">
        <v>6484</v>
      </c>
    </row>
    <row r="1231" spans="1:23" hidden="1">
      <c r="A1231" s="2">
        <v>45940</v>
      </c>
      <c r="B1231" s="1" t="s">
        <v>3722</v>
      </c>
      <c r="C1231" s="1" t="s">
        <v>2733</v>
      </c>
      <c r="D1231" s="1" t="s">
        <v>2398</v>
      </c>
      <c r="E1231" s="1">
        <v>85308</v>
      </c>
      <c r="F1231" s="1" t="s">
        <v>6485</v>
      </c>
      <c r="G1231" s="8" t="s">
        <v>6470</v>
      </c>
      <c r="H1231" s="4" t="s">
        <v>2401</v>
      </c>
      <c r="V1231" s="45">
        <f t="shared" si="19"/>
        <v>1</v>
      </c>
      <c r="W1231" s="45" t="s">
        <v>6486</v>
      </c>
    </row>
    <row r="1232" spans="1:23">
      <c r="A1232" s="22">
        <v>45942</v>
      </c>
      <c r="B1232" s="1" t="s">
        <v>6487</v>
      </c>
      <c r="C1232" s="1" t="s">
        <v>2538</v>
      </c>
      <c r="D1232" s="1" t="s">
        <v>2987</v>
      </c>
      <c r="E1232" s="1">
        <v>85122</v>
      </c>
      <c r="F1232" s="1" t="s">
        <v>6488</v>
      </c>
      <c r="G1232" s="8" t="s">
        <v>6470</v>
      </c>
      <c r="H1232" s="4" t="s">
        <v>1631</v>
      </c>
      <c r="I1232" s="5" t="s">
        <v>2412</v>
      </c>
      <c r="J1232" s="5" t="s">
        <v>24</v>
      </c>
      <c r="K1232" s="5" t="s">
        <v>24</v>
      </c>
      <c r="L1232" s="5" t="s">
        <v>75</v>
      </c>
      <c r="M1232" s="5" t="s">
        <v>24</v>
      </c>
      <c r="N1232" s="5" t="s">
        <v>24</v>
      </c>
      <c r="O1232" s="5" t="s">
        <v>75</v>
      </c>
      <c r="P1232" s="5" t="s">
        <v>2413</v>
      </c>
      <c r="Q1232" s="2">
        <v>45954</v>
      </c>
      <c r="V1232" s="45">
        <f t="shared" si="19"/>
        <v>1</v>
      </c>
      <c r="W1232" s="45" t="s">
        <v>6489</v>
      </c>
    </row>
    <row r="1233" spans="1:23" hidden="1">
      <c r="A1233" s="2">
        <v>45939</v>
      </c>
      <c r="B1233" s="1" t="s">
        <v>6490</v>
      </c>
      <c r="C1233" s="1" t="s">
        <v>6491</v>
      </c>
      <c r="D1233" s="1" t="s">
        <v>2439</v>
      </c>
      <c r="E1233" s="1">
        <v>85050</v>
      </c>
      <c r="F1233" s="1" t="s">
        <v>6492</v>
      </c>
      <c r="G1233" s="31" t="s">
        <v>6470</v>
      </c>
      <c r="H1233" s="4" t="s">
        <v>1633</v>
      </c>
      <c r="I1233" s="5" t="s">
        <v>6493</v>
      </c>
      <c r="J1233" s="5" t="s">
        <v>24</v>
      </c>
      <c r="K1233" s="5" t="s">
        <v>24</v>
      </c>
      <c r="L1233" s="5" t="s">
        <v>2819</v>
      </c>
      <c r="M1233" s="5" t="s">
        <v>24</v>
      </c>
      <c r="N1233" s="5" t="s">
        <v>24</v>
      </c>
      <c r="O1233" s="5" t="s">
        <v>75</v>
      </c>
      <c r="P1233" s="5" t="s">
        <v>2413</v>
      </c>
      <c r="Q1233" s="2">
        <v>45954</v>
      </c>
      <c r="V1233" s="45">
        <f t="shared" si="19"/>
        <v>1</v>
      </c>
      <c r="W1233" s="45" t="s">
        <v>6494</v>
      </c>
    </row>
    <row r="1234" spans="1:23" hidden="1">
      <c r="A1234" s="2">
        <v>45940</v>
      </c>
      <c r="B1234" s="1" t="s">
        <v>6495</v>
      </c>
      <c r="C1234" s="1" t="s">
        <v>5627</v>
      </c>
      <c r="D1234" s="1" t="s">
        <v>5372</v>
      </c>
      <c r="E1234" s="1">
        <v>86325</v>
      </c>
      <c r="F1234" s="1" t="s">
        <v>6496</v>
      </c>
      <c r="G1234" s="8" t="s">
        <v>6470</v>
      </c>
      <c r="H1234" s="4" t="s">
        <v>1635</v>
      </c>
      <c r="I1234" s="5" t="s">
        <v>2451</v>
      </c>
      <c r="J1234" s="5" t="s">
        <v>75</v>
      </c>
      <c r="K1234" s="5" t="s">
        <v>24</v>
      </c>
      <c r="L1234" s="5" t="s">
        <v>4087</v>
      </c>
      <c r="M1234" s="5" t="s">
        <v>24</v>
      </c>
      <c r="N1234" s="5" t="s">
        <v>24</v>
      </c>
      <c r="O1234" s="5" t="s">
        <v>75</v>
      </c>
      <c r="P1234" s="5" t="s">
        <v>2413</v>
      </c>
      <c r="Q1234" s="2">
        <v>45954</v>
      </c>
      <c r="R1234" s="1" t="s">
        <v>6497</v>
      </c>
      <c r="V1234" s="45">
        <f t="shared" si="19"/>
        <v>1</v>
      </c>
      <c r="W1234" s="45" t="s">
        <v>6498</v>
      </c>
    </row>
    <row r="1235" spans="1:23" hidden="1">
      <c r="A1235" s="2">
        <v>45940</v>
      </c>
      <c r="B1235" s="1" t="s">
        <v>4961</v>
      </c>
      <c r="C1235" s="1" t="s">
        <v>4568</v>
      </c>
      <c r="D1235" s="1" t="s">
        <v>6499</v>
      </c>
      <c r="E1235" s="1">
        <v>85741</v>
      </c>
      <c r="F1235" s="1" t="s">
        <v>6492</v>
      </c>
      <c r="G1235" s="8" t="s">
        <v>6470</v>
      </c>
      <c r="H1235" s="4" t="s">
        <v>2401</v>
      </c>
      <c r="V1235" s="45">
        <f t="shared" si="19"/>
        <v>1</v>
      </c>
      <c r="W1235" s="45" t="s">
        <v>6500</v>
      </c>
    </row>
    <row r="1236" spans="1:23" hidden="1">
      <c r="A1236" s="2">
        <v>45940</v>
      </c>
      <c r="B1236" s="1" t="s">
        <v>6501</v>
      </c>
      <c r="C1236" s="1" t="s">
        <v>6502</v>
      </c>
      <c r="D1236" s="1" t="s">
        <v>6499</v>
      </c>
      <c r="E1236" s="1">
        <v>85712</v>
      </c>
      <c r="F1236" s="1" t="s">
        <v>6492</v>
      </c>
      <c r="G1236" s="8" t="s">
        <v>6470</v>
      </c>
      <c r="H1236" s="4" t="s">
        <v>2401</v>
      </c>
      <c r="V1236" s="45">
        <f t="shared" si="19"/>
        <v>1</v>
      </c>
      <c r="W1236" s="45" t="s">
        <v>6503</v>
      </c>
    </row>
    <row r="1237" spans="1:23" hidden="1">
      <c r="A1237" s="2">
        <v>45940</v>
      </c>
      <c r="B1237" s="1" t="s">
        <v>6504</v>
      </c>
      <c r="C1237" s="1" t="s">
        <v>6505</v>
      </c>
      <c r="D1237" s="1" t="s">
        <v>2439</v>
      </c>
      <c r="E1237" s="1">
        <v>85029</v>
      </c>
      <c r="F1237" s="1" t="s">
        <v>6492</v>
      </c>
      <c r="G1237" s="8" t="s">
        <v>6470</v>
      </c>
      <c r="H1237" s="4" t="s">
        <v>670</v>
      </c>
      <c r="I1237" s="5" t="s">
        <v>2848</v>
      </c>
      <c r="J1237" s="5" t="s">
        <v>24</v>
      </c>
      <c r="K1237" s="5" t="s">
        <v>24</v>
      </c>
      <c r="L1237" s="5" t="s">
        <v>2819</v>
      </c>
      <c r="M1237" s="13" t="s">
        <v>75</v>
      </c>
      <c r="N1237" s="13">
        <v>288.29000000000002</v>
      </c>
      <c r="O1237" s="5" t="s">
        <v>75</v>
      </c>
      <c r="P1237" s="5" t="s">
        <v>2413</v>
      </c>
      <c r="Q1237" s="2">
        <v>45954</v>
      </c>
      <c r="V1237" s="45">
        <f t="shared" si="19"/>
        <v>1</v>
      </c>
      <c r="W1237" s="45" t="s">
        <v>6506</v>
      </c>
    </row>
    <row r="1238" spans="1:23" hidden="1">
      <c r="A1238" s="2">
        <v>45940</v>
      </c>
      <c r="B1238" s="1" t="s">
        <v>6507</v>
      </c>
      <c r="C1238" s="1" t="s">
        <v>5918</v>
      </c>
      <c r="D1238" s="1" t="s">
        <v>2475</v>
      </c>
      <c r="E1238" s="1">
        <v>85373</v>
      </c>
      <c r="F1238" s="1" t="s">
        <v>6492</v>
      </c>
      <c r="G1238" s="8" t="s">
        <v>6470</v>
      </c>
      <c r="H1238" s="4" t="s">
        <v>431</v>
      </c>
      <c r="I1238" s="5" t="s">
        <v>2432</v>
      </c>
      <c r="J1238" s="5" t="s">
        <v>75</v>
      </c>
      <c r="K1238" s="5" t="s">
        <v>24</v>
      </c>
      <c r="L1238" s="7" t="s">
        <v>6508</v>
      </c>
      <c r="M1238" s="5" t="s">
        <v>24</v>
      </c>
      <c r="N1238" s="5" t="s">
        <v>24</v>
      </c>
      <c r="O1238" s="5" t="s">
        <v>75</v>
      </c>
      <c r="P1238" s="2">
        <v>45945</v>
      </c>
      <c r="Q1238" s="2">
        <v>45954</v>
      </c>
      <c r="R1238" s="1" t="s">
        <v>5262</v>
      </c>
      <c r="V1238" s="45">
        <f t="shared" si="19"/>
        <v>1</v>
      </c>
      <c r="W1238" s="45" t="s">
        <v>6509</v>
      </c>
    </row>
    <row r="1239" spans="1:23" hidden="1">
      <c r="A1239" s="2">
        <v>45940</v>
      </c>
      <c r="B1239" s="1" t="s">
        <v>6510</v>
      </c>
      <c r="C1239" s="1" t="s">
        <v>6511</v>
      </c>
      <c r="D1239" s="1" t="s">
        <v>2445</v>
      </c>
      <c r="E1239" s="1">
        <v>85331</v>
      </c>
      <c r="F1239" s="1" t="s">
        <v>6492</v>
      </c>
      <c r="G1239" s="8" t="s">
        <v>6470</v>
      </c>
      <c r="H1239" s="4" t="s">
        <v>434</v>
      </c>
      <c r="I1239" s="5" t="s">
        <v>2420</v>
      </c>
      <c r="J1239" s="5" t="s">
        <v>24</v>
      </c>
      <c r="K1239" s="5" t="s">
        <v>24</v>
      </c>
      <c r="L1239" s="5" t="s">
        <v>2831</v>
      </c>
      <c r="M1239" s="5" t="s">
        <v>24</v>
      </c>
      <c r="N1239" s="5" t="s">
        <v>24</v>
      </c>
      <c r="O1239" s="5" t="s">
        <v>75</v>
      </c>
      <c r="P1239" s="5" t="s">
        <v>2413</v>
      </c>
      <c r="Q1239" s="2">
        <v>45954</v>
      </c>
      <c r="R1239" s="1" t="s">
        <v>6512</v>
      </c>
      <c r="V1239" s="45">
        <f t="shared" si="19"/>
        <v>1</v>
      </c>
      <c r="W1239" s="45" t="s">
        <v>6513</v>
      </c>
    </row>
    <row r="1240" spans="1:23" hidden="1">
      <c r="A1240" s="2">
        <v>45940</v>
      </c>
      <c r="B1240" s="1" t="s">
        <v>6514</v>
      </c>
      <c r="C1240" s="1" t="s">
        <v>2726</v>
      </c>
      <c r="D1240" s="1" t="s">
        <v>2439</v>
      </c>
      <c r="E1240" s="1">
        <v>85050</v>
      </c>
      <c r="F1240" s="1" t="s">
        <v>6492</v>
      </c>
      <c r="G1240" s="8" t="s">
        <v>6470</v>
      </c>
      <c r="H1240" s="4" t="s">
        <v>1637</v>
      </c>
      <c r="I1240" s="5" t="s">
        <v>2988</v>
      </c>
      <c r="J1240" s="5" t="s">
        <v>24</v>
      </c>
      <c r="K1240" s="5" t="s">
        <v>24</v>
      </c>
      <c r="L1240" s="5" t="s">
        <v>2819</v>
      </c>
      <c r="M1240" s="5" t="s">
        <v>24</v>
      </c>
      <c r="N1240" s="5" t="s">
        <v>24</v>
      </c>
      <c r="O1240" s="5" t="s">
        <v>75</v>
      </c>
      <c r="P1240" s="5" t="s">
        <v>2413</v>
      </c>
      <c r="Q1240" s="2">
        <v>45954</v>
      </c>
      <c r="V1240" s="45">
        <f t="shared" si="19"/>
        <v>1</v>
      </c>
      <c r="W1240" s="45" t="s">
        <v>6515</v>
      </c>
    </row>
    <row r="1241" spans="1:23" hidden="1">
      <c r="A1241" s="2">
        <v>45940</v>
      </c>
      <c r="B1241" s="1" t="s">
        <v>6516</v>
      </c>
      <c r="C1241" s="1" t="s">
        <v>6517</v>
      </c>
      <c r="D1241" s="1" t="s">
        <v>2513</v>
      </c>
      <c r="E1241" s="1">
        <v>85254</v>
      </c>
      <c r="F1241" s="1" t="s">
        <v>6492</v>
      </c>
      <c r="G1241" s="8" t="s">
        <v>6470</v>
      </c>
      <c r="H1241" s="4" t="s">
        <v>53</v>
      </c>
      <c r="I1241" s="5" t="s">
        <v>2597</v>
      </c>
      <c r="J1241" s="5" t="s">
        <v>24</v>
      </c>
      <c r="K1241" s="5" t="s">
        <v>24</v>
      </c>
      <c r="L1241" s="7" t="s">
        <v>6518</v>
      </c>
      <c r="M1241" s="5" t="s">
        <v>75</v>
      </c>
      <c r="N1241" s="13">
        <v>2463.12</v>
      </c>
      <c r="O1241" s="5" t="s">
        <v>75</v>
      </c>
      <c r="P1241" s="2">
        <v>45945</v>
      </c>
      <c r="Q1241" s="2">
        <v>45954</v>
      </c>
      <c r="R1241" s="1" t="s">
        <v>6519</v>
      </c>
      <c r="V1241" s="45">
        <f t="shared" si="19"/>
        <v>1</v>
      </c>
      <c r="W1241" s="45" t="s">
        <v>6520</v>
      </c>
    </row>
    <row r="1242" spans="1:23" hidden="1">
      <c r="A1242" s="2">
        <v>45940</v>
      </c>
      <c r="B1242" s="1" t="s">
        <v>6521</v>
      </c>
      <c r="C1242" s="1" t="s">
        <v>6522</v>
      </c>
      <c r="D1242" s="1" t="s">
        <v>2405</v>
      </c>
      <c r="E1242" s="1" t="s">
        <v>2405</v>
      </c>
      <c r="F1242" s="1" t="s">
        <v>6523</v>
      </c>
      <c r="G1242" s="8" t="s">
        <v>6470</v>
      </c>
      <c r="H1242" s="4" t="s">
        <v>2401</v>
      </c>
      <c r="V1242" s="45">
        <f t="shared" si="19"/>
        <v>1</v>
      </c>
      <c r="W1242" s="45" t="s">
        <v>6524</v>
      </c>
    </row>
    <row r="1243" spans="1:23" hidden="1">
      <c r="A1243" s="2">
        <v>45944</v>
      </c>
      <c r="B1243" s="1" t="s">
        <v>6525</v>
      </c>
      <c r="C1243" s="1" t="s">
        <v>2924</v>
      </c>
      <c r="D1243" s="1" t="s">
        <v>2405</v>
      </c>
      <c r="E1243" s="1" t="s">
        <v>2405</v>
      </c>
      <c r="F1243" s="1" t="s">
        <v>6526</v>
      </c>
      <c r="G1243" s="1" t="s">
        <v>6527</v>
      </c>
      <c r="H1243" s="4" t="s">
        <v>2613</v>
      </c>
      <c r="V1243" s="45">
        <f t="shared" si="19"/>
        <v>1</v>
      </c>
      <c r="W1243" s="45" t="s">
        <v>6528</v>
      </c>
    </row>
    <row r="1244" spans="1:23" hidden="1">
      <c r="A1244" s="2">
        <v>45944</v>
      </c>
      <c r="B1244" s="1" t="s">
        <v>6529</v>
      </c>
      <c r="C1244" s="1" t="s">
        <v>6530</v>
      </c>
      <c r="D1244" s="1" t="s">
        <v>2439</v>
      </c>
      <c r="E1244" s="1">
        <v>85032</v>
      </c>
      <c r="F1244" s="1" t="s">
        <v>6492</v>
      </c>
      <c r="G1244" s="1" t="s">
        <v>6527</v>
      </c>
      <c r="H1244" s="4" t="s">
        <v>1639</v>
      </c>
      <c r="I1244" s="5" t="s">
        <v>2412</v>
      </c>
      <c r="J1244" s="5" t="s">
        <v>24</v>
      </c>
      <c r="K1244" s="5" t="s">
        <v>24</v>
      </c>
      <c r="L1244" s="5" t="s">
        <v>4282</v>
      </c>
      <c r="M1244" s="5" t="s">
        <v>24</v>
      </c>
      <c r="N1244" s="5" t="s">
        <v>24</v>
      </c>
      <c r="O1244" s="5" t="s">
        <v>75</v>
      </c>
      <c r="P1244" s="5" t="s">
        <v>2413</v>
      </c>
      <c r="Q1244" s="2">
        <v>45954</v>
      </c>
      <c r="V1244" s="45">
        <f t="shared" si="19"/>
        <v>1</v>
      </c>
      <c r="W1244" s="45" t="s">
        <v>6531</v>
      </c>
    </row>
    <row r="1245" spans="1:23" hidden="1">
      <c r="A1245" s="2">
        <v>45944</v>
      </c>
      <c r="B1245" s="1" t="s">
        <v>6532</v>
      </c>
      <c r="C1245" s="1" t="s">
        <v>6533</v>
      </c>
      <c r="D1245" s="1" t="s">
        <v>2475</v>
      </c>
      <c r="E1245" s="1">
        <v>85351</v>
      </c>
      <c r="F1245" s="1" t="s">
        <v>6534</v>
      </c>
      <c r="G1245" s="1" t="s">
        <v>6527</v>
      </c>
      <c r="H1245" s="4" t="s">
        <v>1641</v>
      </c>
      <c r="I1245" s="5" t="s">
        <v>2412</v>
      </c>
      <c r="J1245" s="5" t="s">
        <v>24</v>
      </c>
      <c r="K1245" s="5" t="s">
        <v>24</v>
      </c>
      <c r="L1245" s="5" t="s">
        <v>4282</v>
      </c>
      <c r="M1245" s="5" t="s">
        <v>24</v>
      </c>
      <c r="N1245" s="5" t="s">
        <v>24</v>
      </c>
      <c r="O1245" s="5" t="s">
        <v>75</v>
      </c>
      <c r="P1245" s="5" t="s">
        <v>2413</v>
      </c>
      <c r="Q1245" s="2">
        <v>45954</v>
      </c>
      <c r="V1245" s="45">
        <f t="shared" si="19"/>
        <v>1</v>
      </c>
      <c r="W1245" s="45" t="s">
        <v>6535</v>
      </c>
    </row>
    <row r="1246" spans="1:23" hidden="1">
      <c r="A1246" s="2">
        <v>45944</v>
      </c>
      <c r="B1246" s="1" t="s">
        <v>6536</v>
      </c>
      <c r="C1246" s="1" t="s">
        <v>6502</v>
      </c>
      <c r="D1246" s="1" t="s">
        <v>2475</v>
      </c>
      <c r="E1246" s="1">
        <v>85351</v>
      </c>
      <c r="F1246" s="1" t="s">
        <v>6534</v>
      </c>
      <c r="G1246" s="1" t="s">
        <v>6527</v>
      </c>
      <c r="H1246" s="4" t="s">
        <v>1641</v>
      </c>
      <c r="I1246" s="5" t="s">
        <v>2412</v>
      </c>
      <c r="J1246" s="5" t="s">
        <v>24</v>
      </c>
      <c r="K1246" s="5" t="s">
        <v>24</v>
      </c>
      <c r="L1246" s="5" t="s">
        <v>4282</v>
      </c>
      <c r="M1246" s="5" t="s">
        <v>24</v>
      </c>
      <c r="N1246" s="5" t="s">
        <v>24</v>
      </c>
      <c r="O1246" s="5" t="s">
        <v>75</v>
      </c>
      <c r="P1246" s="5" t="s">
        <v>2413</v>
      </c>
      <c r="Q1246" s="2">
        <v>45954</v>
      </c>
      <c r="V1246" s="45">
        <f t="shared" si="19"/>
        <v>1</v>
      </c>
      <c r="W1246" s="45" t="s">
        <v>6537</v>
      </c>
    </row>
    <row r="1247" spans="1:23" hidden="1">
      <c r="A1247" s="2">
        <v>45944</v>
      </c>
      <c r="B1247" s="1" t="s">
        <v>6495</v>
      </c>
      <c r="C1247" s="1" t="s">
        <v>5627</v>
      </c>
      <c r="D1247" s="1" t="s">
        <v>5372</v>
      </c>
      <c r="E1247" s="1">
        <v>86325</v>
      </c>
      <c r="F1247" s="1" t="s">
        <v>6538</v>
      </c>
      <c r="G1247" s="1" t="s">
        <v>6527</v>
      </c>
      <c r="H1247" s="4" t="s">
        <v>1635</v>
      </c>
      <c r="I1247" s="5" t="s">
        <v>2451</v>
      </c>
      <c r="J1247" s="5" t="s">
        <v>75</v>
      </c>
      <c r="K1247" s="5" t="s">
        <v>24</v>
      </c>
      <c r="L1247" s="5" t="s">
        <v>4087</v>
      </c>
      <c r="M1247" s="5" t="s">
        <v>24</v>
      </c>
      <c r="N1247" s="5" t="s">
        <v>24</v>
      </c>
      <c r="O1247" s="5" t="s">
        <v>75</v>
      </c>
      <c r="P1247" s="5" t="s">
        <v>2413</v>
      </c>
      <c r="Q1247" s="2">
        <v>45954</v>
      </c>
      <c r="R1247" s="1" t="s">
        <v>6497</v>
      </c>
      <c r="V1247" s="45">
        <f t="shared" si="19"/>
        <v>1</v>
      </c>
      <c r="W1247" s="45" t="s">
        <v>6539</v>
      </c>
    </row>
    <row r="1248" spans="1:23" hidden="1">
      <c r="A1248" s="2">
        <v>45944</v>
      </c>
      <c r="B1248" s="1" t="s">
        <v>5430</v>
      </c>
      <c r="C1248" s="1" t="s">
        <v>5941</v>
      </c>
      <c r="D1248" s="1" t="s">
        <v>2439</v>
      </c>
      <c r="E1248" s="1">
        <v>85041</v>
      </c>
      <c r="F1248" s="1" t="s">
        <v>6492</v>
      </c>
      <c r="G1248" s="1" t="s">
        <v>6527</v>
      </c>
      <c r="H1248" s="4" t="s">
        <v>2401</v>
      </c>
      <c r="V1248" s="45">
        <f t="shared" si="19"/>
        <v>1</v>
      </c>
      <c r="W1248" s="45" t="s">
        <v>6540</v>
      </c>
    </row>
    <row r="1249" spans="1:23" hidden="1">
      <c r="A1249" s="2">
        <v>45945</v>
      </c>
      <c r="B1249" s="1" t="s">
        <v>6541</v>
      </c>
      <c r="C1249" s="1" t="s">
        <v>2584</v>
      </c>
      <c r="D1249" s="1" t="s">
        <v>5062</v>
      </c>
      <c r="E1249" s="1">
        <v>85603</v>
      </c>
      <c r="F1249" s="1" t="s">
        <v>6542</v>
      </c>
      <c r="G1249" s="1" t="s">
        <v>6543</v>
      </c>
      <c r="H1249" s="4" t="s">
        <v>436</v>
      </c>
      <c r="I1249" s="5" t="s">
        <v>2597</v>
      </c>
      <c r="J1249" s="5" t="s">
        <v>24</v>
      </c>
      <c r="K1249" s="5" t="s">
        <v>24</v>
      </c>
      <c r="L1249" s="7" t="s">
        <v>6544</v>
      </c>
      <c r="M1249" s="5" t="s">
        <v>24</v>
      </c>
      <c r="N1249" s="5" t="s">
        <v>24</v>
      </c>
      <c r="O1249" s="5" t="s">
        <v>75</v>
      </c>
      <c r="P1249" s="2">
        <v>45947</v>
      </c>
      <c r="Q1249" s="2">
        <v>45954</v>
      </c>
      <c r="R1249" s="1" t="s">
        <v>6545</v>
      </c>
      <c r="V1249" s="45">
        <f t="shared" si="19"/>
        <v>1</v>
      </c>
      <c r="W1249" s="45" t="s">
        <v>6546</v>
      </c>
    </row>
    <row r="1250" spans="1:23" hidden="1">
      <c r="A1250" s="2">
        <v>45944</v>
      </c>
      <c r="B1250" s="1" t="s">
        <v>6547</v>
      </c>
      <c r="C1250" s="1" t="s">
        <v>3221</v>
      </c>
      <c r="D1250" s="1" t="s">
        <v>2439</v>
      </c>
      <c r="E1250" s="1">
        <v>85032</v>
      </c>
      <c r="F1250" s="1" t="s">
        <v>6492</v>
      </c>
      <c r="G1250" s="1" t="s">
        <v>6548</v>
      </c>
      <c r="H1250" s="4" t="s">
        <v>56</v>
      </c>
      <c r="I1250" s="5" t="s">
        <v>2597</v>
      </c>
      <c r="J1250" s="5" t="s">
        <v>24</v>
      </c>
      <c r="L1250" s="5" t="s">
        <v>6549</v>
      </c>
      <c r="O1250" s="5" t="s">
        <v>75</v>
      </c>
      <c r="P1250" s="5" t="s">
        <v>2413</v>
      </c>
      <c r="R1250" s="1" t="s">
        <v>6550</v>
      </c>
      <c r="V1250" s="45">
        <f t="shared" si="19"/>
        <v>1</v>
      </c>
      <c r="W1250" s="45" t="s">
        <v>6551</v>
      </c>
    </row>
    <row r="1251" spans="1:23" hidden="1">
      <c r="A1251" s="2">
        <v>45944</v>
      </c>
      <c r="B1251" s="1" t="s">
        <v>6552</v>
      </c>
      <c r="C1251" s="1" t="s">
        <v>3149</v>
      </c>
      <c r="D1251" s="1" t="s">
        <v>2439</v>
      </c>
      <c r="E1251" s="1">
        <v>85015</v>
      </c>
      <c r="F1251" s="1" t="s">
        <v>6492</v>
      </c>
      <c r="G1251" s="1" t="s">
        <v>6548</v>
      </c>
      <c r="H1251" s="4" t="s">
        <v>438</v>
      </c>
      <c r="I1251" s="5" t="s">
        <v>2432</v>
      </c>
      <c r="J1251" s="5" t="s">
        <v>24</v>
      </c>
      <c r="K1251" s="5" t="s">
        <v>24</v>
      </c>
      <c r="L1251" s="7" t="s">
        <v>6553</v>
      </c>
      <c r="M1251" s="5" t="s">
        <v>24</v>
      </c>
      <c r="N1251" s="5" t="s">
        <v>24</v>
      </c>
      <c r="O1251" s="5" t="s">
        <v>75</v>
      </c>
      <c r="P1251" s="2">
        <v>45947</v>
      </c>
      <c r="Q1251" s="2">
        <v>45954</v>
      </c>
      <c r="R1251" s="1" t="s">
        <v>6554</v>
      </c>
      <c r="V1251" s="45">
        <f t="shared" si="19"/>
        <v>1</v>
      </c>
      <c r="W1251" s="45" t="s">
        <v>6555</v>
      </c>
    </row>
    <row r="1252" spans="1:23" hidden="1">
      <c r="A1252" s="2">
        <v>45944</v>
      </c>
      <c r="B1252" s="1" t="s">
        <v>6556</v>
      </c>
      <c r="C1252" s="1" t="s">
        <v>2997</v>
      </c>
      <c r="D1252" s="1" t="s">
        <v>6557</v>
      </c>
      <c r="E1252" s="1">
        <v>85602</v>
      </c>
      <c r="F1252" s="1" t="s">
        <v>6492</v>
      </c>
      <c r="G1252" s="1" t="s">
        <v>6548</v>
      </c>
      <c r="H1252" s="4" t="s">
        <v>2401</v>
      </c>
      <c r="R1252" s="1" t="s">
        <v>6550</v>
      </c>
      <c r="V1252" s="45">
        <f t="shared" si="19"/>
        <v>1</v>
      </c>
      <c r="W1252" s="45" t="s">
        <v>6558</v>
      </c>
    </row>
    <row r="1253" spans="1:23" hidden="1">
      <c r="A1253" s="2">
        <v>45944</v>
      </c>
      <c r="B1253" s="1" t="s">
        <v>6559</v>
      </c>
      <c r="C1253" s="1" t="s">
        <v>6560</v>
      </c>
      <c r="D1253" s="1" t="s">
        <v>6499</v>
      </c>
      <c r="E1253" s="1">
        <v>85747</v>
      </c>
      <c r="F1253" s="1" t="s">
        <v>6492</v>
      </c>
      <c r="G1253" s="1" t="s">
        <v>6548</v>
      </c>
      <c r="H1253" s="4" t="s">
        <v>2401</v>
      </c>
      <c r="R1253" s="1" t="s">
        <v>6550</v>
      </c>
      <c r="V1253" s="45">
        <f t="shared" si="19"/>
        <v>1</v>
      </c>
      <c r="W1253" s="45" t="s">
        <v>6561</v>
      </c>
    </row>
    <row r="1254" spans="1:23" hidden="1">
      <c r="A1254" s="2">
        <v>45944</v>
      </c>
      <c r="B1254" s="1" t="s">
        <v>6562</v>
      </c>
      <c r="C1254" s="1" t="s">
        <v>2667</v>
      </c>
      <c r="D1254" s="1" t="s">
        <v>2439</v>
      </c>
      <c r="E1254" s="1">
        <v>85032</v>
      </c>
      <c r="F1254" s="1" t="s">
        <v>6492</v>
      </c>
      <c r="G1254" s="1" t="s">
        <v>6548</v>
      </c>
      <c r="H1254" s="4" t="s">
        <v>2401</v>
      </c>
      <c r="R1254" s="1" t="s">
        <v>6550</v>
      </c>
      <c r="V1254" s="45">
        <f t="shared" si="19"/>
        <v>1</v>
      </c>
      <c r="W1254" s="45" t="s">
        <v>6563</v>
      </c>
    </row>
    <row r="1255" spans="1:23" hidden="1">
      <c r="A1255" s="2">
        <v>45944</v>
      </c>
      <c r="B1255" s="1" t="s">
        <v>6564</v>
      </c>
      <c r="C1255" s="1" t="s">
        <v>2632</v>
      </c>
      <c r="D1255" s="1" t="s">
        <v>2439</v>
      </c>
      <c r="E1255" s="1">
        <v>85032</v>
      </c>
      <c r="F1255" s="1" t="s">
        <v>6492</v>
      </c>
      <c r="G1255" s="1" t="s">
        <v>6548</v>
      </c>
      <c r="H1255" s="4" t="s">
        <v>1644</v>
      </c>
      <c r="I1255" s="5" t="s">
        <v>2420</v>
      </c>
      <c r="J1255" s="5" t="s">
        <v>24</v>
      </c>
      <c r="K1255" s="5" t="s">
        <v>24</v>
      </c>
      <c r="L1255" s="5" t="s">
        <v>4282</v>
      </c>
      <c r="M1255" s="5" t="s">
        <v>24</v>
      </c>
      <c r="N1255" s="5" t="s">
        <v>24</v>
      </c>
      <c r="O1255" s="5" t="s">
        <v>75</v>
      </c>
      <c r="P1255" s="5" t="s">
        <v>2413</v>
      </c>
      <c r="Q1255" s="2">
        <v>45954</v>
      </c>
      <c r="R1255" s="1" t="s">
        <v>6565</v>
      </c>
      <c r="V1255" s="45">
        <f t="shared" si="19"/>
        <v>1</v>
      </c>
      <c r="W1255" s="45" t="s">
        <v>6566</v>
      </c>
    </row>
    <row r="1256" spans="1:23" hidden="1">
      <c r="A1256" s="2">
        <v>45944</v>
      </c>
      <c r="B1256" s="1" t="s">
        <v>2562</v>
      </c>
      <c r="C1256" s="1" t="s">
        <v>6567</v>
      </c>
      <c r="D1256" s="1" t="s">
        <v>2439</v>
      </c>
      <c r="E1256" s="1">
        <v>85007</v>
      </c>
      <c r="F1256" s="1" t="s">
        <v>6492</v>
      </c>
      <c r="G1256" s="1" t="s">
        <v>6548</v>
      </c>
      <c r="H1256" s="4" t="s">
        <v>1646</v>
      </c>
      <c r="I1256" s="5" t="s">
        <v>2412</v>
      </c>
      <c r="J1256" s="5" t="s">
        <v>24</v>
      </c>
      <c r="K1256" s="5" t="s">
        <v>24</v>
      </c>
      <c r="L1256" s="5" t="s">
        <v>4282</v>
      </c>
      <c r="M1256" s="5" t="s">
        <v>24</v>
      </c>
      <c r="N1256" s="5" t="s">
        <v>24</v>
      </c>
      <c r="O1256" s="5" t="s">
        <v>75</v>
      </c>
      <c r="P1256" s="5" t="s">
        <v>2413</v>
      </c>
      <c r="Q1256" s="2">
        <v>45954</v>
      </c>
      <c r="R1256" s="1" t="s">
        <v>6550</v>
      </c>
      <c r="V1256" s="45">
        <f t="shared" si="19"/>
        <v>1</v>
      </c>
      <c r="W1256" s="45" t="s">
        <v>6568</v>
      </c>
    </row>
    <row r="1257" spans="1:23" hidden="1">
      <c r="A1257" s="2">
        <v>45944</v>
      </c>
      <c r="B1257" s="1" t="s">
        <v>4961</v>
      </c>
      <c r="C1257" s="1" t="s">
        <v>4568</v>
      </c>
      <c r="D1257" s="1" t="s">
        <v>6499</v>
      </c>
      <c r="E1257" s="1" t="s">
        <v>2405</v>
      </c>
      <c r="F1257" s="1" t="s">
        <v>6492</v>
      </c>
      <c r="G1257" s="1" t="s">
        <v>6569</v>
      </c>
      <c r="H1257" s="4" t="s">
        <v>2401</v>
      </c>
      <c r="V1257" s="45">
        <f t="shared" si="19"/>
        <v>1</v>
      </c>
      <c r="W1257" s="45" t="s">
        <v>6570</v>
      </c>
    </row>
    <row r="1258" spans="1:23" hidden="1">
      <c r="A1258" s="2">
        <v>45944</v>
      </c>
      <c r="B1258" s="1" t="s">
        <v>6571</v>
      </c>
      <c r="C1258" s="1" t="s">
        <v>2636</v>
      </c>
      <c r="D1258" s="1" t="s">
        <v>6499</v>
      </c>
      <c r="E1258" s="1" t="s">
        <v>2405</v>
      </c>
      <c r="F1258" s="1" t="s">
        <v>6492</v>
      </c>
      <c r="G1258" s="1" t="s">
        <v>6569</v>
      </c>
      <c r="H1258" s="4" t="s">
        <v>2401</v>
      </c>
      <c r="V1258" s="45">
        <f t="shared" si="19"/>
        <v>1</v>
      </c>
      <c r="W1258" s="45" t="s">
        <v>6572</v>
      </c>
    </row>
    <row r="1259" spans="1:23" hidden="1">
      <c r="A1259" s="2">
        <v>45944</v>
      </c>
      <c r="B1259" s="1" t="s">
        <v>3698</v>
      </c>
      <c r="C1259" s="1" t="s">
        <v>6573</v>
      </c>
      <c r="D1259" s="1" t="s">
        <v>6499</v>
      </c>
      <c r="E1259" s="1" t="s">
        <v>2405</v>
      </c>
      <c r="F1259" s="1" t="s">
        <v>6492</v>
      </c>
      <c r="G1259" s="1" t="s">
        <v>6569</v>
      </c>
      <c r="H1259" s="4" t="s">
        <v>2401</v>
      </c>
      <c r="V1259" s="45">
        <f t="shared" si="19"/>
        <v>1</v>
      </c>
      <c r="W1259" s="45" t="s">
        <v>6574</v>
      </c>
    </row>
    <row r="1260" spans="1:23" hidden="1">
      <c r="A1260" s="2">
        <v>45945</v>
      </c>
      <c r="B1260" s="1" t="s">
        <v>6575</v>
      </c>
      <c r="C1260" s="1" t="s">
        <v>2878</v>
      </c>
      <c r="D1260" s="1" t="s">
        <v>6576</v>
      </c>
      <c r="E1260" s="1">
        <v>86337</v>
      </c>
      <c r="F1260" s="1" t="s">
        <v>6577</v>
      </c>
      <c r="G1260" s="1" t="s">
        <v>6578</v>
      </c>
      <c r="H1260" s="4" t="s">
        <v>1648</v>
      </c>
      <c r="I1260" s="5" t="s">
        <v>2848</v>
      </c>
      <c r="J1260" s="5" t="s">
        <v>24</v>
      </c>
      <c r="K1260" s="5" t="s">
        <v>24</v>
      </c>
      <c r="L1260" s="5" t="s">
        <v>2819</v>
      </c>
      <c r="M1260" s="5" t="s">
        <v>24</v>
      </c>
      <c r="N1260" s="5" t="s">
        <v>24</v>
      </c>
      <c r="O1260" s="5" t="s">
        <v>75</v>
      </c>
      <c r="P1260" s="5" t="s">
        <v>2413</v>
      </c>
      <c r="Q1260" s="2">
        <v>45954</v>
      </c>
      <c r="V1260" s="45">
        <f t="shared" si="19"/>
        <v>1</v>
      </c>
      <c r="W1260" s="45" t="s">
        <v>6579</v>
      </c>
    </row>
    <row r="1261" spans="1:23" hidden="1">
      <c r="A1261" s="2">
        <v>45945</v>
      </c>
      <c r="B1261" s="1" t="s">
        <v>6580</v>
      </c>
      <c r="C1261" s="1" t="s">
        <v>6198</v>
      </c>
      <c r="D1261" s="1" t="s">
        <v>6581</v>
      </c>
      <c r="E1261" s="1">
        <v>85650</v>
      </c>
      <c r="F1261" s="1" t="s">
        <v>6582</v>
      </c>
      <c r="G1261" s="1" t="s">
        <v>6578</v>
      </c>
      <c r="H1261" s="4" t="s">
        <v>1650</v>
      </c>
      <c r="I1261" s="5" t="s">
        <v>2412</v>
      </c>
      <c r="J1261" s="5" t="s">
        <v>24</v>
      </c>
      <c r="K1261" s="5" t="s">
        <v>24</v>
      </c>
      <c r="L1261" s="5" t="s">
        <v>4282</v>
      </c>
      <c r="M1261" s="5" t="s">
        <v>24</v>
      </c>
      <c r="N1261" s="5" t="s">
        <v>24</v>
      </c>
      <c r="O1261" s="5" t="s">
        <v>75</v>
      </c>
      <c r="P1261" s="5" t="s">
        <v>2413</v>
      </c>
      <c r="Q1261" s="2">
        <v>45954</v>
      </c>
      <c r="V1261" s="45">
        <f t="shared" si="19"/>
        <v>1</v>
      </c>
      <c r="W1261" s="45" t="s">
        <v>6583</v>
      </c>
    </row>
    <row r="1262" spans="1:23" hidden="1">
      <c r="A1262" s="2">
        <v>45945</v>
      </c>
      <c r="B1262" s="1" t="s">
        <v>5430</v>
      </c>
      <c r="C1262" s="1" t="s">
        <v>5941</v>
      </c>
      <c r="D1262" s="1" t="s">
        <v>2439</v>
      </c>
      <c r="E1262" s="1">
        <v>85041</v>
      </c>
      <c r="F1262" s="1" t="s">
        <v>6492</v>
      </c>
      <c r="G1262" s="1" t="s">
        <v>6578</v>
      </c>
      <c r="H1262" s="4" t="s">
        <v>2401</v>
      </c>
      <c r="V1262" s="45">
        <f t="shared" si="19"/>
        <v>1</v>
      </c>
      <c r="W1262" s="45" t="s">
        <v>6584</v>
      </c>
    </row>
    <row r="1263" spans="1:23" hidden="1">
      <c r="A1263" s="2">
        <v>45945</v>
      </c>
      <c r="B1263" s="1" t="s">
        <v>2695</v>
      </c>
      <c r="C1263" s="1" t="s">
        <v>2547</v>
      </c>
      <c r="D1263" s="1" t="s">
        <v>2398</v>
      </c>
      <c r="E1263" s="1" t="s">
        <v>2405</v>
      </c>
      <c r="F1263" s="1" t="s">
        <v>6585</v>
      </c>
      <c r="G1263" s="1" t="s">
        <v>6586</v>
      </c>
      <c r="H1263" s="4" t="s">
        <v>2401</v>
      </c>
      <c r="V1263" s="45">
        <f t="shared" si="19"/>
        <v>1</v>
      </c>
      <c r="W1263" s="45" t="s">
        <v>6587</v>
      </c>
    </row>
    <row r="1264" spans="1:23" hidden="1">
      <c r="A1264" s="2">
        <v>45946</v>
      </c>
      <c r="B1264" s="1" t="s">
        <v>6588</v>
      </c>
      <c r="C1264" s="1" t="s">
        <v>3221</v>
      </c>
      <c r="D1264" s="1" t="s">
        <v>6589</v>
      </c>
      <c r="E1264" s="1">
        <v>85553</v>
      </c>
      <c r="F1264" s="1" t="s">
        <v>6590</v>
      </c>
      <c r="G1264" s="1" t="s">
        <v>6591</v>
      </c>
      <c r="H1264" s="4" t="s">
        <v>1652</v>
      </c>
      <c r="I1264" s="5" t="s">
        <v>2988</v>
      </c>
      <c r="J1264" s="5" t="s">
        <v>24</v>
      </c>
      <c r="K1264" s="5" t="s">
        <v>24</v>
      </c>
      <c r="L1264" s="5" t="s">
        <v>2819</v>
      </c>
      <c r="M1264" s="5" t="s">
        <v>24</v>
      </c>
      <c r="N1264" s="5" t="s">
        <v>24</v>
      </c>
      <c r="O1264" s="5" t="s">
        <v>75</v>
      </c>
      <c r="P1264" s="5" t="s">
        <v>2413</v>
      </c>
      <c r="Q1264" s="2">
        <v>45954</v>
      </c>
      <c r="V1264" s="45">
        <f t="shared" si="19"/>
        <v>1</v>
      </c>
      <c r="W1264" s="45" t="s">
        <v>6592</v>
      </c>
    </row>
    <row r="1265" spans="1:23" hidden="1">
      <c r="A1265" s="2">
        <v>45946</v>
      </c>
      <c r="B1265" s="1" t="s">
        <v>3529</v>
      </c>
      <c r="C1265" s="1" t="s">
        <v>6593</v>
      </c>
      <c r="D1265" s="1" t="s">
        <v>2439</v>
      </c>
      <c r="E1265" s="1">
        <v>85024</v>
      </c>
      <c r="F1265" s="1" t="s">
        <v>6594</v>
      </c>
      <c r="G1265" s="1" t="s">
        <v>6595</v>
      </c>
      <c r="H1265" s="4" t="s">
        <v>1654</v>
      </c>
      <c r="I1265" s="5" t="s">
        <v>2412</v>
      </c>
      <c r="J1265" s="5" t="s">
        <v>24</v>
      </c>
      <c r="K1265" s="5" t="s">
        <v>24</v>
      </c>
      <c r="L1265" s="5" t="s">
        <v>4282</v>
      </c>
      <c r="M1265" s="5" t="s">
        <v>24</v>
      </c>
      <c r="N1265" s="5" t="s">
        <v>24</v>
      </c>
      <c r="O1265" s="5" t="s">
        <v>75</v>
      </c>
      <c r="P1265" s="5" t="s">
        <v>2413</v>
      </c>
      <c r="Q1265" s="2">
        <v>45954</v>
      </c>
      <c r="V1265" s="45">
        <f t="shared" si="19"/>
        <v>1</v>
      </c>
      <c r="W1265" s="45" t="s">
        <v>6596</v>
      </c>
    </row>
    <row r="1266" spans="1:23" hidden="1">
      <c r="A1266" s="2">
        <v>45946</v>
      </c>
      <c r="B1266" s="1" t="s">
        <v>6376</v>
      </c>
      <c r="C1266" s="1" t="s">
        <v>6597</v>
      </c>
      <c r="D1266" s="1" t="s">
        <v>3303</v>
      </c>
      <c r="E1266" s="1">
        <v>86301</v>
      </c>
      <c r="F1266" s="1" t="s">
        <v>6598</v>
      </c>
      <c r="G1266" s="1" t="s">
        <v>6599</v>
      </c>
      <c r="H1266" s="4" t="s">
        <v>1656</v>
      </c>
      <c r="I1266" s="5" t="s">
        <v>2412</v>
      </c>
      <c r="J1266" s="5" t="s">
        <v>24</v>
      </c>
      <c r="K1266" s="5" t="s">
        <v>24</v>
      </c>
      <c r="L1266" s="5" t="s">
        <v>4282</v>
      </c>
      <c r="M1266" s="5" t="s">
        <v>24</v>
      </c>
      <c r="N1266" s="5" t="s">
        <v>24</v>
      </c>
      <c r="O1266" s="5" t="s">
        <v>75</v>
      </c>
      <c r="P1266" s="5" t="s">
        <v>2413</v>
      </c>
      <c r="Q1266" s="2">
        <v>45954</v>
      </c>
      <c r="V1266" s="45">
        <f t="shared" si="19"/>
        <v>1</v>
      </c>
      <c r="W1266" s="45" t="s">
        <v>6600</v>
      </c>
    </row>
    <row r="1267" spans="1:23" hidden="1">
      <c r="A1267" s="2">
        <v>45946</v>
      </c>
      <c r="B1267" s="1" t="s">
        <v>6601</v>
      </c>
      <c r="C1267" s="1" t="s">
        <v>2812</v>
      </c>
      <c r="D1267" s="1" t="s">
        <v>3073</v>
      </c>
      <c r="E1267" s="1">
        <v>85364</v>
      </c>
      <c r="F1267" s="1" t="s">
        <v>6602</v>
      </c>
      <c r="G1267" s="1" t="s">
        <v>6599</v>
      </c>
      <c r="H1267" s="4" t="s">
        <v>440</v>
      </c>
      <c r="I1267" s="5" t="s">
        <v>2420</v>
      </c>
      <c r="J1267" s="5" t="s">
        <v>24</v>
      </c>
      <c r="K1267" s="5" t="s">
        <v>24</v>
      </c>
      <c r="L1267" s="5" t="s">
        <v>6603</v>
      </c>
      <c r="M1267" s="5" t="s">
        <v>24</v>
      </c>
      <c r="N1267" s="5" t="s">
        <v>24</v>
      </c>
      <c r="O1267" s="5" t="s">
        <v>75</v>
      </c>
      <c r="P1267" s="5" t="s">
        <v>2413</v>
      </c>
      <c r="Q1267" s="2">
        <v>45954</v>
      </c>
      <c r="R1267" s="1" t="s">
        <v>6604</v>
      </c>
      <c r="V1267" s="45">
        <f t="shared" si="19"/>
        <v>1</v>
      </c>
      <c r="W1267" s="45" t="s">
        <v>6605</v>
      </c>
    </row>
    <row r="1268" spans="1:23" hidden="1">
      <c r="A1268" s="2">
        <v>45946</v>
      </c>
      <c r="B1268" s="1" t="s">
        <v>6606</v>
      </c>
      <c r="C1268" s="1" t="s">
        <v>6607</v>
      </c>
      <c r="D1268" s="1" t="s">
        <v>3090</v>
      </c>
      <c r="E1268" s="1">
        <v>85281</v>
      </c>
      <c r="F1268" s="1" t="s">
        <v>2730</v>
      </c>
      <c r="G1268" s="1" t="s">
        <v>6599</v>
      </c>
      <c r="H1268" s="4" t="s">
        <v>2471</v>
      </c>
      <c r="V1268" s="45">
        <f t="shared" si="19"/>
        <v>1</v>
      </c>
      <c r="W1268" s="45" t="s">
        <v>6608</v>
      </c>
    </row>
    <row r="1269" spans="1:23" hidden="1">
      <c r="A1269" s="2">
        <v>45946</v>
      </c>
      <c r="B1269" s="1" t="s">
        <v>3722</v>
      </c>
      <c r="C1269" s="1" t="s">
        <v>3530</v>
      </c>
      <c r="D1269" s="1" t="s">
        <v>2439</v>
      </c>
      <c r="E1269" s="1">
        <v>85006</v>
      </c>
      <c r="F1269" s="1" t="s">
        <v>6609</v>
      </c>
      <c r="G1269" s="1" t="s">
        <v>6599</v>
      </c>
      <c r="H1269" s="4" t="s">
        <v>1658</v>
      </c>
      <c r="I1269" s="5" t="s">
        <v>2988</v>
      </c>
      <c r="J1269" s="5" t="s">
        <v>24</v>
      </c>
      <c r="K1269" s="5" t="s">
        <v>24</v>
      </c>
      <c r="L1269" s="5" t="s">
        <v>2819</v>
      </c>
      <c r="M1269" s="5" t="s">
        <v>24</v>
      </c>
      <c r="N1269" s="5" t="s">
        <v>24</v>
      </c>
      <c r="O1269" s="5" t="s">
        <v>75</v>
      </c>
      <c r="P1269" s="5" t="s">
        <v>2413</v>
      </c>
      <c r="Q1269" s="2">
        <v>45954</v>
      </c>
      <c r="V1269" s="45">
        <f t="shared" si="19"/>
        <v>1</v>
      </c>
      <c r="W1269" s="45" t="s">
        <v>6610</v>
      </c>
    </row>
    <row r="1270" spans="1:23" hidden="1">
      <c r="A1270" s="2">
        <v>45946</v>
      </c>
      <c r="B1270" s="1" t="s">
        <v>6611</v>
      </c>
      <c r="C1270" s="1" t="s">
        <v>6612</v>
      </c>
      <c r="D1270" s="1" t="s">
        <v>2950</v>
      </c>
      <c r="E1270" s="1">
        <v>86005</v>
      </c>
      <c r="F1270" s="1" t="s">
        <v>6613</v>
      </c>
      <c r="G1270" s="1" t="s">
        <v>6599</v>
      </c>
      <c r="H1270" s="4" t="s">
        <v>442</v>
      </c>
      <c r="I1270" s="5" t="s">
        <v>2514</v>
      </c>
      <c r="J1270" s="5" t="s">
        <v>24</v>
      </c>
      <c r="K1270" s="5" t="s">
        <v>24</v>
      </c>
      <c r="L1270" s="5" t="s">
        <v>6614</v>
      </c>
      <c r="M1270" s="5" t="s">
        <v>24</v>
      </c>
      <c r="N1270" s="5" t="s">
        <v>24</v>
      </c>
      <c r="O1270" s="5" t="s">
        <v>75</v>
      </c>
      <c r="P1270" s="5" t="s">
        <v>2413</v>
      </c>
      <c r="Q1270" s="2">
        <v>45954</v>
      </c>
      <c r="V1270" s="45">
        <f t="shared" si="19"/>
        <v>1</v>
      </c>
      <c r="W1270" s="45" t="s">
        <v>6615</v>
      </c>
    </row>
    <row r="1271" spans="1:23" hidden="1">
      <c r="A1271" s="2">
        <v>45946</v>
      </c>
      <c r="B1271" s="1" t="s">
        <v>2850</v>
      </c>
      <c r="C1271" s="1" t="s">
        <v>6616</v>
      </c>
      <c r="D1271" s="1" t="s">
        <v>2439</v>
      </c>
      <c r="E1271" s="1">
        <v>85029</v>
      </c>
      <c r="F1271" s="1" t="s">
        <v>6617</v>
      </c>
      <c r="G1271" s="1" t="s">
        <v>6599</v>
      </c>
      <c r="H1271" s="4" t="s">
        <v>1660</v>
      </c>
      <c r="I1271" s="5" t="s">
        <v>2514</v>
      </c>
      <c r="J1271" s="5" t="s">
        <v>24</v>
      </c>
      <c r="K1271" s="5" t="s">
        <v>24</v>
      </c>
      <c r="L1271" s="5" t="s">
        <v>4282</v>
      </c>
      <c r="M1271" s="5" t="s">
        <v>24</v>
      </c>
      <c r="N1271" s="5" t="s">
        <v>24</v>
      </c>
      <c r="O1271" s="5" t="s">
        <v>75</v>
      </c>
      <c r="P1271" s="5" t="s">
        <v>2413</v>
      </c>
      <c r="Q1271" s="2">
        <v>45954</v>
      </c>
      <c r="V1271" s="45">
        <f t="shared" si="19"/>
        <v>1</v>
      </c>
      <c r="W1271" s="45" t="s">
        <v>6618</v>
      </c>
    </row>
    <row r="1272" spans="1:23" hidden="1">
      <c r="A1272" s="2">
        <v>45947</v>
      </c>
      <c r="B1272" s="1" t="s">
        <v>2458</v>
      </c>
      <c r="C1272" s="1" t="s">
        <v>2459</v>
      </c>
      <c r="D1272" s="1" t="s">
        <v>2513</v>
      </c>
      <c r="E1272" s="1">
        <v>85254</v>
      </c>
      <c r="F1272" s="1" t="s">
        <v>6619</v>
      </c>
      <c r="G1272" s="1" t="s">
        <v>6620</v>
      </c>
      <c r="H1272" s="4" t="s">
        <v>2335</v>
      </c>
      <c r="I1272" s="5" t="s">
        <v>2460</v>
      </c>
      <c r="J1272" s="5" t="s">
        <v>24</v>
      </c>
      <c r="K1272" s="5" t="s">
        <v>24</v>
      </c>
      <c r="L1272" s="5" t="s">
        <v>2819</v>
      </c>
      <c r="M1272" s="5" t="s">
        <v>24</v>
      </c>
      <c r="N1272" s="5" t="s">
        <v>24</v>
      </c>
      <c r="O1272" s="5" t="s">
        <v>75</v>
      </c>
      <c r="P1272" s="5" t="s">
        <v>2413</v>
      </c>
      <c r="Q1272" s="2">
        <v>45954</v>
      </c>
      <c r="R1272" s="1" t="s">
        <v>5747</v>
      </c>
      <c r="V1272" s="45">
        <f t="shared" si="19"/>
        <v>1</v>
      </c>
      <c r="W1272" s="45" t="s">
        <v>6621</v>
      </c>
    </row>
    <row r="1273" spans="1:23" hidden="1">
      <c r="A1273" s="2">
        <v>45947</v>
      </c>
      <c r="B1273" s="1" t="s">
        <v>6622</v>
      </c>
      <c r="C1273" s="1" t="s">
        <v>3178</v>
      </c>
      <c r="D1273" s="1" t="s">
        <v>2405</v>
      </c>
      <c r="E1273" s="1" t="s">
        <v>2405</v>
      </c>
      <c r="F1273" s="1" t="s">
        <v>6623</v>
      </c>
      <c r="G1273" s="1" t="s">
        <v>6620</v>
      </c>
      <c r="H1273" s="4" t="s">
        <v>2471</v>
      </c>
      <c r="V1273" s="45">
        <f t="shared" si="19"/>
        <v>1</v>
      </c>
      <c r="W1273" s="45" t="s">
        <v>6624</v>
      </c>
    </row>
    <row r="1274" spans="1:23" hidden="1">
      <c r="A1274" s="2">
        <v>45947</v>
      </c>
      <c r="B1274" s="1" t="s">
        <v>6625</v>
      </c>
      <c r="C1274" s="1" t="s">
        <v>4451</v>
      </c>
      <c r="D1274" s="1" t="s">
        <v>2513</v>
      </c>
      <c r="E1274" s="1">
        <v>85254</v>
      </c>
      <c r="F1274" s="1" t="s">
        <v>6626</v>
      </c>
      <c r="G1274" s="1" t="s">
        <v>6620</v>
      </c>
      <c r="H1274" s="4" t="s">
        <v>1662</v>
      </c>
      <c r="I1274" s="5" t="s">
        <v>2451</v>
      </c>
      <c r="J1274" s="5" t="s">
        <v>24</v>
      </c>
      <c r="K1274" s="5" t="s">
        <v>24</v>
      </c>
      <c r="L1274" s="5" t="s">
        <v>4282</v>
      </c>
      <c r="M1274" s="5" t="s">
        <v>24</v>
      </c>
      <c r="N1274" s="5" t="s">
        <v>24</v>
      </c>
      <c r="O1274" s="5" t="s">
        <v>75</v>
      </c>
      <c r="P1274" s="5" t="s">
        <v>2413</v>
      </c>
      <c r="Q1274" s="2">
        <v>45954</v>
      </c>
      <c r="V1274" s="45">
        <f t="shared" si="19"/>
        <v>1</v>
      </c>
      <c r="W1274" s="45" t="s">
        <v>6627</v>
      </c>
    </row>
    <row r="1275" spans="1:23" hidden="1">
      <c r="A1275" s="2">
        <v>45947</v>
      </c>
      <c r="B1275" s="1" t="s">
        <v>6628</v>
      </c>
      <c r="C1275" s="1" t="s">
        <v>3027</v>
      </c>
      <c r="D1275" s="1" t="s">
        <v>6629</v>
      </c>
      <c r="F1275" s="1" t="s">
        <v>6630</v>
      </c>
      <c r="G1275" s="1" t="s">
        <v>6631</v>
      </c>
      <c r="H1275" s="4" t="s">
        <v>2401</v>
      </c>
      <c r="V1275" s="45">
        <f t="shared" si="19"/>
        <v>1</v>
      </c>
      <c r="W1275" s="45" t="s">
        <v>6632</v>
      </c>
    </row>
    <row r="1276" spans="1:23" hidden="1">
      <c r="A1276" s="2">
        <v>45947</v>
      </c>
      <c r="B1276" s="1" t="s">
        <v>6633</v>
      </c>
      <c r="C1276" s="1" t="s">
        <v>4151</v>
      </c>
      <c r="D1276" s="1" t="s">
        <v>2405</v>
      </c>
      <c r="E1276" s="1" t="s">
        <v>2405</v>
      </c>
      <c r="F1276" s="1" t="s">
        <v>6630</v>
      </c>
      <c r="G1276" s="1" t="s">
        <v>6631</v>
      </c>
      <c r="H1276" s="4" t="s">
        <v>2401</v>
      </c>
      <c r="V1276" s="45">
        <f t="shared" si="19"/>
        <v>1</v>
      </c>
      <c r="W1276" s="45" t="s">
        <v>6634</v>
      </c>
    </row>
    <row r="1277" spans="1:23" hidden="1">
      <c r="A1277" s="2">
        <v>45951</v>
      </c>
      <c r="B1277" s="1" t="s">
        <v>6635</v>
      </c>
      <c r="C1277" s="1" t="s">
        <v>2469</v>
      </c>
      <c r="D1277" s="1" t="s">
        <v>5809</v>
      </c>
      <c r="E1277" s="1">
        <v>85344</v>
      </c>
      <c r="F1277" s="1" t="s">
        <v>6636</v>
      </c>
      <c r="G1277" s="1" t="s">
        <v>6637</v>
      </c>
      <c r="H1277" s="4" t="s">
        <v>445</v>
      </c>
      <c r="I1277" s="5" t="s">
        <v>2514</v>
      </c>
      <c r="J1277" s="5" t="s">
        <v>24</v>
      </c>
      <c r="K1277" s="5" t="s">
        <v>24</v>
      </c>
      <c r="M1277" s="5" t="s">
        <v>24</v>
      </c>
      <c r="N1277" s="5" t="s">
        <v>24</v>
      </c>
      <c r="O1277" s="5" t="s">
        <v>75</v>
      </c>
      <c r="P1277" s="5" t="s">
        <v>2413</v>
      </c>
      <c r="Q1277" s="2">
        <v>45954</v>
      </c>
      <c r="R1277" s="1" t="s">
        <v>6638</v>
      </c>
      <c r="V1277" s="45">
        <f t="shared" si="19"/>
        <v>1</v>
      </c>
      <c r="W1277" s="45" t="s">
        <v>6639</v>
      </c>
    </row>
    <row r="1278" spans="1:23" hidden="1">
      <c r="A1278" s="2">
        <v>45951</v>
      </c>
      <c r="B1278" s="1" t="s">
        <v>6640</v>
      </c>
      <c r="C1278" s="1" t="s">
        <v>2977</v>
      </c>
      <c r="D1278" s="1" t="s">
        <v>2605</v>
      </c>
      <c r="E1278" s="1">
        <v>85383</v>
      </c>
      <c r="F1278" s="1" t="s">
        <v>6641</v>
      </c>
      <c r="G1278" s="1" t="s">
        <v>6642</v>
      </c>
      <c r="H1278" s="4" t="s">
        <v>1664</v>
      </c>
      <c r="I1278" s="5" t="s">
        <v>2412</v>
      </c>
      <c r="J1278" s="5" t="s">
        <v>24</v>
      </c>
      <c r="K1278" s="5" t="s">
        <v>24</v>
      </c>
      <c r="L1278" s="5" t="s">
        <v>4282</v>
      </c>
      <c r="M1278" s="5" t="s">
        <v>24</v>
      </c>
      <c r="N1278" s="5" t="s">
        <v>24</v>
      </c>
      <c r="O1278" s="5" t="s">
        <v>75</v>
      </c>
      <c r="P1278" s="5" t="s">
        <v>2413</v>
      </c>
      <c r="Q1278" s="2">
        <v>45954</v>
      </c>
      <c r="V1278" s="45">
        <f t="shared" si="19"/>
        <v>1</v>
      </c>
      <c r="W1278" s="45" t="s">
        <v>6643</v>
      </c>
    </row>
    <row r="1279" spans="1:23" hidden="1">
      <c r="A1279" s="2">
        <v>45951</v>
      </c>
      <c r="B1279" s="1" t="s">
        <v>6644</v>
      </c>
      <c r="C1279" s="1" t="s">
        <v>3050</v>
      </c>
      <c r="D1279" s="1" t="s">
        <v>2564</v>
      </c>
      <c r="E1279" s="1">
        <v>85338</v>
      </c>
      <c r="F1279" s="1" t="s">
        <v>6645</v>
      </c>
      <c r="G1279" s="1" t="s">
        <v>6642</v>
      </c>
      <c r="H1279" s="4" t="s">
        <v>1667</v>
      </c>
      <c r="I1279" s="5" t="s">
        <v>2848</v>
      </c>
      <c r="J1279" s="5" t="s">
        <v>24</v>
      </c>
      <c r="K1279" s="5" t="s">
        <v>24</v>
      </c>
      <c r="L1279" s="5" t="s">
        <v>2819</v>
      </c>
      <c r="M1279" s="5" t="s">
        <v>24</v>
      </c>
      <c r="N1279" s="5" t="s">
        <v>24</v>
      </c>
      <c r="O1279" s="5" t="s">
        <v>75</v>
      </c>
      <c r="P1279" s="5" t="s">
        <v>2413</v>
      </c>
      <c r="Q1279" s="2">
        <v>45954</v>
      </c>
      <c r="V1279" s="45">
        <f t="shared" si="19"/>
        <v>1</v>
      </c>
      <c r="W1279" s="45" t="s">
        <v>6646</v>
      </c>
    </row>
    <row r="1280" spans="1:23" hidden="1">
      <c r="A1280" s="2">
        <v>45951</v>
      </c>
      <c r="B1280" s="1" t="s">
        <v>6647</v>
      </c>
      <c r="C1280" s="1" t="s">
        <v>3143</v>
      </c>
      <c r="D1280" s="1" t="s">
        <v>2439</v>
      </c>
      <c r="E1280" s="1">
        <v>85014</v>
      </c>
      <c r="F1280" s="1" t="s">
        <v>6648</v>
      </c>
      <c r="G1280" s="1" t="s">
        <v>6649</v>
      </c>
      <c r="H1280" s="4" t="s">
        <v>2471</v>
      </c>
      <c r="V1280" s="45">
        <f t="shared" si="19"/>
        <v>1</v>
      </c>
      <c r="W1280" s="45" t="s">
        <v>6650</v>
      </c>
    </row>
    <row r="1281" spans="1:23" hidden="1">
      <c r="A1281" s="2">
        <v>45952</v>
      </c>
      <c r="B1281" s="1" t="s">
        <v>5397</v>
      </c>
      <c r="C1281" s="1" t="s">
        <v>4667</v>
      </c>
      <c r="D1281" s="1" t="s">
        <v>3090</v>
      </c>
      <c r="E1281" s="1">
        <v>85282</v>
      </c>
      <c r="F1281" s="1" t="s">
        <v>6651</v>
      </c>
      <c r="G1281" s="1" t="s">
        <v>6649</v>
      </c>
      <c r="H1281" s="4" t="s">
        <v>2401</v>
      </c>
      <c r="V1281" s="45">
        <f t="shared" si="19"/>
        <v>1</v>
      </c>
      <c r="W1281" s="45" t="s">
        <v>6652</v>
      </c>
    </row>
    <row r="1282" spans="1:23" hidden="1">
      <c r="A1282" s="2">
        <v>45952</v>
      </c>
      <c r="B1282" s="1" t="s">
        <v>6653</v>
      </c>
      <c r="C1282" s="1" t="s">
        <v>6654</v>
      </c>
      <c r="D1282" s="1" t="s">
        <v>2439</v>
      </c>
      <c r="E1282" s="1">
        <v>85012</v>
      </c>
      <c r="F1282" s="1" t="s">
        <v>6655</v>
      </c>
      <c r="G1282" s="1" t="s">
        <v>6649</v>
      </c>
      <c r="H1282" s="4" t="s">
        <v>447</v>
      </c>
      <c r="I1282" s="5" t="s">
        <v>2451</v>
      </c>
      <c r="J1282" s="5" t="s">
        <v>24</v>
      </c>
      <c r="K1282" s="5" t="s">
        <v>24</v>
      </c>
      <c r="L1282" s="5" t="s">
        <v>6656</v>
      </c>
      <c r="M1282" s="5" t="s">
        <v>24</v>
      </c>
      <c r="N1282" s="5" t="s">
        <v>24</v>
      </c>
      <c r="O1282" s="5" t="s">
        <v>75</v>
      </c>
      <c r="P1282" s="5" t="s">
        <v>2413</v>
      </c>
      <c r="Q1282" s="2">
        <v>45954</v>
      </c>
      <c r="V1282" s="45">
        <f t="shared" ref="V1282:V1345" si="20">IF(OR(ISNUMBER(SEARCH("unable to locate acct",G1282)),ISNUMBER(SEARCH("unknown",G1282)),ISNUMBER(SEARCH("inactive",G1282)),H1282=""),0,1)</f>
        <v>1</v>
      </c>
      <c r="W1282" s="45" t="s">
        <v>6657</v>
      </c>
    </row>
    <row r="1283" spans="1:23" hidden="1">
      <c r="A1283" s="2">
        <v>45952</v>
      </c>
      <c r="B1283" s="1" t="s">
        <v>6658</v>
      </c>
      <c r="C1283" s="1" t="s">
        <v>2636</v>
      </c>
      <c r="D1283" s="1" t="s">
        <v>2570</v>
      </c>
      <c r="E1283" s="1">
        <v>85326</v>
      </c>
      <c r="F1283" s="1" t="s">
        <v>6659</v>
      </c>
      <c r="G1283" s="1" t="s">
        <v>6660</v>
      </c>
      <c r="H1283" s="4" t="s">
        <v>2401</v>
      </c>
      <c r="Q1283" s="2"/>
      <c r="V1283" s="45">
        <f t="shared" si="20"/>
        <v>1</v>
      </c>
      <c r="W1283" s="45" t="s">
        <v>6661</v>
      </c>
    </row>
    <row r="1284" spans="1:23" hidden="1">
      <c r="A1284" s="2">
        <v>45953</v>
      </c>
      <c r="B1284" s="1" t="s">
        <v>5438</v>
      </c>
      <c r="C1284" s="1" t="s">
        <v>4577</v>
      </c>
      <c r="D1284" s="1" t="s">
        <v>2439</v>
      </c>
      <c r="E1284" s="1">
        <v>85019</v>
      </c>
      <c r="F1284" s="1" t="s">
        <v>6492</v>
      </c>
      <c r="G1284" s="1" t="s">
        <v>6660</v>
      </c>
      <c r="H1284" s="4" t="s">
        <v>2471</v>
      </c>
      <c r="V1284" s="45">
        <f t="shared" si="20"/>
        <v>1</v>
      </c>
      <c r="W1284" s="45" t="s">
        <v>6662</v>
      </c>
    </row>
    <row r="1285" spans="1:23" hidden="1">
      <c r="A1285" s="2">
        <v>45952</v>
      </c>
      <c r="B1285" s="1" t="s">
        <v>6663</v>
      </c>
      <c r="C1285" s="1" t="s">
        <v>6664</v>
      </c>
      <c r="D1285" s="1" t="s">
        <v>2439</v>
      </c>
      <c r="E1285" s="1">
        <v>85023</v>
      </c>
      <c r="F1285" s="1" t="s">
        <v>6665</v>
      </c>
      <c r="G1285" s="1" t="s">
        <v>6666</v>
      </c>
      <c r="H1285" s="4" t="s">
        <v>1669</v>
      </c>
      <c r="I1285" s="5" t="s">
        <v>2412</v>
      </c>
      <c r="J1285" s="5" t="s">
        <v>24</v>
      </c>
      <c r="K1285" s="5" t="s">
        <v>75</v>
      </c>
      <c r="L1285" s="5" t="s">
        <v>4282</v>
      </c>
      <c r="M1285" s="5" t="s">
        <v>24</v>
      </c>
      <c r="N1285" s="5" t="s">
        <v>24</v>
      </c>
      <c r="O1285" s="5" t="s">
        <v>75</v>
      </c>
      <c r="P1285" s="5" t="s">
        <v>2413</v>
      </c>
      <c r="Q1285" s="2">
        <v>45954</v>
      </c>
      <c r="V1285" s="45">
        <f t="shared" si="20"/>
        <v>1</v>
      </c>
      <c r="W1285" s="45" t="s">
        <v>6667</v>
      </c>
    </row>
    <row r="1286" spans="1:23" hidden="1">
      <c r="A1286" s="2">
        <v>45952</v>
      </c>
      <c r="B1286" s="1" t="s">
        <v>6668</v>
      </c>
      <c r="C1286" s="1" t="s">
        <v>5278</v>
      </c>
      <c r="D1286" s="1" t="s">
        <v>2570</v>
      </c>
      <c r="E1286" s="1">
        <v>85396</v>
      </c>
      <c r="F1286" s="1" t="s">
        <v>6669</v>
      </c>
      <c r="G1286" s="1" t="s">
        <v>6670</v>
      </c>
      <c r="H1286" s="4" t="s">
        <v>6671</v>
      </c>
      <c r="I1286" s="5" t="s">
        <v>2460</v>
      </c>
      <c r="J1286" s="5" t="s">
        <v>24</v>
      </c>
      <c r="K1286" s="5" t="s">
        <v>24</v>
      </c>
      <c r="L1286" s="5" t="s">
        <v>2819</v>
      </c>
      <c r="M1286" s="5" t="s">
        <v>24</v>
      </c>
      <c r="N1286" s="5" t="s">
        <v>24</v>
      </c>
      <c r="O1286" s="5" t="s">
        <v>75</v>
      </c>
      <c r="P1286" s="5" t="s">
        <v>2413</v>
      </c>
      <c r="Q1286" s="2">
        <v>45954</v>
      </c>
      <c r="V1286" s="45">
        <f t="shared" si="20"/>
        <v>1</v>
      </c>
      <c r="W1286" s="45" t="s">
        <v>6672</v>
      </c>
    </row>
    <row r="1287" spans="1:23" hidden="1">
      <c r="A1287" s="2">
        <v>45952</v>
      </c>
      <c r="B1287" s="1" t="s">
        <v>3071</v>
      </c>
      <c r="C1287" s="1" t="s">
        <v>6673</v>
      </c>
      <c r="D1287" s="1" t="s">
        <v>2570</v>
      </c>
      <c r="E1287" s="1">
        <v>85326</v>
      </c>
      <c r="F1287" s="1" t="s">
        <v>6674</v>
      </c>
      <c r="G1287" s="1" t="s">
        <v>6670</v>
      </c>
      <c r="H1287" s="4" t="s">
        <v>2613</v>
      </c>
      <c r="V1287" s="45">
        <f t="shared" si="20"/>
        <v>1</v>
      </c>
      <c r="W1287" s="45" t="s">
        <v>6675</v>
      </c>
    </row>
    <row r="1288" spans="1:23" hidden="1">
      <c r="A1288" s="2">
        <v>45953</v>
      </c>
      <c r="B1288" s="1" t="s">
        <v>6676</v>
      </c>
      <c r="C1288" s="1" t="s">
        <v>3382</v>
      </c>
      <c r="D1288" s="1" t="s">
        <v>2405</v>
      </c>
      <c r="E1288" s="1" t="s">
        <v>2405</v>
      </c>
      <c r="F1288" s="1" t="s">
        <v>6677</v>
      </c>
      <c r="H1288" s="4" t="s">
        <v>2401</v>
      </c>
      <c r="V1288" s="45">
        <f t="shared" si="20"/>
        <v>1</v>
      </c>
      <c r="W1288" s="45" t="s">
        <v>6678</v>
      </c>
    </row>
    <row r="1289" spans="1:23" hidden="1">
      <c r="A1289" s="2">
        <v>45953</v>
      </c>
      <c r="B1289" s="1" t="s">
        <v>6679</v>
      </c>
      <c r="C1289" s="1" t="s">
        <v>2745</v>
      </c>
      <c r="D1289" s="1" t="s">
        <v>2405</v>
      </c>
      <c r="E1289" s="1" t="s">
        <v>2405</v>
      </c>
      <c r="F1289" s="1" t="s">
        <v>6680</v>
      </c>
      <c r="G1289" s="1" t="s">
        <v>6681</v>
      </c>
      <c r="H1289" s="4" t="s">
        <v>2401</v>
      </c>
      <c r="V1289" s="45">
        <f t="shared" si="20"/>
        <v>1</v>
      </c>
      <c r="W1289" s="45" t="s">
        <v>6682</v>
      </c>
    </row>
    <row r="1290" spans="1:23" hidden="1">
      <c r="A1290" s="2">
        <v>45954</v>
      </c>
      <c r="B1290" s="1" t="s">
        <v>6683</v>
      </c>
      <c r="C1290" s="1" t="s">
        <v>6684</v>
      </c>
      <c r="D1290" s="1" t="s">
        <v>2570</v>
      </c>
      <c r="E1290" s="1">
        <v>85326</v>
      </c>
      <c r="F1290" s="1" t="s">
        <v>6685</v>
      </c>
      <c r="G1290" s="1" t="s">
        <v>6686</v>
      </c>
      <c r="H1290" s="4" t="s">
        <v>672</v>
      </c>
      <c r="I1290" s="5" t="s">
        <v>2420</v>
      </c>
      <c r="J1290" s="5" t="s">
        <v>24</v>
      </c>
      <c r="K1290" s="5" t="s">
        <v>24</v>
      </c>
      <c r="L1290" s="5" t="s">
        <v>4282</v>
      </c>
      <c r="M1290" s="5" t="s">
        <v>75</v>
      </c>
      <c r="N1290" s="13">
        <v>384.67</v>
      </c>
      <c r="O1290" s="5" t="s">
        <v>75</v>
      </c>
      <c r="P1290" s="5" t="s">
        <v>2413</v>
      </c>
      <c r="Q1290" s="2">
        <v>45960</v>
      </c>
      <c r="V1290" s="45">
        <f t="shared" si="20"/>
        <v>1</v>
      </c>
      <c r="W1290" s="45" t="s">
        <v>6687</v>
      </c>
    </row>
    <row r="1291" spans="1:23" hidden="1">
      <c r="A1291" s="2">
        <v>45954</v>
      </c>
      <c r="B1291" s="1" t="s">
        <v>6688</v>
      </c>
      <c r="C1291" s="1" t="s">
        <v>3000</v>
      </c>
      <c r="D1291" s="1" t="s">
        <v>2605</v>
      </c>
      <c r="E1291" s="1">
        <v>85383</v>
      </c>
      <c r="F1291" s="1" t="s">
        <v>6689</v>
      </c>
      <c r="G1291" s="1" t="s">
        <v>6686</v>
      </c>
      <c r="H1291" s="4" t="s">
        <v>1671</v>
      </c>
      <c r="I1291" s="5" t="s">
        <v>2412</v>
      </c>
      <c r="J1291" s="5" t="s">
        <v>24</v>
      </c>
      <c r="K1291" s="5" t="s">
        <v>24</v>
      </c>
      <c r="L1291" s="5" t="s">
        <v>4282</v>
      </c>
      <c r="M1291" s="5" t="s">
        <v>24</v>
      </c>
      <c r="N1291" s="5" t="s">
        <v>24</v>
      </c>
      <c r="O1291" s="5" t="s">
        <v>75</v>
      </c>
      <c r="P1291" s="5" t="s">
        <v>2413</v>
      </c>
      <c r="Q1291" s="2">
        <v>45960</v>
      </c>
      <c r="V1291" s="45">
        <f t="shared" si="20"/>
        <v>1</v>
      </c>
      <c r="W1291" s="45" t="s">
        <v>6690</v>
      </c>
    </row>
    <row r="1292" spans="1:23" hidden="1">
      <c r="A1292" s="2">
        <v>45954</v>
      </c>
      <c r="B1292" s="1" t="s">
        <v>6691</v>
      </c>
      <c r="C1292" s="1" t="s">
        <v>2924</v>
      </c>
      <c r="D1292" s="1" t="s">
        <v>2564</v>
      </c>
      <c r="E1292" s="1">
        <v>85395</v>
      </c>
      <c r="F1292" s="1" t="s">
        <v>6692</v>
      </c>
      <c r="G1292" s="1" t="s">
        <v>6686</v>
      </c>
      <c r="H1292" s="4" t="s">
        <v>1674</v>
      </c>
      <c r="I1292" s="5" t="s">
        <v>2848</v>
      </c>
      <c r="J1292" s="5" t="s">
        <v>24</v>
      </c>
      <c r="K1292" s="5" t="s">
        <v>24</v>
      </c>
      <c r="L1292" s="5" t="s">
        <v>2819</v>
      </c>
      <c r="M1292" s="5" t="s">
        <v>24</v>
      </c>
      <c r="N1292" s="5" t="s">
        <v>24</v>
      </c>
      <c r="O1292" s="5" t="s">
        <v>75</v>
      </c>
      <c r="P1292" s="5" t="s">
        <v>2413</v>
      </c>
      <c r="Q1292" s="2">
        <v>45960</v>
      </c>
      <c r="V1292" s="45">
        <f t="shared" si="20"/>
        <v>1</v>
      </c>
      <c r="W1292" s="45" t="s">
        <v>6693</v>
      </c>
    </row>
    <row r="1293" spans="1:23" hidden="1">
      <c r="A1293" s="2">
        <v>45954</v>
      </c>
      <c r="B1293" s="1" t="s">
        <v>6694</v>
      </c>
      <c r="C1293" s="1" t="s">
        <v>5438</v>
      </c>
      <c r="D1293" s="1" t="s">
        <v>2439</v>
      </c>
      <c r="E1293" s="1">
        <v>85003</v>
      </c>
      <c r="F1293" s="1" t="s">
        <v>6292</v>
      </c>
      <c r="G1293" s="1" t="s">
        <v>6695</v>
      </c>
      <c r="H1293" s="4" t="s">
        <v>59</v>
      </c>
      <c r="I1293" s="5" t="s">
        <v>2514</v>
      </c>
      <c r="J1293" s="5" t="s">
        <v>24</v>
      </c>
      <c r="K1293" s="5" t="s">
        <v>24</v>
      </c>
      <c r="L1293" s="5" t="s">
        <v>6696</v>
      </c>
      <c r="M1293" s="5" t="s">
        <v>75</v>
      </c>
      <c r="N1293" s="13">
        <v>398.69</v>
      </c>
      <c r="O1293" s="5" t="s">
        <v>75</v>
      </c>
      <c r="P1293" s="5" t="s">
        <v>2413</v>
      </c>
      <c r="Q1293" s="2">
        <v>45960</v>
      </c>
      <c r="V1293" s="45">
        <f t="shared" si="20"/>
        <v>1</v>
      </c>
      <c r="W1293" s="45" t="s">
        <v>6697</v>
      </c>
    </row>
    <row r="1294" spans="1:23" hidden="1">
      <c r="A1294" s="2">
        <v>45956</v>
      </c>
      <c r="B1294" s="1" t="s">
        <v>6698</v>
      </c>
      <c r="C1294" s="1" t="s">
        <v>3157</v>
      </c>
      <c r="D1294" s="1" t="s">
        <v>2439</v>
      </c>
      <c r="E1294" s="1">
        <v>85050</v>
      </c>
      <c r="F1294" s="1" t="s">
        <v>6699</v>
      </c>
      <c r="G1294" s="1" t="s">
        <v>6695</v>
      </c>
      <c r="H1294" s="4" t="s">
        <v>2401</v>
      </c>
      <c r="V1294" s="45">
        <f t="shared" si="20"/>
        <v>1</v>
      </c>
      <c r="W1294" s="45" t="s">
        <v>6700</v>
      </c>
    </row>
    <row r="1295" spans="1:23" hidden="1">
      <c r="A1295" s="2">
        <v>45959</v>
      </c>
      <c r="B1295" s="1" t="s">
        <v>6701</v>
      </c>
      <c r="C1295" s="1" t="s">
        <v>2662</v>
      </c>
      <c r="D1295" s="1" t="s">
        <v>2439</v>
      </c>
      <c r="E1295" s="1">
        <v>85086</v>
      </c>
      <c r="F1295" s="1" t="s">
        <v>6492</v>
      </c>
      <c r="G1295" s="1" t="s">
        <v>6702</v>
      </c>
      <c r="H1295" s="4" t="s">
        <v>62</v>
      </c>
      <c r="I1295" s="5" t="s">
        <v>2412</v>
      </c>
      <c r="J1295" s="5" t="s">
        <v>75</v>
      </c>
      <c r="K1295" s="5" t="s">
        <v>24</v>
      </c>
      <c r="L1295" s="5" t="s">
        <v>6703</v>
      </c>
      <c r="M1295" s="5" t="s">
        <v>75</v>
      </c>
      <c r="N1295" s="13">
        <v>318.62</v>
      </c>
      <c r="O1295" s="5" t="s">
        <v>75</v>
      </c>
      <c r="P1295" s="5" t="s">
        <v>2413</v>
      </c>
      <c r="Q1295" s="2">
        <v>45960</v>
      </c>
      <c r="R1295" s="1" t="s">
        <v>6449</v>
      </c>
      <c r="V1295" s="45">
        <f t="shared" si="20"/>
        <v>1</v>
      </c>
      <c r="W1295" s="45" t="s">
        <v>6704</v>
      </c>
    </row>
    <row r="1296" spans="1:23" hidden="1">
      <c r="A1296" s="2">
        <v>45959</v>
      </c>
      <c r="B1296" s="1" t="s">
        <v>4640</v>
      </c>
      <c r="C1296" s="1" t="s">
        <v>6705</v>
      </c>
      <c r="D1296" s="1" t="s">
        <v>2570</v>
      </c>
      <c r="E1296" s="1">
        <v>85396</v>
      </c>
      <c r="F1296" s="1" t="s">
        <v>6492</v>
      </c>
      <c r="G1296" s="1" t="s">
        <v>6702</v>
      </c>
      <c r="H1296" s="4" t="s">
        <v>1676</v>
      </c>
      <c r="I1296" s="5" t="s">
        <v>2412</v>
      </c>
      <c r="J1296" s="5" t="s">
        <v>24</v>
      </c>
      <c r="K1296" s="5" t="s">
        <v>24</v>
      </c>
      <c r="L1296" s="5" t="s">
        <v>4282</v>
      </c>
      <c r="M1296" s="5" t="s">
        <v>24</v>
      </c>
      <c r="N1296" s="5" t="s">
        <v>24</v>
      </c>
      <c r="O1296" s="5" t="s">
        <v>75</v>
      </c>
      <c r="P1296" s="5" t="s">
        <v>2413</v>
      </c>
      <c r="Q1296" s="2">
        <v>45960</v>
      </c>
      <c r="R1296" s="1" t="s">
        <v>6449</v>
      </c>
      <c r="V1296" s="45">
        <f t="shared" si="20"/>
        <v>1</v>
      </c>
      <c r="W1296" s="125" t="s">
        <v>6706</v>
      </c>
    </row>
    <row r="1297" spans="1:23" hidden="1">
      <c r="A1297" s="2">
        <v>45959</v>
      </c>
      <c r="B1297" s="1" t="s">
        <v>6707</v>
      </c>
      <c r="C1297" s="1" t="s">
        <v>6708</v>
      </c>
      <c r="D1297" s="1" t="s">
        <v>3815</v>
      </c>
      <c r="E1297" s="1">
        <v>85355</v>
      </c>
      <c r="F1297" s="1" t="s">
        <v>6492</v>
      </c>
      <c r="G1297" s="1" t="s">
        <v>6702</v>
      </c>
      <c r="H1297" s="4" t="s">
        <v>2401</v>
      </c>
      <c r="Q1297" s="2"/>
      <c r="R1297" s="1" t="s">
        <v>6449</v>
      </c>
      <c r="V1297" s="45">
        <f t="shared" si="20"/>
        <v>1</v>
      </c>
      <c r="W1297" s="45" t="s">
        <v>6709</v>
      </c>
    </row>
    <row r="1298" spans="1:23" hidden="1">
      <c r="A1298" s="2">
        <v>45959</v>
      </c>
      <c r="B1298" s="1" t="s">
        <v>6710</v>
      </c>
      <c r="C1298" s="1" t="s">
        <v>4451</v>
      </c>
      <c r="D1298" s="1" t="s">
        <v>2564</v>
      </c>
      <c r="E1298" s="1">
        <v>85395</v>
      </c>
      <c r="F1298" s="1" t="s">
        <v>6492</v>
      </c>
      <c r="G1298" s="1" t="s">
        <v>6702</v>
      </c>
      <c r="H1298" s="4" t="s">
        <v>2401</v>
      </c>
      <c r="Q1298" s="2"/>
      <c r="R1298" s="1" t="s">
        <v>6449</v>
      </c>
      <c r="V1298" s="45">
        <f t="shared" si="20"/>
        <v>1</v>
      </c>
      <c r="W1298" s="45" t="s">
        <v>6711</v>
      </c>
    </row>
    <row r="1299" spans="1:23" hidden="1">
      <c r="A1299" s="2">
        <v>45959</v>
      </c>
      <c r="B1299" s="1" t="s">
        <v>6712</v>
      </c>
      <c r="C1299" s="1" t="s">
        <v>6713</v>
      </c>
      <c r="D1299" s="1" t="s">
        <v>2498</v>
      </c>
      <c r="E1299" s="1">
        <v>85387</v>
      </c>
      <c r="F1299" s="1" t="s">
        <v>6492</v>
      </c>
      <c r="G1299" s="1" t="s">
        <v>6702</v>
      </c>
      <c r="H1299" s="4" t="s">
        <v>1678</v>
      </c>
      <c r="I1299" s="5" t="s">
        <v>2412</v>
      </c>
      <c r="J1299" s="5" t="s">
        <v>24</v>
      </c>
      <c r="K1299" s="5" t="s">
        <v>24</v>
      </c>
      <c r="L1299" s="5" t="s">
        <v>4282</v>
      </c>
      <c r="M1299" s="5" t="s">
        <v>24</v>
      </c>
      <c r="N1299" s="5" t="s">
        <v>24</v>
      </c>
      <c r="O1299" s="5" t="s">
        <v>75</v>
      </c>
      <c r="P1299" s="5" t="s">
        <v>2413</v>
      </c>
      <c r="Q1299" s="2">
        <v>45960</v>
      </c>
      <c r="R1299" s="1" t="s">
        <v>6449</v>
      </c>
      <c r="V1299" s="45">
        <f t="shared" si="20"/>
        <v>1</v>
      </c>
      <c r="W1299" s="45" t="s">
        <v>6714</v>
      </c>
    </row>
    <row r="1300" spans="1:23" hidden="1">
      <c r="A1300" s="2">
        <v>45959</v>
      </c>
      <c r="B1300" s="1" t="s">
        <v>6715</v>
      </c>
      <c r="C1300" s="1" t="s">
        <v>6716</v>
      </c>
      <c r="D1300" s="1" t="s">
        <v>2498</v>
      </c>
      <c r="E1300" s="1">
        <v>85379</v>
      </c>
      <c r="F1300" s="1" t="s">
        <v>6492</v>
      </c>
      <c r="G1300" s="1" t="s">
        <v>6702</v>
      </c>
      <c r="H1300" s="4" t="s">
        <v>449</v>
      </c>
      <c r="I1300" s="5" t="s">
        <v>2597</v>
      </c>
      <c r="J1300" s="5" t="s">
        <v>24</v>
      </c>
      <c r="K1300" s="5" t="s">
        <v>24</v>
      </c>
      <c r="L1300" s="5" t="s">
        <v>6717</v>
      </c>
      <c r="M1300" s="5" t="s">
        <v>24</v>
      </c>
      <c r="N1300" s="5" t="s">
        <v>24</v>
      </c>
      <c r="O1300" s="5" t="s">
        <v>75</v>
      </c>
      <c r="P1300" s="5" t="s">
        <v>2413</v>
      </c>
      <c r="Q1300" s="2">
        <v>45960</v>
      </c>
      <c r="R1300" s="1" t="s">
        <v>6449</v>
      </c>
      <c r="V1300" s="45">
        <f t="shared" si="20"/>
        <v>1</v>
      </c>
      <c r="W1300" s="45" t="s">
        <v>6718</v>
      </c>
    </row>
    <row r="1301" spans="1:23" hidden="1">
      <c r="A1301" s="2">
        <v>45959</v>
      </c>
      <c r="B1301" s="1" t="s">
        <v>6719</v>
      </c>
      <c r="C1301" s="1" t="s">
        <v>6720</v>
      </c>
      <c r="D1301" s="1" t="s">
        <v>2570</v>
      </c>
      <c r="E1301" s="1">
        <v>85326</v>
      </c>
      <c r="F1301" s="1" t="s">
        <v>6492</v>
      </c>
      <c r="G1301" s="1" t="s">
        <v>6702</v>
      </c>
      <c r="H1301" s="4" t="s">
        <v>2401</v>
      </c>
      <c r="Q1301" s="2"/>
      <c r="R1301" s="1" t="s">
        <v>6449</v>
      </c>
      <c r="V1301" s="45">
        <f t="shared" si="20"/>
        <v>1</v>
      </c>
      <c r="W1301" s="45" t="s">
        <v>6721</v>
      </c>
    </row>
    <row r="1302" spans="1:23" hidden="1">
      <c r="A1302" s="2">
        <v>45959</v>
      </c>
      <c r="B1302" s="1" t="s">
        <v>6722</v>
      </c>
      <c r="C1302" s="1" t="s">
        <v>6723</v>
      </c>
      <c r="D1302" s="1" t="s">
        <v>2498</v>
      </c>
      <c r="E1302" s="1">
        <v>85379</v>
      </c>
      <c r="F1302" s="1" t="s">
        <v>6492</v>
      </c>
      <c r="G1302" s="1" t="s">
        <v>6702</v>
      </c>
      <c r="H1302" s="4" t="s">
        <v>1680</v>
      </c>
      <c r="I1302" s="5" t="s">
        <v>2988</v>
      </c>
      <c r="J1302" s="5" t="s">
        <v>24</v>
      </c>
      <c r="K1302" s="5" t="s">
        <v>24</v>
      </c>
      <c r="L1302" s="5" t="s">
        <v>2819</v>
      </c>
      <c r="M1302" s="5" t="s">
        <v>24</v>
      </c>
      <c r="N1302" s="5" t="s">
        <v>24</v>
      </c>
      <c r="O1302" s="5" t="s">
        <v>75</v>
      </c>
      <c r="P1302" s="5" t="s">
        <v>2413</v>
      </c>
      <c r="Q1302" s="2">
        <v>45960</v>
      </c>
      <c r="R1302" s="1" t="s">
        <v>6449</v>
      </c>
      <c r="V1302" s="45">
        <f t="shared" si="20"/>
        <v>1</v>
      </c>
      <c r="W1302" s="45" t="s">
        <v>6724</v>
      </c>
    </row>
    <row r="1303" spans="1:23" hidden="1">
      <c r="A1303" s="2">
        <v>45959</v>
      </c>
      <c r="B1303" s="1" t="s">
        <v>6725</v>
      </c>
      <c r="C1303" s="1" t="s">
        <v>6726</v>
      </c>
      <c r="D1303" s="1" t="s">
        <v>2650</v>
      </c>
      <c r="E1303" s="1">
        <v>85340</v>
      </c>
      <c r="F1303" s="1" t="s">
        <v>6492</v>
      </c>
      <c r="G1303" s="1" t="s">
        <v>6702</v>
      </c>
      <c r="H1303" s="4" t="s">
        <v>2401</v>
      </c>
      <c r="Q1303" s="2"/>
      <c r="R1303" s="1" t="s">
        <v>6449</v>
      </c>
      <c r="V1303" s="45">
        <f t="shared" si="20"/>
        <v>1</v>
      </c>
      <c r="W1303" s="45" t="s">
        <v>6727</v>
      </c>
    </row>
    <row r="1304" spans="1:23" ht="11.1" hidden="1" customHeight="1">
      <c r="A1304" s="2">
        <v>45959</v>
      </c>
      <c r="B1304" s="1" t="s">
        <v>6376</v>
      </c>
      <c r="C1304" s="1" t="s">
        <v>3836</v>
      </c>
      <c r="D1304" s="1" t="s">
        <v>2439</v>
      </c>
      <c r="E1304" s="1">
        <v>85020</v>
      </c>
      <c r="F1304" s="1" t="s">
        <v>6492</v>
      </c>
      <c r="G1304" s="1" t="s">
        <v>6728</v>
      </c>
      <c r="H1304" s="4" t="s">
        <v>1682</v>
      </c>
      <c r="I1304" s="5" t="s">
        <v>2451</v>
      </c>
      <c r="J1304" s="5" t="s">
        <v>24</v>
      </c>
      <c r="K1304" s="5" t="s">
        <v>24</v>
      </c>
      <c r="L1304" s="5" t="s">
        <v>4282</v>
      </c>
      <c r="M1304" s="5" t="s">
        <v>24</v>
      </c>
      <c r="N1304" s="5" t="s">
        <v>24</v>
      </c>
      <c r="O1304" s="5" t="s">
        <v>75</v>
      </c>
      <c r="P1304" s="5" t="s">
        <v>2413</v>
      </c>
      <c r="Q1304" s="2">
        <v>45960</v>
      </c>
      <c r="V1304" s="45">
        <f t="shared" si="20"/>
        <v>1</v>
      </c>
      <c r="W1304" s="45" t="s">
        <v>6729</v>
      </c>
    </row>
    <row r="1305" spans="1:23" hidden="1">
      <c r="A1305" s="2">
        <v>45959</v>
      </c>
      <c r="B1305" s="1" t="s">
        <v>6730</v>
      </c>
      <c r="C1305" s="1" t="s">
        <v>6731</v>
      </c>
      <c r="D1305" s="1" t="s">
        <v>2570</v>
      </c>
      <c r="E1305" s="1">
        <v>85396</v>
      </c>
      <c r="F1305" s="1" t="s">
        <v>6732</v>
      </c>
      <c r="G1305" s="1" t="s">
        <v>6733</v>
      </c>
      <c r="H1305" s="4" t="s">
        <v>1684</v>
      </c>
      <c r="I1305" s="5" t="s">
        <v>2412</v>
      </c>
      <c r="J1305" s="5" t="s">
        <v>24</v>
      </c>
      <c r="K1305" s="5" t="s">
        <v>24</v>
      </c>
      <c r="L1305" s="5" t="s">
        <v>4282</v>
      </c>
      <c r="M1305" s="5" t="s">
        <v>24</v>
      </c>
      <c r="N1305" s="5" t="s">
        <v>24</v>
      </c>
      <c r="O1305" s="5" t="s">
        <v>75</v>
      </c>
      <c r="P1305" s="5" t="s">
        <v>2413</v>
      </c>
      <c r="Q1305" s="2">
        <v>45960</v>
      </c>
      <c r="V1305" s="45">
        <f t="shared" si="20"/>
        <v>1</v>
      </c>
      <c r="W1305" s="45" t="s">
        <v>6734</v>
      </c>
    </row>
    <row r="1306" spans="1:23" hidden="1">
      <c r="A1306" s="2">
        <v>45961</v>
      </c>
      <c r="B1306" s="1" t="s">
        <v>6735</v>
      </c>
      <c r="C1306" s="1" t="s">
        <v>2584</v>
      </c>
      <c r="D1306" s="1" t="s">
        <v>2570</v>
      </c>
      <c r="E1306" s="1">
        <v>85396</v>
      </c>
      <c r="F1306" s="1" t="s">
        <v>6492</v>
      </c>
      <c r="G1306" s="1" t="s">
        <v>6736</v>
      </c>
      <c r="H1306" s="4" t="s">
        <v>2401</v>
      </c>
      <c r="Q1306" s="2"/>
      <c r="R1306" s="1" t="s">
        <v>6449</v>
      </c>
      <c r="V1306" s="45">
        <f t="shared" si="20"/>
        <v>1</v>
      </c>
      <c r="W1306" s="45" t="s">
        <v>6737</v>
      </c>
    </row>
    <row r="1307" spans="1:23" hidden="1">
      <c r="A1307" s="2">
        <v>45961</v>
      </c>
      <c r="B1307" s="1" t="s">
        <v>6738</v>
      </c>
      <c r="C1307" s="1" t="s">
        <v>6739</v>
      </c>
      <c r="D1307" s="1" t="s">
        <v>2570</v>
      </c>
      <c r="E1307" s="1">
        <v>85326</v>
      </c>
      <c r="F1307" s="1" t="s">
        <v>6492</v>
      </c>
      <c r="G1307" s="1" t="s">
        <v>6736</v>
      </c>
      <c r="H1307" s="4" t="s">
        <v>2401</v>
      </c>
      <c r="Q1307" s="2"/>
      <c r="R1307" s="1" t="s">
        <v>6449</v>
      </c>
      <c r="V1307" s="45">
        <f t="shared" si="20"/>
        <v>1</v>
      </c>
      <c r="W1307" s="45" t="s">
        <v>6740</v>
      </c>
    </row>
    <row r="1308" spans="1:23" hidden="1">
      <c r="A1308" s="2">
        <v>45961</v>
      </c>
      <c r="B1308" s="1" t="s">
        <v>4417</v>
      </c>
      <c r="C1308" s="1" t="s">
        <v>3271</v>
      </c>
      <c r="D1308" s="1" t="s">
        <v>2439</v>
      </c>
      <c r="E1308" s="1">
        <v>85083</v>
      </c>
      <c r="F1308" s="1" t="s">
        <v>6492</v>
      </c>
      <c r="G1308" s="1" t="s">
        <v>6736</v>
      </c>
      <c r="H1308" s="4" t="s">
        <v>1686</v>
      </c>
      <c r="I1308" s="5" t="s">
        <v>2652</v>
      </c>
      <c r="J1308" s="5" t="s">
        <v>24</v>
      </c>
      <c r="K1308" s="5" t="s">
        <v>24</v>
      </c>
      <c r="L1308" s="5" t="s">
        <v>2819</v>
      </c>
      <c r="M1308" s="5" t="s">
        <v>24</v>
      </c>
      <c r="N1308" s="5" t="s">
        <v>24</v>
      </c>
      <c r="O1308" s="5" t="s">
        <v>75</v>
      </c>
      <c r="P1308" s="5" t="s">
        <v>2413</v>
      </c>
      <c r="Q1308" s="2">
        <v>45961</v>
      </c>
      <c r="R1308" s="1" t="s">
        <v>6449</v>
      </c>
      <c r="V1308" s="45">
        <f t="shared" si="20"/>
        <v>1</v>
      </c>
      <c r="W1308" s="45" t="s">
        <v>6741</v>
      </c>
    </row>
    <row r="1309" spans="1:23" hidden="1">
      <c r="A1309" s="2">
        <v>45961</v>
      </c>
      <c r="B1309" s="1" t="s">
        <v>2796</v>
      </c>
      <c r="C1309" s="1" t="s">
        <v>6742</v>
      </c>
      <c r="D1309" s="1" t="s">
        <v>4888</v>
      </c>
      <c r="E1309" s="1">
        <v>85128</v>
      </c>
      <c r="F1309" s="1" t="s">
        <v>6492</v>
      </c>
      <c r="G1309" s="1" t="s">
        <v>6736</v>
      </c>
      <c r="H1309" s="4" t="s">
        <v>1688</v>
      </c>
      <c r="I1309" s="5" t="s">
        <v>2412</v>
      </c>
      <c r="J1309" s="5" t="s">
        <v>24</v>
      </c>
      <c r="K1309" s="5" t="s">
        <v>24</v>
      </c>
      <c r="L1309" s="5" t="s">
        <v>4282</v>
      </c>
      <c r="M1309" s="5" t="s">
        <v>24</v>
      </c>
      <c r="N1309" s="5" t="s">
        <v>24</v>
      </c>
      <c r="O1309" s="5" t="s">
        <v>75</v>
      </c>
      <c r="P1309" s="5" t="s">
        <v>2413</v>
      </c>
      <c r="Q1309" s="2">
        <v>45961</v>
      </c>
      <c r="R1309" s="1" t="s">
        <v>6449</v>
      </c>
      <c r="V1309" s="45">
        <f t="shared" si="20"/>
        <v>1</v>
      </c>
      <c r="W1309" s="45" t="s">
        <v>6743</v>
      </c>
    </row>
    <row r="1310" spans="1:23" hidden="1">
      <c r="A1310" s="2">
        <v>45961</v>
      </c>
      <c r="B1310" s="1" t="s">
        <v>3151</v>
      </c>
      <c r="C1310" s="1" t="s">
        <v>3105</v>
      </c>
      <c r="D1310" s="1" t="s">
        <v>2605</v>
      </c>
      <c r="E1310" s="1">
        <v>85382</v>
      </c>
      <c r="F1310" s="1" t="s">
        <v>6492</v>
      </c>
      <c r="G1310" s="1" t="s">
        <v>6736</v>
      </c>
      <c r="H1310" s="4" t="s">
        <v>1690</v>
      </c>
      <c r="I1310" s="5" t="s">
        <v>2412</v>
      </c>
      <c r="J1310" s="5" t="s">
        <v>24</v>
      </c>
      <c r="K1310" s="5" t="s">
        <v>24</v>
      </c>
      <c r="L1310" s="5" t="s">
        <v>4282</v>
      </c>
      <c r="M1310" s="5" t="s">
        <v>24</v>
      </c>
      <c r="N1310" s="5" t="s">
        <v>24</v>
      </c>
      <c r="O1310" s="5" t="s">
        <v>75</v>
      </c>
      <c r="P1310" s="5" t="s">
        <v>2413</v>
      </c>
      <c r="Q1310" s="2">
        <v>45961</v>
      </c>
      <c r="R1310" s="1" t="s">
        <v>6449</v>
      </c>
      <c r="V1310" s="45">
        <f t="shared" si="20"/>
        <v>1</v>
      </c>
      <c r="W1310" s="45" t="s">
        <v>6744</v>
      </c>
    </row>
    <row r="1311" spans="1:23" hidden="1">
      <c r="A1311" s="2">
        <v>45961</v>
      </c>
      <c r="B1311" s="1" t="s">
        <v>6745</v>
      </c>
      <c r="C1311" s="1" t="s">
        <v>4788</v>
      </c>
      <c r="D1311" s="1" t="s">
        <v>2570</v>
      </c>
      <c r="E1311" s="1">
        <v>85396</v>
      </c>
      <c r="F1311" s="1" t="s">
        <v>6492</v>
      </c>
      <c r="G1311" s="1" t="s">
        <v>6736</v>
      </c>
      <c r="H1311" s="4" t="s">
        <v>2401</v>
      </c>
      <c r="Q1311" s="2"/>
      <c r="R1311" s="1" t="s">
        <v>6449</v>
      </c>
      <c r="V1311" s="45">
        <f t="shared" si="20"/>
        <v>1</v>
      </c>
      <c r="W1311" s="45" t="s">
        <v>6746</v>
      </c>
    </row>
    <row r="1312" spans="1:23" hidden="1">
      <c r="A1312" s="2">
        <v>45961</v>
      </c>
      <c r="B1312" s="1" t="s">
        <v>6745</v>
      </c>
      <c r="C1312" s="1" t="s">
        <v>4492</v>
      </c>
      <c r="D1312" s="1" t="s">
        <v>2570</v>
      </c>
      <c r="E1312" s="1">
        <v>85396</v>
      </c>
      <c r="F1312" s="1" t="s">
        <v>6492</v>
      </c>
      <c r="G1312" s="1" t="s">
        <v>6736</v>
      </c>
      <c r="H1312" s="4" t="s">
        <v>2401</v>
      </c>
      <c r="Q1312" s="2"/>
      <c r="R1312" s="1" t="s">
        <v>6449</v>
      </c>
      <c r="V1312" s="45">
        <f t="shared" si="20"/>
        <v>1</v>
      </c>
      <c r="W1312" s="45" t="s">
        <v>6747</v>
      </c>
    </row>
    <row r="1313" spans="1:23" hidden="1">
      <c r="A1313" s="2">
        <v>45961</v>
      </c>
      <c r="B1313" s="1" t="s">
        <v>6748</v>
      </c>
      <c r="C1313" s="1" t="s">
        <v>6749</v>
      </c>
      <c r="D1313" s="1" t="s">
        <v>2570</v>
      </c>
      <c r="E1313" s="1">
        <v>85326</v>
      </c>
      <c r="F1313" s="1" t="s">
        <v>6492</v>
      </c>
      <c r="G1313" s="1" t="s">
        <v>6736</v>
      </c>
      <c r="H1313" s="4" t="s">
        <v>1692</v>
      </c>
      <c r="I1313" s="5" t="s">
        <v>6750</v>
      </c>
      <c r="J1313" s="5" t="s">
        <v>75</v>
      </c>
      <c r="K1313" s="5" t="s">
        <v>24</v>
      </c>
      <c r="L1313" s="5" t="s">
        <v>2819</v>
      </c>
      <c r="M1313" s="5" t="s">
        <v>24</v>
      </c>
      <c r="N1313" s="5" t="s">
        <v>24</v>
      </c>
      <c r="O1313" s="5" t="s">
        <v>75</v>
      </c>
      <c r="P1313" s="5" t="s">
        <v>2413</v>
      </c>
      <c r="Q1313" s="2">
        <v>45961</v>
      </c>
      <c r="R1313" s="1" t="s">
        <v>6449</v>
      </c>
      <c r="V1313" s="45">
        <f t="shared" si="20"/>
        <v>1</v>
      </c>
      <c r="W1313" s="45" t="s">
        <v>6751</v>
      </c>
    </row>
    <row r="1314" spans="1:23" hidden="1">
      <c r="A1314" s="2">
        <v>45959</v>
      </c>
      <c r="B1314" s="1" t="s">
        <v>6752</v>
      </c>
      <c r="C1314" s="1" t="s">
        <v>6753</v>
      </c>
      <c r="D1314" s="1" t="s">
        <v>2439</v>
      </c>
      <c r="E1314" s="1">
        <v>85032</v>
      </c>
      <c r="F1314" s="1" t="s">
        <v>6754</v>
      </c>
      <c r="G1314" s="1" t="s">
        <v>6755</v>
      </c>
      <c r="H1314" s="4" t="s">
        <v>451</v>
      </c>
      <c r="I1314" s="5" t="s">
        <v>2514</v>
      </c>
      <c r="J1314" s="5" t="s">
        <v>24</v>
      </c>
      <c r="K1314" s="5" t="s">
        <v>24</v>
      </c>
      <c r="L1314" s="5" t="s">
        <v>2831</v>
      </c>
      <c r="M1314" s="5" t="s">
        <v>24</v>
      </c>
      <c r="N1314" s="5" t="s">
        <v>24</v>
      </c>
      <c r="O1314" s="5" t="s">
        <v>75</v>
      </c>
      <c r="P1314" s="5" t="s">
        <v>2413</v>
      </c>
      <c r="Q1314" s="2">
        <v>45964</v>
      </c>
      <c r="V1314" s="45">
        <f t="shared" si="20"/>
        <v>1</v>
      </c>
      <c r="W1314" s="45" t="s">
        <v>6756</v>
      </c>
    </row>
    <row r="1315" spans="1:23" hidden="1">
      <c r="A1315" s="2">
        <v>45961</v>
      </c>
      <c r="B1315" s="1" t="s">
        <v>6757</v>
      </c>
      <c r="C1315" s="1" t="s">
        <v>5054</v>
      </c>
      <c r="D1315" s="1" t="s">
        <v>2439</v>
      </c>
      <c r="E1315" s="1">
        <v>85050</v>
      </c>
      <c r="F1315" s="1" t="s">
        <v>6492</v>
      </c>
      <c r="G1315" s="1" t="s">
        <v>6755</v>
      </c>
      <c r="H1315" s="4" t="s">
        <v>675</v>
      </c>
      <c r="I1315" s="5" t="s">
        <v>2514</v>
      </c>
      <c r="J1315" s="5" t="s">
        <v>24</v>
      </c>
      <c r="K1315" s="5" t="s">
        <v>24</v>
      </c>
      <c r="L1315" s="5" t="s">
        <v>75</v>
      </c>
      <c r="M1315" s="5" t="s">
        <v>75</v>
      </c>
      <c r="N1315" s="13">
        <v>302.06</v>
      </c>
      <c r="O1315" s="5" t="s">
        <v>75</v>
      </c>
      <c r="P1315" s="5" t="s">
        <v>2413</v>
      </c>
      <c r="Q1315" s="2">
        <v>45964</v>
      </c>
      <c r="V1315" s="45">
        <f t="shared" si="20"/>
        <v>1</v>
      </c>
      <c r="W1315" s="45" t="s">
        <v>6758</v>
      </c>
    </row>
    <row r="1316" spans="1:23" ht="14.1" hidden="1" customHeight="1">
      <c r="A1316" s="2">
        <v>45959</v>
      </c>
      <c r="B1316" s="1" t="s">
        <v>6759</v>
      </c>
      <c r="C1316" s="1" t="s">
        <v>6760</v>
      </c>
      <c r="D1316" s="1" t="s">
        <v>2439</v>
      </c>
      <c r="E1316" s="1">
        <v>85032</v>
      </c>
      <c r="F1316" s="1" t="s">
        <v>6754</v>
      </c>
      <c r="G1316" s="1" t="s">
        <v>6755</v>
      </c>
      <c r="H1316" s="4" t="s">
        <v>451</v>
      </c>
      <c r="I1316" s="5" t="s">
        <v>2514</v>
      </c>
      <c r="J1316" s="5" t="s">
        <v>24</v>
      </c>
      <c r="K1316" s="5" t="s">
        <v>24</v>
      </c>
      <c r="L1316" s="5" t="s">
        <v>2831</v>
      </c>
      <c r="M1316" s="5" t="s">
        <v>24</v>
      </c>
      <c r="N1316" s="5" t="s">
        <v>24</v>
      </c>
      <c r="O1316" s="5" t="s">
        <v>75</v>
      </c>
      <c r="P1316" s="5" t="s">
        <v>2413</v>
      </c>
      <c r="Q1316" s="2">
        <v>45964</v>
      </c>
      <c r="V1316" s="45">
        <f t="shared" si="20"/>
        <v>1</v>
      </c>
      <c r="W1316" s="45" t="s">
        <v>6761</v>
      </c>
    </row>
    <row r="1317" spans="1:23" hidden="1">
      <c r="A1317" s="2">
        <v>45961</v>
      </c>
      <c r="B1317" s="1" t="s">
        <v>6762</v>
      </c>
      <c r="C1317" s="1" t="s">
        <v>4705</v>
      </c>
      <c r="D1317" s="1" t="s">
        <v>4682</v>
      </c>
      <c r="E1317" s="1">
        <v>85208</v>
      </c>
      <c r="F1317" s="1" t="s">
        <v>6492</v>
      </c>
      <c r="G1317" s="1" t="s">
        <v>6755</v>
      </c>
      <c r="H1317" s="4" t="s">
        <v>2401</v>
      </c>
      <c r="V1317" s="45">
        <f t="shared" si="20"/>
        <v>1</v>
      </c>
      <c r="W1317" s="45" t="s">
        <v>6763</v>
      </c>
    </row>
    <row r="1318" spans="1:23" hidden="1">
      <c r="A1318" s="2">
        <v>45959</v>
      </c>
      <c r="B1318" s="1" t="s">
        <v>5640</v>
      </c>
      <c r="C1318" s="1" t="s">
        <v>5197</v>
      </c>
      <c r="D1318" s="1" t="s">
        <v>2470</v>
      </c>
      <c r="E1318" s="1">
        <v>86351</v>
      </c>
      <c r="F1318" s="1" t="s">
        <v>6764</v>
      </c>
      <c r="G1318" s="1" t="s">
        <v>6755</v>
      </c>
      <c r="H1318" s="4" t="s">
        <v>341</v>
      </c>
      <c r="I1318" s="5" t="s">
        <v>2432</v>
      </c>
      <c r="J1318" s="5" t="s">
        <v>24</v>
      </c>
      <c r="K1318" s="5" t="s">
        <v>24</v>
      </c>
      <c r="L1318" s="7" t="s">
        <v>5642</v>
      </c>
      <c r="M1318" s="5" t="s">
        <v>24</v>
      </c>
      <c r="N1318" s="5" t="s">
        <v>24</v>
      </c>
      <c r="O1318" s="5" t="s">
        <v>75</v>
      </c>
      <c r="P1318" s="2">
        <v>45971</v>
      </c>
      <c r="Q1318" s="2">
        <v>45964</v>
      </c>
      <c r="R1318" s="1" t="s">
        <v>4957</v>
      </c>
      <c r="V1318" s="45">
        <f t="shared" si="20"/>
        <v>1</v>
      </c>
      <c r="W1318" s="45" t="s">
        <v>6765</v>
      </c>
    </row>
    <row r="1319" spans="1:23" hidden="1">
      <c r="A1319" s="2">
        <v>45959</v>
      </c>
      <c r="B1319" s="1" t="s">
        <v>6766</v>
      </c>
      <c r="C1319" s="1" t="s">
        <v>6767</v>
      </c>
      <c r="D1319" s="1" t="s">
        <v>2439</v>
      </c>
      <c r="E1319" s="1">
        <v>85085</v>
      </c>
      <c r="F1319" s="1" t="s">
        <v>6768</v>
      </c>
      <c r="G1319" s="1" t="s">
        <v>6755</v>
      </c>
      <c r="H1319" s="4" t="s">
        <v>1694</v>
      </c>
      <c r="I1319" s="5" t="s">
        <v>2412</v>
      </c>
      <c r="J1319" s="5" t="s">
        <v>24</v>
      </c>
      <c r="K1319" s="5" t="s">
        <v>24</v>
      </c>
      <c r="L1319" s="5" t="s">
        <v>75</v>
      </c>
      <c r="M1319" s="5" t="s">
        <v>24</v>
      </c>
      <c r="N1319" s="5" t="s">
        <v>24</v>
      </c>
      <c r="O1319" s="5" t="s">
        <v>75</v>
      </c>
      <c r="P1319" s="5" t="s">
        <v>2413</v>
      </c>
      <c r="Q1319" s="2">
        <v>45964</v>
      </c>
      <c r="V1319" s="45">
        <f t="shared" si="20"/>
        <v>1</v>
      </c>
      <c r="W1319" s="45" t="s">
        <v>6769</v>
      </c>
    </row>
    <row r="1320" spans="1:23" hidden="1">
      <c r="A1320" s="2">
        <v>45961</v>
      </c>
      <c r="B1320" s="1" t="s">
        <v>6770</v>
      </c>
      <c r="C1320" s="1" t="s">
        <v>4402</v>
      </c>
      <c r="D1320" s="1" t="s">
        <v>6499</v>
      </c>
      <c r="E1320" s="1">
        <v>85730</v>
      </c>
      <c r="F1320" s="1" t="s">
        <v>6492</v>
      </c>
      <c r="G1320" s="1" t="s">
        <v>6755</v>
      </c>
      <c r="H1320" s="4" t="s">
        <v>2401</v>
      </c>
      <c r="V1320" s="45">
        <f t="shared" si="20"/>
        <v>1</v>
      </c>
      <c r="W1320" s="45" t="s">
        <v>6771</v>
      </c>
    </row>
    <row r="1321" spans="1:23" hidden="1">
      <c r="A1321" s="2">
        <v>45961</v>
      </c>
      <c r="B1321" s="1" t="s">
        <v>6772</v>
      </c>
      <c r="C1321" s="1" t="s">
        <v>6773</v>
      </c>
      <c r="D1321" s="1" t="s">
        <v>2405</v>
      </c>
      <c r="F1321" s="1" t="s">
        <v>6774</v>
      </c>
      <c r="G1321" s="1" t="s">
        <v>6755</v>
      </c>
      <c r="H1321" s="4" t="s">
        <v>2401</v>
      </c>
      <c r="V1321" s="45">
        <f t="shared" si="20"/>
        <v>1</v>
      </c>
      <c r="W1321" s="45" t="s">
        <v>6775</v>
      </c>
    </row>
    <row r="1322" spans="1:23" hidden="1">
      <c r="A1322" s="2">
        <v>45961</v>
      </c>
      <c r="B1322" s="1" t="s">
        <v>2562</v>
      </c>
      <c r="C1322" s="1" t="s">
        <v>2949</v>
      </c>
      <c r="D1322" s="1" t="s">
        <v>2405</v>
      </c>
      <c r="F1322" s="1" t="s">
        <v>6776</v>
      </c>
      <c r="G1322" s="1" t="s">
        <v>6755</v>
      </c>
      <c r="H1322" s="4" t="s">
        <v>2613</v>
      </c>
      <c r="V1322" s="45">
        <f t="shared" si="20"/>
        <v>1</v>
      </c>
      <c r="W1322" s="45" t="s">
        <v>6777</v>
      </c>
    </row>
    <row r="1323" spans="1:23" hidden="1">
      <c r="A1323" s="2">
        <v>45961</v>
      </c>
      <c r="B1323" s="1" t="s">
        <v>6778</v>
      </c>
      <c r="C1323" s="1" t="s">
        <v>2459</v>
      </c>
      <c r="D1323" s="1" t="s">
        <v>6499</v>
      </c>
      <c r="E1323" s="1">
        <v>85745</v>
      </c>
      <c r="F1323" s="1" t="s">
        <v>6492</v>
      </c>
      <c r="G1323" s="1" t="s">
        <v>6755</v>
      </c>
      <c r="H1323" s="4" t="s">
        <v>2401</v>
      </c>
      <c r="V1323" s="45">
        <f t="shared" si="20"/>
        <v>1</v>
      </c>
      <c r="W1323" s="45" t="s">
        <v>6779</v>
      </c>
    </row>
    <row r="1324" spans="1:23" hidden="1">
      <c r="A1324" s="2">
        <v>45961</v>
      </c>
      <c r="B1324" s="1" t="s">
        <v>6780</v>
      </c>
      <c r="C1324" s="1" t="s">
        <v>2924</v>
      </c>
      <c r="D1324" s="1" t="s">
        <v>3166</v>
      </c>
      <c r="E1324" s="1">
        <v>85375</v>
      </c>
      <c r="F1324" s="1" t="s">
        <v>6781</v>
      </c>
      <c r="G1324" s="1" t="s">
        <v>6782</v>
      </c>
      <c r="H1324" s="4" t="s">
        <v>1696</v>
      </c>
      <c r="I1324" s="5" t="s">
        <v>2988</v>
      </c>
      <c r="J1324" s="5" t="s">
        <v>24</v>
      </c>
      <c r="K1324" s="5" t="s">
        <v>24</v>
      </c>
      <c r="L1324" s="5" t="s">
        <v>2819</v>
      </c>
      <c r="M1324" s="5" t="s">
        <v>24</v>
      </c>
      <c r="N1324" s="5" t="s">
        <v>24</v>
      </c>
      <c r="O1324" s="5" t="s">
        <v>75</v>
      </c>
      <c r="P1324" s="5" t="s">
        <v>2413</v>
      </c>
      <c r="Q1324" s="2">
        <v>45964</v>
      </c>
      <c r="R1324" s="1" t="s">
        <v>6783</v>
      </c>
      <c r="V1324" s="45">
        <f t="shared" si="20"/>
        <v>1</v>
      </c>
      <c r="W1324" s="45" t="s">
        <v>6784</v>
      </c>
    </row>
    <row r="1325" spans="1:23" hidden="1">
      <c r="A1325" s="2">
        <v>45961</v>
      </c>
      <c r="B1325" s="1" t="s">
        <v>3646</v>
      </c>
      <c r="C1325" s="1" t="s">
        <v>3207</v>
      </c>
      <c r="D1325" s="1" t="s">
        <v>2398</v>
      </c>
      <c r="E1325" s="1">
        <v>85308</v>
      </c>
      <c r="F1325" s="1" t="s">
        <v>6785</v>
      </c>
      <c r="G1325" s="1" t="s">
        <v>6786</v>
      </c>
      <c r="H1325" s="4" t="s">
        <v>2401</v>
      </c>
      <c r="V1325" s="45">
        <f t="shared" si="20"/>
        <v>1</v>
      </c>
      <c r="W1325" s="45" t="s">
        <v>6787</v>
      </c>
    </row>
    <row r="1326" spans="1:23" hidden="1">
      <c r="A1326" s="2">
        <v>45961</v>
      </c>
      <c r="B1326" s="1" t="s">
        <v>6788</v>
      </c>
      <c r="C1326" s="1" t="s">
        <v>6789</v>
      </c>
      <c r="D1326" s="1" t="s">
        <v>2439</v>
      </c>
      <c r="E1326" s="1">
        <v>85086</v>
      </c>
      <c r="F1326" s="1" t="s">
        <v>6492</v>
      </c>
      <c r="G1326" s="1" t="s">
        <v>6790</v>
      </c>
      <c r="H1326" s="4" t="s">
        <v>2401</v>
      </c>
      <c r="V1326" s="45">
        <f t="shared" si="20"/>
        <v>1</v>
      </c>
      <c r="W1326" s="45" t="s">
        <v>6791</v>
      </c>
    </row>
    <row r="1327" spans="1:23" hidden="1">
      <c r="A1327" s="2">
        <v>45961</v>
      </c>
      <c r="B1327" s="1" t="s">
        <v>3722</v>
      </c>
      <c r="C1327" s="1" t="s">
        <v>2616</v>
      </c>
      <c r="D1327" s="1" t="s">
        <v>2564</v>
      </c>
      <c r="E1327" s="1">
        <v>85338</v>
      </c>
      <c r="F1327" s="1" t="s">
        <v>6792</v>
      </c>
      <c r="G1327" s="1" t="s">
        <v>6790</v>
      </c>
      <c r="H1327" s="4" t="s">
        <v>2613</v>
      </c>
      <c r="V1327" s="45">
        <f t="shared" si="20"/>
        <v>1</v>
      </c>
      <c r="W1327" s="45" t="s">
        <v>6793</v>
      </c>
    </row>
    <row r="1328" spans="1:23" hidden="1">
      <c r="A1328" s="2">
        <v>45961</v>
      </c>
      <c r="B1328" s="1" t="s">
        <v>6794</v>
      </c>
      <c r="C1328" s="1" t="s">
        <v>2639</v>
      </c>
      <c r="D1328" s="1" t="s">
        <v>2405</v>
      </c>
      <c r="E1328" s="1" t="s">
        <v>2405</v>
      </c>
      <c r="F1328" s="1" t="s">
        <v>6795</v>
      </c>
      <c r="G1328" s="1" t="s">
        <v>6790</v>
      </c>
      <c r="H1328" s="4" t="s">
        <v>1698</v>
      </c>
      <c r="I1328" s="5" t="s">
        <v>2514</v>
      </c>
      <c r="J1328" s="5" t="s">
        <v>24</v>
      </c>
      <c r="K1328" s="5" t="s">
        <v>24</v>
      </c>
      <c r="L1328" s="5" t="s">
        <v>75</v>
      </c>
      <c r="M1328" s="5" t="s">
        <v>24</v>
      </c>
      <c r="N1328" s="5" t="s">
        <v>24</v>
      </c>
      <c r="O1328" s="5" t="s">
        <v>75</v>
      </c>
      <c r="P1328" s="5" t="s">
        <v>2413</v>
      </c>
      <c r="Q1328" s="2">
        <v>45965</v>
      </c>
      <c r="V1328" s="45">
        <f t="shared" si="20"/>
        <v>1</v>
      </c>
      <c r="W1328" s="45" t="s">
        <v>6796</v>
      </c>
    </row>
    <row r="1329" spans="1:23" hidden="1">
      <c r="A1329" s="2">
        <v>45961</v>
      </c>
      <c r="B1329" s="1" t="s">
        <v>4510</v>
      </c>
      <c r="C1329" s="1" t="s">
        <v>6797</v>
      </c>
      <c r="D1329" s="1" t="s">
        <v>2513</v>
      </c>
      <c r="E1329" s="1">
        <v>85266</v>
      </c>
      <c r="F1329" s="1" t="s">
        <v>6798</v>
      </c>
      <c r="G1329" s="1" t="s">
        <v>6790</v>
      </c>
      <c r="H1329" s="4" t="s">
        <v>2401</v>
      </c>
      <c r="V1329" s="45">
        <f t="shared" si="20"/>
        <v>1</v>
      </c>
      <c r="W1329" s="45" t="s">
        <v>6799</v>
      </c>
    </row>
    <row r="1330" spans="1:23" hidden="1">
      <c r="A1330" s="2">
        <v>45961</v>
      </c>
      <c r="B1330" s="1" t="s">
        <v>5852</v>
      </c>
      <c r="C1330" s="1" t="s">
        <v>6800</v>
      </c>
      <c r="D1330" s="1" t="s">
        <v>2398</v>
      </c>
      <c r="E1330" s="1">
        <v>85310</v>
      </c>
      <c r="F1330" s="1" t="s">
        <v>6492</v>
      </c>
      <c r="G1330" s="1" t="s">
        <v>6801</v>
      </c>
      <c r="H1330" s="4" t="s">
        <v>1700</v>
      </c>
      <c r="I1330" s="5" t="s">
        <v>2420</v>
      </c>
      <c r="J1330" s="5" t="s">
        <v>24</v>
      </c>
      <c r="K1330" s="5" t="s">
        <v>24</v>
      </c>
      <c r="L1330" s="5" t="s">
        <v>75</v>
      </c>
      <c r="M1330" s="5" t="s">
        <v>24</v>
      </c>
      <c r="N1330" s="5" t="s">
        <v>24</v>
      </c>
      <c r="O1330" s="5" t="s">
        <v>75</v>
      </c>
      <c r="P1330" s="5" t="s">
        <v>2413</v>
      </c>
      <c r="Q1330" s="2">
        <v>45965</v>
      </c>
      <c r="V1330" s="45">
        <f t="shared" si="20"/>
        <v>1</v>
      </c>
      <c r="W1330" s="45" t="s">
        <v>6802</v>
      </c>
    </row>
    <row r="1331" spans="1:23" hidden="1">
      <c r="A1331" s="2">
        <v>45964</v>
      </c>
      <c r="B1331" s="1" t="s">
        <v>2615</v>
      </c>
      <c r="C1331" s="1" t="s">
        <v>2616</v>
      </c>
      <c r="D1331" s="1" t="s">
        <v>2465</v>
      </c>
      <c r="E1331" s="1">
        <v>86323</v>
      </c>
      <c r="F1331" s="1" t="s">
        <v>6803</v>
      </c>
      <c r="G1331" s="1" t="s">
        <v>6801</v>
      </c>
      <c r="H1331" s="4" t="s">
        <v>746</v>
      </c>
      <c r="I1331" s="5" t="s">
        <v>2451</v>
      </c>
      <c r="J1331" s="5" t="s">
        <v>24</v>
      </c>
      <c r="K1331" s="5" t="s">
        <v>24</v>
      </c>
      <c r="L1331" s="5" t="s">
        <v>75</v>
      </c>
      <c r="M1331" s="5" t="s">
        <v>24</v>
      </c>
      <c r="N1331" s="5" t="s">
        <v>24</v>
      </c>
      <c r="O1331" s="5" t="s">
        <v>75</v>
      </c>
      <c r="P1331" s="5" t="s">
        <v>2413</v>
      </c>
      <c r="Q1331" s="2">
        <v>45965</v>
      </c>
      <c r="V1331" s="45">
        <f t="shared" si="20"/>
        <v>1</v>
      </c>
      <c r="W1331" s="45" t="s">
        <v>6804</v>
      </c>
    </row>
    <row r="1332" spans="1:23" hidden="1">
      <c r="A1332" s="2">
        <v>45964</v>
      </c>
      <c r="B1332" s="1" t="s">
        <v>6805</v>
      </c>
      <c r="C1332" s="1" t="s">
        <v>6806</v>
      </c>
      <c r="D1332" s="1" t="s">
        <v>2405</v>
      </c>
      <c r="E1332" s="1" t="s">
        <v>2405</v>
      </c>
      <c r="F1332" s="1" t="s">
        <v>6807</v>
      </c>
      <c r="G1332" s="1" t="s">
        <v>6801</v>
      </c>
      <c r="H1332" s="4" t="s">
        <v>2613</v>
      </c>
      <c r="V1332" s="45">
        <f t="shared" si="20"/>
        <v>1</v>
      </c>
      <c r="W1332" s="45" t="s">
        <v>6808</v>
      </c>
    </row>
    <row r="1333" spans="1:23" hidden="1">
      <c r="A1333" s="2">
        <v>45961</v>
      </c>
      <c r="B1333" s="1" t="s">
        <v>4524</v>
      </c>
      <c r="C1333" s="1" t="s">
        <v>3647</v>
      </c>
      <c r="D1333" s="1" t="s">
        <v>2418</v>
      </c>
      <c r="E1333" s="1">
        <v>85363</v>
      </c>
      <c r="F1333" s="1" t="s">
        <v>6492</v>
      </c>
      <c r="G1333" s="1" t="s">
        <v>6801</v>
      </c>
      <c r="H1333" s="4" t="s">
        <v>64</v>
      </c>
      <c r="I1333" s="5" t="s">
        <v>2597</v>
      </c>
      <c r="J1333" s="5" t="s">
        <v>24</v>
      </c>
      <c r="K1333" s="5" t="s">
        <v>24</v>
      </c>
      <c r="L1333" s="5" t="s">
        <v>6809</v>
      </c>
      <c r="M1333" s="5" t="s">
        <v>75</v>
      </c>
      <c r="N1333" s="15">
        <v>1482.25</v>
      </c>
      <c r="O1333" s="5" t="s">
        <v>75</v>
      </c>
      <c r="P1333" s="7"/>
      <c r="Q1333" s="2">
        <v>45965</v>
      </c>
      <c r="R1333" s="32" t="s">
        <v>6810</v>
      </c>
      <c r="V1333" s="45">
        <f t="shared" si="20"/>
        <v>1</v>
      </c>
      <c r="W1333" s="45" t="s">
        <v>6811</v>
      </c>
    </row>
    <row r="1334" spans="1:23" hidden="1">
      <c r="A1334" s="2">
        <v>45962</v>
      </c>
      <c r="B1334" s="1" t="s">
        <v>6812</v>
      </c>
      <c r="C1334" s="1" t="s">
        <v>3065</v>
      </c>
      <c r="D1334" s="1" t="s">
        <v>2439</v>
      </c>
      <c r="E1334" s="1">
        <v>85029</v>
      </c>
      <c r="F1334" s="1" t="s">
        <v>6813</v>
      </c>
      <c r="G1334" s="1" t="s">
        <v>6801</v>
      </c>
      <c r="H1334" s="4" t="s">
        <v>1702</v>
      </c>
      <c r="I1334" s="5" t="s">
        <v>2412</v>
      </c>
      <c r="J1334" s="5" t="s">
        <v>24</v>
      </c>
      <c r="K1334" s="5" t="s">
        <v>24</v>
      </c>
      <c r="L1334" s="5" t="s">
        <v>75</v>
      </c>
      <c r="M1334" s="5" t="s">
        <v>24</v>
      </c>
      <c r="N1334" s="5" t="s">
        <v>24</v>
      </c>
      <c r="O1334" s="5" t="s">
        <v>75</v>
      </c>
      <c r="P1334" s="5" t="s">
        <v>2413</v>
      </c>
      <c r="Q1334" s="2">
        <v>45965</v>
      </c>
      <c r="V1334" s="45">
        <f t="shared" si="20"/>
        <v>1</v>
      </c>
      <c r="W1334" s="45" t="s">
        <v>6814</v>
      </c>
    </row>
    <row r="1335" spans="1:23" hidden="1">
      <c r="A1335" s="2">
        <v>45963</v>
      </c>
      <c r="B1335" s="1" t="s">
        <v>6815</v>
      </c>
      <c r="C1335" s="1" t="s">
        <v>2527</v>
      </c>
      <c r="D1335" s="1" t="s">
        <v>3211</v>
      </c>
      <c r="E1335" s="1">
        <v>86326</v>
      </c>
      <c r="F1335" s="1" t="s">
        <v>6816</v>
      </c>
      <c r="G1335" s="1" t="s">
        <v>6801</v>
      </c>
      <c r="H1335" s="4" t="s">
        <v>1704</v>
      </c>
      <c r="I1335" s="5" t="s">
        <v>2988</v>
      </c>
      <c r="J1335" s="5" t="s">
        <v>24</v>
      </c>
      <c r="K1335" s="5" t="s">
        <v>24</v>
      </c>
      <c r="L1335" s="5" t="s">
        <v>2819</v>
      </c>
      <c r="M1335" s="5" t="s">
        <v>24</v>
      </c>
      <c r="N1335" s="5" t="s">
        <v>24</v>
      </c>
      <c r="O1335" s="5" t="s">
        <v>75</v>
      </c>
      <c r="P1335" s="5" t="s">
        <v>2413</v>
      </c>
      <c r="Q1335" s="2">
        <v>45965</v>
      </c>
      <c r="V1335" s="45">
        <f t="shared" si="20"/>
        <v>1</v>
      </c>
      <c r="W1335" s="45" t="s">
        <v>6817</v>
      </c>
    </row>
    <row r="1336" spans="1:23" hidden="1">
      <c r="A1336" s="2">
        <v>45965</v>
      </c>
      <c r="B1336" s="1" t="s">
        <v>6818</v>
      </c>
      <c r="C1336" s="1" t="s">
        <v>6819</v>
      </c>
      <c r="D1336" s="1" t="s">
        <v>2445</v>
      </c>
      <c r="E1336" s="1">
        <v>85331</v>
      </c>
      <c r="F1336" s="1" t="s">
        <v>6820</v>
      </c>
      <c r="G1336" s="1" t="s">
        <v>6821</v>
      </c>
      <c r="H1336" s="4" t="s">
        <v>1706</v>
      </c>
      <c r="I1336" s="5" t="s">
        <v>2412</v>
      </c>
      <c r="J1336" s="5" t="s">
        <v>24</v>
      </c>
      <c r="K1336" s="5" t="s">
        <v>24</v>
      </c>
      <c r="L1336" s="5" t="s">
        <v>75</v>
      </c>
      <c r="M1336" s="5" t="s">
        <v>24</v>
      </c>
      <c r="N1336" s="5" t="s">
        <v>24</v>
      </c>
      <c r="O1336" s="5" t="s">
        <v>75</v>
      </c>
      <c r="P1336" s="5" t="s">
        <v>2413</v>
      </c>
      <c r="Q1336" s="2">
        <v>45966</v>
      </c>
      <c r="V1336" s="45">
        <f t="shared" si="20"/>
        <v>1</v>
      </c>
      <c r="W1336" s="125" t="s">
        <v>6822</v>
      </c>
    </row>
    <row r="1337" spans="1:23" hidden="1">
      <c r="A1337" s="2">
        <v>45906</v>
      </c>
      <c r="B1337" s="1" t="s">
        <v>5310</v>
      </c>
      <c r="C1337" s="1" t="s">
        <v>2745</v>
      </c>
      <c r="D1337" s="1" t="s">
        <v>2950</v>
      </c>
      <c r="E1337" s="1">
        <v>86005</v>
      </c>
      <c r="F1337" s="1" t="s">
        <v>6754</v>
      </c>
      <c r="G1337" s="1" t="s">
        <v>6821</v>
      </c>
      <c r="H1337" s="4" t="s">
        <v>454</v>
      </c>
      <c r="I1337" s="5" t="s">
        <v>4414</v>
      </c>
      <c r="J1337" s="5" t="s">
        <v>24</v>
      </c>
      <c r="K1337" s="5" t="s">
        <v>24</v>
      </c>
      <c r="L1337" s="7" t="s">
        <v>6823</v>
      </c>
      <c r="M1337" s="5" t="s">
        <v>24</v>
      </c>
      <c r="N1337" s="5" t="s">
        <v>24</v>
      </c>
      <c r="O1337" s="5" t="s">
        <v>75</v>
      </c>
      <c r="P1337" s="2">
        <v>45971</v>
      </c>
      <c r="Q1337" s="2">
        <v>45966</v>
      </c>
      <c r="R1337" s="1" t="s">
        <v>6824</v>
      </c>
      <c r="V1337" s="45">
        <f t="shared" si="20"/>
        <v>1</v>
      </c>
      <c r="W1337" s="45" t="s">
        <v>6825</v>
      </c>
    </row>
    <row r="1338" spans="1:23" hidden="1">
      <c r="A1338" s="2">
        <v>45964</v>
      </c>
      <c r="B1338" s="1" t="s">
        <v>6826</v>
      </c>
      <c r="C1338" s="1" t="s">
        <v>2524</v>
      </c>
      <c r="D1338" s="1" t="s">
        <v>2513</v>
      </c>
      <c r="E1338" s="1">
        <v>85255</v>
      </c>
      <c r="F1338" s="1" t="s">
        <v>6827</v>
      </c>
      <c r="G1338" s="1" t="s">
        <v>6828</v>
      </c>
      <c r="H1338" s="4" t="s">
        <v>457</v>
      </c>
      <c r="I1338" s="5" t="s">
        <v>2597</v>
      </c>
      <c r="J1338" s="5" t="s">
        <v>24</v>
      </c>
      <c r="K1338" s="5" t="s">
        <v>24</v>
      </c>
      <c r="L1338" s="7" t="s">
        <v>6829</v>
      </c>
      <c r="M1338" s="5" t="s">
        <v>24</v>
      </c>
      <c r="N1338" s="5" t="s">
        <v>24</v>
      </c>
      <c r="O1338" s="5" t="s">
        <v>75</v>
      </c>
      <c r="P1338" s="2">
        <v>45971</v>
      </c>
      <c r="Q1338" s="2">
        <v>45966</v>
      </c>
      <c r="R1338" s="1" t="s">
        <v>6830</v>
      </c>
      <c r="V1338" s="45">
        <f t="shared" si="20"/>
        <v>1</v>
      </c>
      <c r="W1338" s="45" t="s">
        <v>6831</v>
      </c>
    </row>
    <row r="1339" spans="1:23" hidden="1">
      <c r="A1339" s="2">
        <v>45966</v>
      </c>
      <c r="B1339" s="1" t="s">
        <v>6832</v>
      </c>
      <c r="C1339" s="1" t="s">
        <v>3264</v>
      </c>
      <c r="D1339" s="1" t="s">
        <v>2439</v>
      </c>
      <c r="E1339" s="1">
        <v>85022</v>
      </c>
      <c r="F1339" s="1" t="s">
        <v>6833</v>
      </c>
      <c r="G1339" s="1" t="s">
        <v>6834</v>
      </c>
      <c r="H1339" s="4" t="s">
        <v>67</v>
      </c>
      <c r="I1339" s="5" t="s">
        <v>2597</v>
      </c>
      <c r="J1339" s="5" t="s">
        <v>24</v>
      </c>
      <c r="K1339" s="5" t="s">
        <v>24</v>
      </c>
      <c r="L1339" s="5" t="s">
        <v>6835</v>
      </c>
      <c r="M1339" s="5" t="s">
        <v>75</v>
      </c>
      <c r="N1339" s="13">
        <v>99.98</v>
      </c>
      <c r="O1339" s="5" t="s">
        <v>75</v>
      </c>
      <c r="P1339" s="5" t="s">
        <v>2413</v>
      </c>
      <c r="Q1339" s="2">
        <v>45967</v>
      </c>
      <c r="R1339" s="1" t="s">
        <v>6836</v>
      </c>
      <c r="V1339" s="45">
        <f t="shared" si="20"/>
        <v>1</v>
      </c>
      <c r="W1339" s="45" t="s">
        <v>6837</v>
      </c>
    </row>
    <row r="1340" spans="1:23" hidden="1">
      <c r="A1340" s="2">
        <v>45966</v>
      </c>
      <c r="B1340" s="1" t="s">
        <v>6838</v>
      </c>
      <c r="C1340" s="1" t="s">
        <v>2527</v>
      </c>
      <c r="D1340" s="1" t="s">
        <v>2439</v>
      </c>
      <c r="E1340" s="1">
        <v>85255</v>
      </c>
      <c r="F1340" s="1" t="s">
        <v>6839</v>
      </c>
      <c r="G1340" s="1" t="s">
        <v>6834</v>
      </c>
      <c r="H1340" s="4" t="s">
        <v>2401</v>
      </c>
      <c r="V1340" s="45">
        <f t="shared" si="20"/>
        <v>1</v>
      </c>
      <c r="W1340" s="45" t="s">
        <v>6840</v>
      </c>
    </row>
    <row r="1341" spans="1:23" hidden="1">
      <c r="A1341" s="2">
        <v>45966</v>
      </c>
      <c r="B1341" s="1" t="s">
        <v>6841</v>
      </c>
      <c r="C1341" s="1" t="s">
        <v>6842</v>
      </c>
      <c r="D1341" s="1" t="s">
        <v>2570</v>
      </c>
      <c r="E1341" s="1">
        <v>85326</v>
      </c>
      <c r="F1341" s="1" t="s">
        <v>6843</v>
      </c>
      <c r="G1341" s="1" t="s">
        <v>6834</v>
      </c>
      <c r="H1341" s="4" t="s">
        <v>677</v>
      </c>
      <c r="I1341" s="5" t="s">
        <v>2412</v>
      </c>
      <c r="J1341" s="5" t="s">
        <v>24</v>
      </c>
      <c r="K1341" s="5" t="s">
        <v>24</v>
      </c>
      <c r="L1341" s="5" t="s">
        <v>75</v>
      </c>
      <c r="M1341" s="5" t="s">
        <v>75</v>
      </c>
      <c r="N1341" s="15">
        <v>1209</v>
      </c>
      <c r="O1341" s="5" t="s">
        <v>75</v>
      </c>
      <c r="P1341" s="7"/>
      <c r="Q1341" s="2">
        <v>45967</v>
      </c>
      <c r="R1341" s="1" t="s">
        <v>2938</v>
      </c>
      <c r="V1341" s="45">
        <f t="shared" si="20"/>
        <v>1</v>
      </c>
      <c r="W1341" s="45" t="s">
        <v>6844</v>
      </c>
    </row>
    <row r="1342" spans="1:23" hidden="1">
      <c r="A1342" s="2">
        <v>45951</v>
      </c>
      <c r="B1342" s="1" t="s">
        <v>6845</v>
      </c>
      <c r="C1342" s="1" t="s">
        <v>2577</v>
      </c>
      <c r="D1342" s="1" t="s">
        <v>3166</v>
      </c>
      <c r="E1342" s="1">
        <v>85375</v>
      </c>
      <c r="F1342" s="1" t="s">
        <v>6846</v>
      </c>
      <c r="G1342" s="1" t="s">
        <v>6847</v>
      </c>
      <c r="H1342" s="4" t="s">
        <v>2471</v>
      </c>
      <c r="V1342" s="45">
        <f t="shared" si="20"/>
        <v>1</v>
      </c>
      <c r="W1342" s="45" t="s">
        <v>6848</v>
      </c>
    </row>
    <row r="1343" spans="1:23" hidden="1">
      <c r="A1343" s="2">
        <v>45967</v>
      </c>
      <c r="B1343" s="1" t="s">
        <v>6849</v>
      </c>
      <c r="C1343" s="1" t="s">
        <v>6850</v>
      </c>
      <c r="D1343" s="1" t="s">
        <v>6851</v>
      </c>
      <c r="E1343" s="1">
        <v>85354</v>
      </c>
      <c r="F1343" s="1" t="s">
        <v>6852</v>
      </c>
      <c r="G1343" s="1" t="s">
        <v>6853</v>
      </c>
      <c r="H1343" s="4" t="s">
        <v>680</v>
      </c>
      <c r="I1343" s="5" t="s">
        <v>2412</v>
      </c>
      <c r="J1343" s="5" t="s">
        <v>24</v>
      </c>
      <c r="K1343" s="5" t="s">
        <v>24</v>
      </c>
      <c r="L1343" s="5" t="s">
        <v>75</v>
      </c>
      <c r="M1343" s="5" t="s">
        <v>75</v>
      </c>
      <c r="N1343" s="13">
        <v>347.99</v>
      </c>
      <c r="O1343" s="5" t="s">
        <v>75</v>
      </c>
      <c r="P1343" s="5" t="s">
        <v>2413</v>
      </c>
      <c r="Q1343" s="2">
        <v>45968</v>
      </c>
      <c r="V1343" s="45">
        <f t="shared" si="20"/>
        <v>1</v>
      </c>
      <c r="W1343" s="45" t="s">
        <v>6854</v>
      </c>
    </row>
    <row r="1344" spans="1:23" hidden="1">
      <c r="A1344" s="2">
        <v>45967</v>
      </c>
      <c r="B1344" s="1" t="s">
        <v>6855</v>
      </c>
      <c r="C1344" s="1" t="s">
        <v>6856</v>
      </c>
      <c r="D1344" s="1" t="s">
        <v>6499</v>
      </c>
      <c r="E1344" s="1">
        <v>85743</v>
      </c>
      <c r="F1344" s="1" t="s">
        <v>6857</v>
      </c>
      <c r="G1344" s="1" t="s">
        <v>6853</v>
      </c>
      <c r="H1344" s="4" t="s">
        <v>6858</v>
      </c>
      <c r="V1344" s="45">
        <f t="shared" si="20"/>
        <v>0</v>
      </c>
      <c r="W1344" s="45" t="s">
        <v>6859</v>
      </c>
    </row>
    <row r="1345" spans="1:23" hidden="1">
      <c r="A1345" s="2">
        <v>45967</v>
      </c>
      <c r="B1345" s="1" t="s">
        <v>6860</v>
      </c>
      <c r="C1345" s="1" t="s">
        <v>6861</v>
      </c>
      <c r="D1345" s="1" t="s">
        <v>2398</v>
      </c>
      <c r="E1345" s="1">
        <v>85308</v>
      </c>
      <c r="F1345" s="1" t="s">
        <v>6862</v>
      </c>
      <c r="G1345" s="1" t="s">
        <v>6853</v>
      </c>
      <c r="H1345" s="4" t="s">
        <v>1709</v>
      </c>
      <c r="I1345" s="5" t="s">
        <v>2412</v>
      </c>
      <c r="J1345" s="5" t="s">
        <v>24</v>
      </c>
      <c r="K1345" s="5" t="s">
        <v>24</v>
      </c>
      <c r="L1345" s="5" t="s">
        <v>75</v>
      </c>
      <c r="M1345" s="5" t="s">
        <v>24</v>
      </c>
      <c r="N1345" s="5" t="s">
        <v>24</v>
      </c>
      <c r="O1345" s="5" t="s">
        <v>75</v>
      </c>
      <c r="P1345" s="5" t="s">
        <v>2413</v>
      </c>
      <c r="Q1345" s="2">
        <v>45968</v>
      </c>
      <c r="V1345" s="45">
        <f t="shared" si="20"/>
        <v>1</v>
      </c>
      <c r="W1345" s="45" t="s">
        <v>6863</v>
      </c>
    </row>
    <row r="1346" spans="1:23" hidden="1">
      <c r="A1346" s="2">
        <v>45967</v>
      </c>
      <c r="B1346" s="1" t="s">
        <v>6864</v>
      </c>
      <c r="C1346" s="1" t="s">
        <v>6865</v>
      </c>
      <c r="D1346" s="1" t="s">
        <v>2405</v>
      </c>
      <c r="E1346" s="1" t="s">
        <v>2405</v>
      </c>
      <c r="F1346" s="1" t="s">
        <v>6492</v>
      </c>
      <c r="G1346" s="1" t="s">
        <v>6866</v>
      </c>
      <c r="H1346" s="4" t="s">
        <v>2401</v>
      </c>
      <c r="R1346" s="1" t="s">
        <v>6449</v>
      </c>
      <c r="V1346" s="45">
        <f t="shared" ref="V1346:V1409" si="21">IF(OR(ISNUMBER(SEARCH("unable to locate acct",G1346)),ISNUMBER(SEARCH("unknown",G1346)),ISNUMBER(SEARCH("inactive",G1346)),H1346=""),0,1)</f>
        <v>1</v>
      </c>
      <c r="W1346" s="45" t="s">
        <v>6867</v>
      </c>
    </row>
    <row r="1347" spans="1:23" hidden="1">
      <c r="A1347" s="2">
        <v>45967</v>
      </c>
      <c r="B1347" s="1" t="s">
        <v>6868</v>
      </c>
      <c r="C1347" s="1" t="s">
        <v>2803</v>
      </c>
      <c r="D1347" s="1" t="s">
        <v>2405</v>
      </c>
      <c r="E1347" s="1" t="s">
        <v>2405</v>
      </c>
      <c r="F1347" s="1" t="s">
        <v>6869</v>
      </c>
      <c r="G1347" s="1" t="s">
        <v>6866</v>
      </c>
      <c r="H1347" s="4" t="s">
        <v>2401</v>
      </c>
      <c r="R1347" s="1" t="s">
        <v>6449</v>
      </c>
      <c r="V1347" s="45">
        <f t="shared" si="21"/>
        <v>1</v>
      </c>
      <c r="W1347" s="45" t="s">
        <v>6870</v>
      </c>
    </row>
    <row r="1348" spans="1:23" hidden="1">
      <c r="A1348" s="2">
        <v>45967</v>
      </c>
      <c r="B1348" s="1" t="s">
        <v>6871</v>
      </c>
      <c r="C1348" s="1" t="s">
        <v>6003</v>
      </c>
      <c r="D1348" s="1" t="s">
        <v>2439</v>
      </c>
      <c r="E1348" s="1">
        <v>850027</v>
      </c>
      <c r="F1348" s="1" t="s">
        <v>6872</v>
      </c>
      <c r="G1348" s="1" t="s">
        <v>6866</v>
      </c>
      <c r="H1348" s="4" t="s">
        <v>682</v>
      </c>
      <c r="I1348" s="5" t="s">
        <v>2597</v>
      </c>
      <c r="J1348" s="5" t="s">
        <v>24</v>
      </c>
      <c r="K1348" s="5" t="s">
        <v>24</v>
      </c>
      <c r="L1348" s="5" t="s">
        <v>75</v>
      </c>
      <c r="M1348" s="5" t="s">
        <v>75</v>
      </c>
      <c r="N1348" s="15">
        <v>933.92</v>
      </c>
      <c r="O1348" s="5" t="s">
        <v>75</v>
      </c>
      <c r="P1348" s="7"/>
      <c r="Q1348" s="2">
        <v>45968</v>
      </c>
      <c r="R1348" s="1" t="s">
        <v>6873</v>
      </c>
      <c r="V1348" s="45">
        <f t="shared" si="21"/>
        <v>1</v>
      </c>
      <c r="W1348" s="45" t="s">
        <v>6874</v>
      </c>
    </row>
    <row r="1349" spans="1:23" hidden="1">
      <c r="A1349" s="2">
        <v>45967</v>
      </c>
      <c r="B1349" s="1" t="s">
        <v>6875</v>
      </c>
      <c r="C1349" s="1" t="s">
        <v>6876</v>
      </c>
      <c r="D1349" s="1" t="s">
        <v>2405</v>
      </c>
      <c r="E1349" s="1" t="s">
        <v>2405</v>
      </c>
      <c r="F1349" s="1" t="s">
        <v>6877</v>
      </c>
      <c r="G1349" s="1" t="s">
        <v>6866</v>
      </c>
      <c r="H1349" s="4" t="s">
        <v>2401</v>
      </c>
      <c r="R1349" s="1" t="s">
        <v>6449</v>
      </c>
      <c r="V1349" s="45">
        <f t="shared" si="21"/>
        <v>1</v>
      </c>
      <c r="W1349" s="45" t="s">
        <v>6878</v>
      </c>
    </row>
    <row r="1350" spans="1:23" hidden="1">
      <c r="A1350" s="2">
        <v>45967</v>
      </c>
      <c r="B1350" s="1" t="s">
        <v>6879</v>
      </c>
      <c r="C1350" s="1" t="s">
        <v>3742</v>
      </c>
      <c r="D1350" s="1" t="s">
        <v>2405</v>
      </c>
      <c r="E1350" s="1" t="s">
        <v>2405</v>
      </c>
      <c r="F1350" s="1" t="s">
        <v>6880</v>
      </c>
      <c r="G1350" s="1" t="s">
        <v>6866</v>
      </c>
      <c r="H1350" s="4" t="s">
        <v>2471</v>
      </c>
      <c r="R1350" s="1" t="s">
        <v>6449</v>
      </c>
      <c r="V1350" s="45">
        <f t="shared" si="21"/>
        <v>1</v>
      </c>
      <c r="W1350" s="45" t="s">
        <v>6881</v>
      </c>
    </row>
    <row r="1351" spans="1:23" hidden="1">
      <c r="A1351" s="2">
        <v>45967</v>
      </c>
      <c r="B1351" s="1" t="s">
        <v>6882</v>
      </c>
      <c r="C1351" s="1" t="s">
        <v>6673</v>
      </c>
      <c r="D1351" s="1" t="s">
        <v>2405</v>
      </c>
      <c r="E1351" s="1" t="s">
        <v>2405</v>
      </c>
      <c r="F1351" s="1" t="s">
        <v>6880</v>
      </c>
      <c r="G1351" s="1" t="s">
        <v>6866</v>
      </c>
      <c r="H1351" s="4" t="s">
        <v>2471</v>
      </c>
      <c r="R1351" s="1" t="s">
        <v>6449</v>
      </c>
      <c r="V1351" s="45">
        <f t="shared" si="21"/>
        <v>1</v>
      </c>
      <c r="W1351" s="45" t="s">
        <v>6883</v>
      </c>
    </row>
    <row r="1352" spans="1:23" hidden="1">
      <c r="A1352" s="2">
        <v>45967</v>
      </c>
      <c r="B1352" s="1" t="s">
        <v>3173</v>
      </c>
      <c r="C1352" s="1" t="s">
        <v>6884</v>
      </c>
      <c r="D1352" s="1" t="s">
        <v>2439</v>
      </c>
      <c r="E1352" s="1">
        <v>85012</v>
      </c>
      <c r="F1352" s="1" t="s">
        <v>6885</v>
      </c>
      <c r="G1352" s="1" t="s">
        <v>6866</v>
      </c>
      <c r="H1352" s="4" t="s">
        <v>1711</v>
      </c>
      <c r="I1352" s="5" t="s">
        <v>2514</v>
      </c>
      <c r="J1352" s="5" t="s">
        <v>24</v>
      </c>
      <c r="K1352" s="5" t="s">
        <v>24</v>
      </c>
      <c r="L1352" s="5" t="s">
        <v>75</v>
      </c>
      <c r="M1352" s="5" t="s">
        <v>24</v>
      </c>
      <c r="N1352" s="5" t="s">
        <v>24</v>
      </c>
      <c r="O1352" s="5" t="s">
        <v>75</v>
      </c>
      <c r="P1352" s="5" t="s">
        <v>2413</v>
      </c>
      <c r="Q1352" s="2">
        <v>45968</v>
      </c>
      <c r="R1352" s="1" t="s">
        <v>6449</v>
      </c>
      <c r="V1352" s="45">
        <f t="shared" si="21"/>
        <v>1</v>
      </c>
      <c r="W1352" s="45" t="s">
        <v>6886</v>
      </c>
    </row>
    <row r="1353" spans="1:23" hidden="1">
      <c r="A1353" s="33">
        <v>45974</v>
      </c>
      <c r="B1353" s="34" t="s">
        <v>6887</v>
      </c>
      <c r="C1353" s="34" t="s">
        <v>6888</v>
      </c>
      <c r="D1353" s="34" t="s">
        <v>2498</v>
      </c>
      <c r="E1353" s="34">
        <v>85374</v>
      </c>
      <c r="F1353" s="34" t="s">
        <v>6889</v>
      </c>
      <c r="G1353" s="35" t="s">
        <v>6890</v>
      </c>
      <c r="H1353" s="21" t="s">
        <v>1713</v>
      </c>
      <c r="I1353" s="18" t="s">
        <v>2514</v>
      </c>
      <c r="J1353" s="18" t="s">
        <v>24</v>
      </c>
      <c r="K1353" s="18" t="s">
        <v>24</v>
      </c>
      <c r="L1353" s="18" t="s">
        <v>75</v>
      </c>
      <c r="M1353" s="18" t="s">
        <v>24</v>
      </c>
      <c r="N1353" s="18" t="s">
        <v>24</v>
      </c>
      <c r="O1353" s="18" t="s">
        <v>75</v>
      </c>
      <c r="P1353" s="18" t="s">
        <v>2413</v>
      </c>
      <c r="Q1353" s="33">
        <v>45978</v>
      </c>
      <c r="R1353" s="34"/>
      <c r="S1353" s="34"/>
      <c r="T1353" s="34"/>
      <c r="U1353" s="34"/>
      <c r="V1353" s="45">
        <f t="shared" si="21"/>
        <v>1</v>
      </c>
      <c r="W1353" s="45" t="s">
        <v>6891</v>
      </c>
    </row>
    <row r="1354" spans="1:23" hidden="1">
      <c r="A1354" s="33">
        <v>45980</v>
      </c>
      <c r="B1354" s="34" t="s">
        <v>6892</v>
      </c>
      <c r="C1354" s="34" t="s">
        <v>2830</v>
      </c>
      <c r="D1354" s="34" t="s">
        <v>2513</v>
      </c>
      <c r="E1354" s="34">
        <v>85262</v>
      </c>
      <c r="F1354" s="34" t="s">
        <v>6893</v>
      </c>
      <c r="G1354" s="35" t="s">
        <v>6894</v>
      </c>
      <c r="H1354" s="21" t="s">
        <v>1715</v>
      </c>
      <c r="I1354" s="18" t="s">
        <v>2412</v>
      </c>
      <c r="J1354" s="18" t="s">
        <v>24</v>
      </c>
      <c r="K1354" s="18" t="s">
        <v>24</v>
      </c>
      <c r="L1354" s="18" t="s">
        <v>75</v>
      </c>
      <c r="M1354" s="18" t="s">
        <v>24</v>
      </c>
      <c r="N1354" s="18" t="s">
        <v>24</v>
      </c>
      <c r="O1354" s="18" t="s">
        <v>75</v>
      </c>
      <c r="P1354" s="18" t="s">
        <v>2413</v>
      </c>
      <c r="Q1354" s="33">
        <v>45981</v>
      </c>
      <c r="R1354" s="34"/>
      <c r="S1354" s="34"/>
      <c r="T1354" s="34"/>
      <c r="U1354" s="34"/>
      <c r="V1354" s="45">
        <f t="shared" si="21"/>
        <v>1</v>
      </c>
      <c r="W1354" s="45" t="s">
        <v>6895</v>
      </c>
    </row>
    <row r="1355" spans="1:23" hidden="1">
      <c r="A1355" s="36">
        <v>45980</v>
      </c>
      <c r="B1355" s="37" t="s">
        <v>6896</v>
      </c>
      <c r="C1355" s="37" t="s">
        <v>6897</v>
      </c>
      <c r="D1355" s="37" t="s">
        <v>2513</v>
      </c>
      <c r="E1355" s="37">
        <v>85255</v>
      </c>
      <c r="F1355" s="37" t="s">
        <v>6898</v>
      </c>
      <c r="G1355" s="37" t="s">
        <v>6899</v>
      </c>
      <c r="H1355" s="68" t="s">
        <v>459</v>
      </c>
      <c r="I1355" s="38" t="s">
        <v>2412</v>
      </c>
      <c r="J1355" s="38" t="s">
        <v>24</v>
      </c>
      <c r="K1355" s="38" t="s">
        <v>24</v>
      </c>
      <c r="L1355" s="38" t="s">
        <v>6900</v>
      </c>
      <c r="M1355" s="38" t="s">
        <v>24</v>
      </c>
      <c r="N1355" s="38" t="s">
        <v>24</v>
      </c>
      <c r="O1355" s="38" t="s">
        <v>75</v>
      </c>
      <c r="P1355" s="38" t="s">
        <v>2413</v>
      </c>
      <c r="Q1355" s="36">
        <v>45985</v>
      </c>
      <c r="R1355" s="34"/>
      <c r="S1355" s="34"/>
      <c r="T1355" s="34"/>
      <c r="U1355" s="34"/>
      <c r="V1355" s="45">
        <f t="shared" si="21"/>
        <v>1</v>
      </c>
      <c r="W1355" s="45" t="s">
        <v>6901</v>
      </c>
    </row>
    <row r="1356" spans="1:23" hidden="1">
      <c r="A1356" s="36">
        <v>45982</v>
      </c>
      <c r="B1356" s="37" t="s">
        <v>6902</v>
      </c>
      <c r="C1356" s="37" t="s">
        <v>6903</v>
      </c>
      <c r="D1356" s="37" t="s">
        <v>3303</v>
      </c>
      <c r="E1356" s="37">
        <v>86301</v>
      </c>
      <c r="F1356" s="37" t="s">
        <v>6904</v>
      </c>
      <c r="G1356" s="37" t="s">
        <v>6905</v>
      </c>
      <c r="H1356" s="68" t="s">
        <v>1717</v>
      </c>
      <c r="I1356" s="38" t="s">
        <v>2420</v>
      </c>
      <c r="J1356" s="38" t="s">
        <v>24</v>
      </c>
      <c r="K1356" s="38" t="s">
        <v>24</v>
      </c>
      <c r="L1356" s="38" t="s">
        <v>75</v>
      </c>
      <c r="M1356" s="38" t="s">
        <v>24</v>
      </c>
      <c r="N1356" s="38" t="s">
        <v>24</v>
      </c>
      <c r="O1356" s="38" t="s">
        <v>75</v>
      </c>
      <c r="P1356" s="38" t="s">
        <v>2413</v>
      </c>
      <c r="Q1356" s="36">
        <v>45985</v>
      </c>
      <c r="R1356" s="34"/>
      <c r="S1356" s="34"/>
      <c r="T1356" s="34"/>
      <c r="U1356" s="34"/>
      <c r="V1356" s="45">
        <f t="shared" si="21"/>
        <v>1</v>
      </c>
      <c r="W1356" s="45" t="s">
        <v>6906</v>
      </c>
    </row>
    <row r="1357" spans="1:23" hidden="1">
      <c r="A1357" s="36">
        <v>45982</v>
      </c>
      <c r="B1357" s="37" t="s">
        <v>6907</v>
      </c>
      <c r="C1357" s="37" t="s">
        <v>6908</v>
      </c>
      <c r="D1357" s="37" t="s">
        <v>2518</v>
      </c>
      <c r="E1357" s="37">
        <v>85233</v>
      </c>
      <c r="F1357" s="37" t="s">
        <v>6909</v>
      </c>
      <c r="G1357" s="37" t="s">
        <v>6910</v>
      </c>
      <c r="H1357" s="68" t="s">
        <v>1719</v>
      </c>
      <c r="I1357" s="38" t="s">
        <v>6911</v>
      </c>
      <c r="J1357" s="38" t="s">
        <v>24</v>
      </c>
      <c r="K1357" s="38" t="s">
        <v>24</v>
      </c>
      <c r="L1357" s="38" t="s">
        <v>2819</v>
      </c>
      <c r="M1357" s="38" t="s">
        <v>24</v>
      </c>
      <c r="N1357" s="38" t="s">
        <v>24</v>
      </c>
      <c r="O1357" s="38" t="s">
        <v>75</v>
      </c>
      <c r="P1357" s="38" t="s">
        <v>2413</v>
      </c>
      <c r="Q1357" s="36">
        <v>45985</v>
      </c>
      <c r="R1357" s="34" t="s">
        <v>5747</v>
      </c>
      <c r="S1357" s="34"/>
      <c r="T1357" s="34"/>
      <c r="U1357" s="34"/>
      <c r="V1357" s="45">
        <f t="shared" si="21"/>
        <v>1</v>
      </c>
      <c r="W1357" s="45" t="s">
        <v>6912</v>
      </c>
    </row>
    <row r="1358" spans="1:23" hidden="1">
      <c r="A1358" s="36">
        <v>45985</v>
      </c>
      <c r="B1358" s="37" t="s">
        <v>2612</v>
      </c>
      <c r="C1358" s="37" t="s">
        <v>6913</v>
      </c>
      <c r="D1358" s="37" t="s">
        <v>2862</v>
      </c>
      <c r="E1358" s="37">
        <v>85335</v>
      </c>
      <c r="F1358" s="37" t="s">
        <v>6914</v>
      </c>
      <c r="G1358" s="37" t="s">
        <v>6915</v>
      </c>
      <c r="H1358" s="68" t="s">
        <v>461</v>
      </c>
      <c r="I1358" s="38" t="s">
        <v>2514</v>
      </c>
      <c r="J1358" s="38" t="s">
        <v>75</v>
      </c>
      <c r="K1358" s="38" t="s">
        <v>24</v>
      </c>
      <c r="L1358" s="38" t="s">
        <v>6916</v>
      </c>
      <c r="M1358" s="38" t="s">
        <v>24</v>
      </c>
      <c r="N1358" s="38" t="s">
        <v>24</v>
      </c>
      <c r="O1358" s="38" t="s">
        <v>75</v>
      </c>
      <c r="P1358" s="38" t="s">
        <v>2413</v>
      </c>
      <c r="Q1358" s="36">
        <v>45993</v>
      </c>
      <c r="R1358" s="34" t="s">
        <v>6917</v>
      </c>
      <c r="S1358" s="34"/>
      <c r="T1358" s="34"/>
      <c r="U1358" s="34"/>
      <c r="V1358" s="45">
        <f t="shared" si="21"/>
        <v>1</v>
      </c>
      <c r="W1358" s="45" t="s">
        <v>6918</v>
      </c>
    </row>
    <row r="1359" spans="1:23" hidden="1">
      <c r="A1359" s="36">
        <v>45985</v>
      </c>
      <c r="B1359" s="37" t="s">
        <v>6919</v>
      </c>
      <c r="C1359" s="37" t="s">
        <v>6920</v>
      </c>
      <c r="D1359" s="37" t="s">
        <v>2570</v>
      </c>
      <c r="E1359" s="37">
        <v>85326</v>
      </c>
      <c r="F1359" s="37" t="s">
        <v>6921</v>
      </c>
      <c r="G1359" s="37" t="s">
        <v>6922</v>
      </c>
      <c r="H1359" s="68" t="s">
        <v>2401</v>
      </c>
      <c r="I1359" s="38"/>
      <c r="J1359" s="38"/>
      <c r="K1359" s="38"/>
      <c r="L1359" s="38"/>
      <c r="M1359" s="38"/>
      <c r="N1359" s="38"/>
      <c r="O1359" s="38"/>
      <c r="P1359" s="38"/>
      <c r="Q1359" s="38"/>
      <c r="R1359" s="34"/>
      <c r="S1359" s="34"/>
      <c r="T1359" s="34"/>
      <c r="U1359" s="34"/>
      <c r="V1359" s="45">
        <f t="shared" si="21"/>
        <v>1</v>
      </c>
      <c r="W1359" s="45" t="s">
        <v>6923</v>
      </c>
    </row>
    <row r="1360" spans="1:23" hidden="1">
      <c r="A1360" s="36">
        <v>45986</v>
      </c>
      <c r="B1360" s="37" t="s">
        <v>6924</v>
      </c>
      <c r="C1360" s="37" t="s">
        <v>6925</v>
      </c>
      <c r="D1360" s="37" t="s">
        <v>3945</v>
      </c>
      <c r="E1360" s="37">
        <v>85390</v>
      </c>
      <c r="F1360" s="37" t="s">
        <v>6926</v>
      </c>
      <c r="G1360" s="37" t="s">
        <v>6927</v>
      </c>
      <c r="H1360" s="68" t="s">
        <v>463</v>
      </c>
      <c r="I1360" s="38" t="s">
        <v>2597</v>
      </c>
      <c r="J1360" s="38" t="s">
        <v>24</v>
      </c>
      <c r="K1360" s="38" t="s">
        <v>24</v>
      </c>
      <c r="L1360" s="38" t="s">
        <v>6928</v>
      </c>
      <c r="M1360" s="38" t="s">
        <v>24</v>
      </c>
      <c r="N1360" s="38" t="s">
        <v>24</v>
      </c>
      <c r="O1360" s="38" t="s">
        <v>75</v>
      </c>
      <c r="P1360" s="38" t="s">
        <v>2413</v>
      </c>
      <c r="Q1360" s="36">
        <v>45993</v>
      </c>
      <c r="R1360" s="34"/>
      <c r="S1360" s="34"/>
      <c r="T1360" s="34"/>
      <c r="U1360" s="34"/>
      <c r="V1360" s="45">
        <f t="shared" si="21"/>
        <v>1</v>
      </c>
      <c r="W1360" s="45" t="s">
        <v>6929</v>
      </c>
    </row>
    <row r="1361" spans="1:23" hidden="1">
      <c r="A1361" s="36">
        <v>45986</v>
      </c>
      <c r="B1361" s="37" t="s">
        <v>6767</v>
      </c>
      <c r="C1361" s="37" t="s">
        <v>6413</v>
      </c>
      <c r="D1361" s="37" t="s">
        <v>2564</v>
      </c>
      <c r="E1361" s="37">
        <v>85395</v>
      </c>
      <c r="F1361" s="37" t="s">
        <v>6930</v>
      </c>
      <c r="G1361" s="37" t="s">
        <v>6927</v>
      </c>
      <c r="H1361" s="68" t="s">
        <v>1721</v>
      </c>
      <c r="I1361" s="38" t="s">
        <v>2412</v>
      </c>
      <c r="J1361" s="38" t="s">
        <v>24</v>
      </c>
      <c r="K1361" s="38" t="s">
        <v>24</v>
      </c>
      <c r="L1361" s="38" t="s">
        <v>75</v>
      </c>
      <c r="M1361" s="38" t="s">
        <v>24</v>
      </c>
      <c r="N1361" s="38" t="s">
        <v>24</v>
      </c>
      <c r="O1361" s="38" t="s">
        <v>75</v>
      </c>
      <c r="P1361" s="38" t="s">
        <v>2413</v>
      </c>
      <c r="Q1361" s="36">
        <v>45993</v>
      </c>
      <c r="R1361" s="34"/>
      <c r="S1361" s="34"/>
      <c r="T1361" s="34"/>
      <c r="U1361" s="34"/>
      <c r="V1361" s="45">
        <f t="shared" si="21"/>
        <v>1</v>
      </c>
      <c r="W1361" s="45" t="s">
        <v>6931</v>
      </c>
    </row>
    <row r="1362" spans="1:23" hidden="1">
      <c r="A1362" s="36">
        <v>45986</v>
      </c>
      <c r="B1362" s="37" t="s">
        <v>6932</v>
      </c>
      <c r="C1362" s="37" t="s">
        <v>6933</v>
      </c>
      <c r="D1362" s="37" t="s">
        <v>2605</v>
      </c>
      <c r="E1362" s="37">
        <v>85382</v>
      </c>
      <c r="F1362" s="37" t="s">
        <v>6934</v>
      </c>
      <c r="G1362" s="37" t="s">
        <v>6927</v>
      </c>
      <c r="H1362" s="68" t="s">
        <v>1723</v>
      </c>
      <c r="I1362" s="38" t="s">
        <v>6935</v>
      </c>
      <c r="J1362" s="38" t="s">
        <v>24</v>
      </c>
      <c r="K1362" s="38" t="s">
        <v>24</v>
      </c>
      <c r="L1362" s="38" t="s">
        <v>75</v>
      </c>
      <c r="M1362" s="38" t="s">
        <v>24</v>
      </c>
      <c r="N1362" s="38" t="s">
        <v>24</v>
      </c>
      <c r="O1362" s="38" t="s">
        <v>75</v>
      </c>
      <c r="P1362" s="38" t="s">
        <v>2413</v>
      </c>
      <c r="Q1362" s="36">
        <v>45993</v>
      </c>
      <c r="R1362" s="34"/>
      <c r="S1362" s="34"/>
      <c r="T1362" s="34"/>
      <c r="U1362" s="34"/>
      <c r="V1362" s="45">
        <f t="shared" si="21"/>
        <v>1</v>
      </c>
      <c r="W1362" s="45" t="s">
        <v>6936</v>
      </c>
    </row>
    <row r="1363" spans="1:23" hidden="1">
      <c r="A1363" s="36">
        <v>45987</v>
      </c>
      <c r="B1363" s="37" t="s">
        <v>6937</v>
      </c>
      <c r="C1363" s="37" t="s">
        <v>6937</v>
      </c>
      <c r="D1363" s="37"/>
      <c r="E1363" s="37">
        <v>85285</v>
      </c>
      <c r="F1363" s="37" t="s">
        <v>6938</v>
      </c>
      <c r="G1363" s="37" t="s">
        <v>6939</v>
      </c>
      <c r="H1363" s="68" t="s">
        <v>2401</v>
      </c>
      <c r="I1363" s="38"/>
      <c r="J1363" s="38"/>
      <c r="K1363" s="38"/>
      <c r="L1363" s="38"/>
      <c r="M1363" s="38"/>
      <c r="N1363" s="38"/>
      <c r="O1363" s="38"/>
      <c r="P1363" s="38"/>
      <c r="Q1363" s="38"/>
      <c r="R1363" s="34"/>
      <c r="S1363" s="34"/>
      <c r="T1363" s="34"/>
      <c r="U1363" s="34"/>
      <c r="V1363" s="45">
        <f t="shared" si="21"/>
        <v>1</v>
      </c>
      <c r="W1363" s="45" t="s">
        <v>6940</v>
      </c>
    </row>
    <row r="1364" spans="1:23" hidden="1">
      <c r="A1364" s="36">
        <v>45987</v>
      </c>
      <c r="B1364" s="37" t="s">
        <v>2867</v>
      </c>
      <c r="C1364" s="37" t="s">
        <v>6941</v>
      </c>
      <c r="D1364" s="37" t="s">
        <v>2498</v>
      </c>
      <c r="E1364" s="37">
        <v>85388</v>
      </c>
      <c r="F1364" s="37" t="s">
        <v>6942</v>
      </c>
      <c r="G1364" s="37" t="s">
        <v>6939</v>
      </c>
      <c r="H1364" s="68" t="s">
        <v>2471</v>
      </c>
      <c r="I1364" s="38"/>
      <c r="J1364" s="38"/>
      <c r="K1364" s="38"/>
      <c r="L1364" s="38"/>
      <c r="M1364" s="38"/>
      <c r="N1364" s="38"/>
      <c r="O1364" s="38"/>
      <c r="P1364" s="38"/>
      <c r="Q1364" s="38"/>
      <c r="R1364" s="34"/>
      <c r="S1364" s="34"/>
      <c r="T1364" s="34"/>
      <c r="U1364" s="34"/>
      <c r="V1364" s="45">
        <f t="shared" si="21"/>
        <v>1</v>
      </c>
      <c r="W1364" s="45" t="s">
        <v>6943</v>
      </c>
    </row>
    <row r="1365" spans="1:23" hidden="1">
      <c r="A1365" s="36">
        <v>45987</v>
      </c>
      <c r="B1365" s="37" t="s">
        <v>6944</v>
      </c>
      <c r="C1365" s="37" t="s">
        <v>2861</v>
      </c>
      <c r="D1365" s="37" t="s">
        <v>2475</v>
      </c>
      <c r="E1365" s="37">
        <v>85351</v>
      </c>
      <c r="F1365" s="37" t="s">
        <v>3298</v>
      </c>
      <c r="G1365" s="37" t="s">
        <v>6939</v>
      </c>
      <c r="H1365" s="68" t="s">
        <v>1725</v>
      </c>
      <c r="I1365" s="38" t="s">
        <v>2412</v>
      </c>
      <c r="J1365" s="38" t="s">
        <v>24</v>
      </c>
      <c r="K1365" s="38" t="s">
        <v>24</v>
      </c>
      <c r="L1365" s="38" t="s">
        <v>75</v>
      </c>
      <c r="M1365" s="38" t="s">
        <v>24</v>
      </c>
      <c r="N1365" s="38" t="s">
        <v>24</v>
      </c>
      <c r="O1365" s="38" t="s">
        <v>75</v>
      </c>
      <c r="P1365" s="38" t="s">
        <v>2413</v>
      </c>
      <c r="Q1365" s="36">
        <v>45993</v>
      </c>
      <c r="R1365" s="34"/>
      <c r="S1365" s="34"/>
      <c r="T1365" s="34"/>
      <c r="U1365" s="34"/>
      <c r="V1365" s="45">
        <f t="shared" si="21"/>
        <v>1</v>
      </c>
      <c r="W1365" s="45" t="s">
        <v>6945</v>
      </c>
    </row>
    <row r="1366" spans="1:23" hidden="1">
      <c r="A1366" s="36">
        <v>45987</v>
      </c>
      <c r="B1366" s="37" t="s">
        <v>6946</v>
      </c>
      <c r="C1366" s="37" t="s">
        <v>2639</v>
      </c>
      <c r="D1366" s="37" t="s">
        <v>2564</v>
      </c>
      <c r="E1366" s="37">
        <v>85338</v>
      </c>
      <c r="F1366" s="37" t="s">
        <v>6947</v>
      </c>
      <c r="G1366" s="37" t="s">
        <v>6948</v>
      </c>
      <c r="H1366" s="68" t="s">
        <v>1727</v>
      </c>
      <c r="I1366" s="38" t="s">
        <v>2412</v>
      </c>
      <c r="J1366" s="38" t="s">
        <v>24</v>
      </c>
      <c r="K1366" s="38" t="s">
        <v>24</v>
      </c>
      <c r="L1366" s="38" t="s">
        <v>75</v>
      </c>
      <c r="M1366" s="38" t="s">
        <v>24</v>
      </c>
      <c r="N1366" s="38" t="s">
        <v>24</v>
      </c>
      <c r="O1366" s="38" t="s">
        <v>75</v>
      </c>
      <c r="P1366" s="38" t="s">
        <v>2413</v>
      </c>
      <c r="Q1366" s="36">
        <v>45993</v>
      </c>
      <c r="R1366" s="34"/>
      <c r="S1366" s="34"/>
      <c r="T1366" s="34"/>
      <c r="U1366" s="34"/>
      <c r="V1366" s="45">
        <f t="shared" si="21"/>
        <v>1</v>
      </c>
      <c r="W1366" s="45" t="s">
        <v>6949</v>
      </c>
    </row>
    <row r="1367" spans="1:23" hidden="1">
      <c r="A1367" s="36">
        <v>45987</v>
      </c>
      <c r="B1367" s="37" t="s">
        <v>6950</v>
      </c>
      <c r="C1367" s="37" t="s">
        <v>6951</v>
      </c>
      <c r="D1367" s="37" t="s">
        <v>2605</v>
      </c>
      <c r="E1367" s="37">
        <v>85382</v>
      </c>
      <c r="F1367" s="37" t="s">
        <v>6952</v>
      </c>
      <c r="G1367" s="37" t="s">
        <v>6948</v>
      </c>
      <c r="H1367" s="68" t="s">
        <v>1729</v>
      </c>
      <c r="I1367" s="38" t="s">
        <v>6953</v>
      </c>
      <c r="J1367" s="38" t="s">
        <v>24</v>
      </c>
      <c r="K1367" s="38" t="s">
        <v>24</v>
      </c>
      <c r="L1367" s="38" t="s">
        <v>2819</v>
      </c>
      <c r="M1367" s="38" t="s">
        <v>24</v>
      </c>
      <c r="N1367" s="38" t="s">
        <v>24</v>
      </c>
      <c r="O1367" s="38" t="s">
        <v>75</v>
      </c>
      <c r="P1367" s="38" t="s">
        <v>2413</v>
      </c>
      <c r="Q1367" s="36">
        <v>45993</v>
      </c>
      <c r="R1367" s="34"/>
      <c r="S1367" s="34"/>
      <c r="T1367" s="34"/>
      <c r="U1367" s="34"/>
      <c r="V1367" s="45">
        <f t="shared" si="21"/>
        <v>1</v>
      </c>
      <c r="W1367" s="45" t="s">
        <v>6954</v>
      </c>
    </row>
    <row r="1368" spans="1:23" hidden="1">
      <c r="A1368" s="36">
        <v>45989</v>
      </c>
      <c r="B1368" s="37" t="s">
        <v>6955</v>
      </c>
      <c r="C1368" s="37" t="s">
        <v>6956</v>
      </c>
      <c r="D1368" s="37" t="s">
        <v>2498</v>
      </c>
      <c r="E1368" s="37">
        <v>85387</v>
      </c>
      <c r="F1368" s="37" t="s">
        <v>6957</v>
      </c>
      <c r="G1368" s="37" t="s">
        <v>6958</v>
      </c>
      <c r="H1368" s="68" t="s">
        <v>1731</v>
      </c>
      <c r="I1368" s="38" t="s">
        <v>2412</v>
      </c>
      <c r="J1368" s="38" t="s">
        <v>24</v>
      </c>
      <c r="K1368" s="38" t="s">
        <v>24</v>
      </c>
      <c r="L1368" s="38" t="s">
        <v>75</v>
      </c>
      <c r="M1368" s="38" t="s">
        <v>24</v>
      </c>
      <c r="N1368" s="38" t="s">
        <v>24</v>
      </c>
      <c r="O1368" s="38" t="s">
        <v>75</v>
      </c>
      <c r="P1368" s="38" t="s">
        <v>2413</v>
      </c>
      <c r="Q1368" s="36">
        <v>45993</v>
      </c>
      <c r="R1368" s="34"/>
      <c r="S1368" s="34"/>
      <c r="T1368" s="34"/>
      <c r="U1368" s="34"/>
      <c r="V1368" s="45">
        <f t="shared" si="21"/>
        <v>1</v>
      </c>
      <c r="W1368" s="45" t="s">
        <v>6959</v>
      </c>
    </row>
    <row r="1369" spans="1:23" hidden="1">
      <c r="A1369" s="36">
        <v>45993</v>
      </c>
      <c r="B1369" s="37" t="s">
        <v>6960</v>
      </c>
      <c r="C1369" s="37" t="s">
        <v>4113</v>
      </c>
      <c r="D1369" s="37" t="s">
        <v>2498</v>
      </c>
      <c r="E1369" s="37">
        <v>85379</v>
      </c>
      <c r="F1369" s="37" t="s">
        <v>6754</v>
      </c>
      <c r="G1369" s="37" t="s">
        <v>6961</v>
      </c>
      <c r="H1369" s="68" t="s">
        <v>1733</v>
      </c>
      <c r="I1369" s="38" t="s">
        <v>2988</v>
      </c>
      <c r="J1369" s="38" t="s">
        <v>24</v>
      </c>
      <c r="K1369" s="38" t="s">
        <v>24</v>
      </c>
      <c r="L1369" s="38" t="s">
        <v>2819</v>
      </c>
      <c r="M1369" s="38" t="s">
        <v>24</v>
      </c>
      <c r="N1369" s="38" t="s">
        <v>24</v>
      </c>
      <c r="O1369" s="38" t="s">
        <v>75</v>
      </c>
      <c r="P1369" s="38" t="s">
        <v>2413</v>
      </c>
      <c r="Q1369" s="36">
        <v>45994</v>
      </c>
      <c r="R1369" s="34"/>
      <c r="S1369" s="34"/>
      <c r="T1369" s="34"/>
      <c r="U1369" s="34"/>
      <c r="V1369" s="45">
        <f t="shared" si="21"/>
        <v>1</v>
      </c>
      <c r="W1369" s="45" t="s">
        <v>6962</v>
      </c>
    </row>
    <row r="1370" spans="1:23" hidden="1">
      <c r="A1370" s="36">
        <v>45993</v>
      </c>
      <c r="B1370" s="37" t="s">
        <v>6963</v>
      </c>
      <c r="C1370" s="37" t="s">
        <v>5502</v>
      </c>
      <c r="D1370" s="37" t="s">
        <v>2498</v>
      </c>
      <c r="E1370" s="37">
        <v>85387</v>
      </c>
      <c r="F1370" s="37" t="s">
        <v>6964</v>
      </c>
      <c r="G1370" s="37" t="s">
        <v>6965</v>
      </c>
      <c r="H1370" s="68" t="s">
        <v>1735</v>
      </c>
      <c r="I1370" s="38" t="s">
        <v>2412</v>
      </c>
      <c r="J1370" s="38" t="s">
        <v>24</v>
      </c>
      <c r="K1370" s="38" t="s">
        <v>24</v>
      </c>
      <c r="L1370" s="38" t="s">
        <v>75</v>
      </c>
      <c r="M1370" s="38" t="s">
        <v>24</v>
      </c>
      <c r="N1370" s="38" t="s">
        <v>24</v>
      </c>
      <c r="O1370" s="38" t="s">
        <v>75</v>
      </c>
      <c r="P1370" s="38" t="s">
        <v>2413</v>
      </c>
      <c r="Q1370" s="36">
        <v>45994</v>
      </c>
      <c r="R1370" s="34"/>
      <c r="S1370" s="34"/>
      <c r="T1370" s="34"/>
      <c r="U1370" s="34"/>
      <c r="V1370" s="45">
        <f t="shared" si="21"/>
        <v>1</v>
      </c>
      <c r="W1370" s="45" t="s">
        <v>6966</v>
      </c>
    </row>
    <row r="1371" spans="1:23" hidden="1">
      <c r="A1371" s="36">
        <v>45993</v>
      </c>
      <c r="B1371" s="37" t="s">
        <v>6967</v>
      </c>
      <c r="C1371" s="37" t="s">
        <v>3729</v>
      </c>
      <c r="D1371" s="37" t="s">
        <v>2498</v>
      </c>
      <c r="E1371" s="37">
        <v>85374</v>
      </c>
      <c r="F1371" s="37" t="s">
        <v>6754</v>
      </c>
      <c r="G1371" s="37" t="s">
        <v>6968</v>
      </c>
      <c r="H1371" s="68" t="s">
        <v>466</v>
      </c>
      <c r="I1371" s="38" t="s">
        <v>2432</v>
      </c>
      <c r="J1371" s="38" t="s">
        <v>24</v>
      </c>
      <c r="K1371" s="38" t="s">
        <v>24</v>
      </c>
      <c r="L1371" s="38" t="s">
        <v>6969</v>
      </c>
      <c r="M1371" s="38" t="s">
        <v>24</v>
      </c>
      <c r="N1371" s="38" t="s">
        <v>24</v>
      </c>
      <c r="O1371" s="38" t="s">
        <v>75</v>
      </c>
      <c r="P1371" s="38" t="s">
        <v>2413</v>
      </c>
      <c r="Q1371" s="36">
        <v>45995</v>
      </c>
      <c r="R1371" s="34"/>
      <c r="S1371" s="34"/>
      <c r="T1371" s="34"/>
      <c r="U1371" s="34"/>
      <c r="V1371" s="45">
        <f t="shared" si="21"/>
        <v>1</v>
      </c>
      <c r="W1371" s="45" t="s">
        <v>6970</v>
      </c>
    </row>
    <row r="1372" spans="1:23" hidden="1">
      <c r="A1372" s="36">
        <v>45993</v>
      </c>
      <c r="B1372" s="37" t="s">
        <v>6971</v>
      </c>
      <c r="C1372" s="37" t="s">
        <v>6972</v>
      </c>
      <c r="D1372" s="37" t="s">
        <v>2862</v>
      </c>
      <c r="E1372" s="37">
        <v>85335</v>
      </c>
      <c r="F1372" s="37" t="s">
        <v>6754</v>
      </c>
      <c r="G1372" s="37" t="s">
        <v>6968</v>
      </c>
      <c r="H1372" s="68" t="s">
        <v>2401</v>
      </c>
      <c r="I1372" s="38"/>
      <c r="J1372" s="38"/>
      <c r="K1372" s="38"/>
      <c r="L1372" s="38"/>
      <c r="M1372" s="38"/>
      <c r="N1372" s="38"/>
      <c r="O1372" s="38"/>
      <c r="P1372" s="38"/>
      <c r="Q1372" s="38"/>
      <c r="R1372" s="34"/>
      <c r="S1372" s="34"/>
      <c r="T1372" s="34"/>
      <c r="U1372" s="34"/>
      <c r="V1372" s="45">
        <f t="shared" si="21"/>
        <v>1</v>
      </c>
      <c r="W1372" s="45" t="s">
        <v>6973</v>
      </c>
    </row>
    <row r="1373" spans="1:23" hidden="1">
      <c r="A1373" s="36">
        <v>45993</v>
      </c>
      <c r="B1373" s="37" t="s">
        <v>6974</v>
      </c>
      <c r="C1373" s="37" t="s">
        <v>6097</v>
      </c>
      <c r="D1373" s="37" t="s">
        <v>2862</v>
      </c>
      <c r="E1373" s="37">
        <v>85335</v>
      </c>
      <c r="F1373" s="37" t="s">
        <v>6975</v>
      </c>
      <c r="G1373" s="37" t="s">
        <v>6968</v>
      </c>
      <c r="H1373" s="68" t="s">
        <v>685</v>
      </c>
      <c r="I1373" s="38" t="s">
        <v>6976</v>
      </c>
      <c r="J1373" s="38" t="s">
        <v>75</v>
      </c>
      <c r="K1373" s="38" t="s">
        <v>24</v>
      </c>
      <c r="L1373" s="38" t="s">
        <v>2819</v>
      </c>
      <c r="M1373" s="38" t="s">
        <v>75</v>
      </c>
      <c r="N1373" s="38">
        <v>425.23</v>
      </c>
      <c r="O1373" s="38" t="s">
        <v>75</v>
      </c>
      <c r="P1373" s="38" t="s">
        <v>2413</v>
      </c>
      <c r="Q1373" s="36">
        <v>45995</v>
      </c>
      <c r="R1373" s="34"/>
      <c r="S1373" s="34"/>
      <c r="T1373" s="34"/>
      <c r="U1373" s="34"/>
      <c r="V1373" s="45">
        <f t="shared" si="21"/>
        <v>1</v>
      </c>
      <c r="W1373" s="45" t="s">
        <v>6977</v>
      </c>
    </row>
    <row r="1374" spans="1:23" hidden="1">
      <c r="A1374" s="36">
        <v>45993</v>
      </c>
      <c r="B1374" s="37" t="s">
        <v>6525</v>
      </c>
      <c r="C1374" s="37" t="s">
        <v>6978</v>
      </c>
      <c r="D1374" s="37" t="s">
        <v>2862</v>
      </c>
      <c r="E1374" s="37">
        <v>85335</v>
      </c>
      <c r="F1374" s="37" t="s">
        <v>6979</v>
      </c>
      <c r="G1374" s="37" t="s">
        <v>6968</v>
      </c>
      <c r="H1374" s="68" t="s">
        <v>469</v>
      </c>
      <c r="I1374" s="38" t="s">
        <v>2597</v>
      </c>
      <c r="J1374" s="38" t="s">
        <v>24</v>
      </c>
      <c r="K1374" s="38" t="s">
        <v>24</v>
      </c>
      <c r="L1374" s="38" t="s">
        <v>6980</v>
      </c>
      <c r="M1374" s="38" t="s">
        <v>24</v>
      </c>
      <c r="N1374" s="38" t="s">
        <v>24</v>
      </c>
      <c r="O1374" s="38" t="s">
        <v>75</v>
      </c>
      <c r="P1374" s="38"/>
      <c r="Q1374" s="36">
        <v>45995</v>
      </c>
      <c r="R1374" s="34"/>
      <c r="S1374" s="34"/>
      <c r="T1374" s="34"/>
      <c r="U1374" s="34"/>
      <c r="V1374" s="45">
        <f t="shared" si="21"/>
        <v>1</v>
      </c>
      <c r="W1374" s="45" t="s">
        <v>6981</v>
      </c>
    </row>
    <row r="1375" spans="1:23" hidden="1">
      <c r="A1375" s="36">
        <v>45993</v>
      </c>
      <c r="B1375" s="37" t="s">
        <v>6982</v>
      </c>
      <c r="C1375" s="37" t="s">
        <v>6983</v>
      </c>
      <c r="D1375" s="37" t="s">
        <v>2398</v>
      </c>
      <c r="E1375" s="37">
        <v>85304</v>
      </c>
      <c r="F1375" s="37" t="s">
        <v>6984</v>
      </c>
      <c r="G1375" s="37" t="s">
        <v>6968</v>
      </c>
      <c r="H1375" s="68" t="s">
        <v>1737</v>
      </c>
      <c r="I1375" s="38" t="s">
        <v>2659</v>
      </c>
      <c r="J1375" s="38" t="s">
        <v>24</v>
      </c>
      <c r="K1375" s="38" t="s">
        <v>24</v>
      </c>
      <c r="L1375" s="38" t="s">
        <v>75</v>
      </c>
      <c r="M1375" s="38" t="s">
        <v>24</v>
      </c>
      <c r="N1375" s="38" t="s">
        <v>24</v>
      </c>
      <c r="O1375" s="38" t="s">
        <v>75</v>
      </c>
      <c r="P1375" s="38" t="s">
        <v>2413</v>
      </c>
      <c r="Q1375" s="36">
        <v>45995</v>
      </c>
      <c r="R1375" s="34"/>
      <c r="S1375" s="34"/>
      <c r="T1375" s="34"/>
      <c r="U1375" s="34"/>
      <c r="V1375" s="45">
        <f t="shared" si="21"/>
        <v>1</v>
      </c>
      <c r="W1375" s="45" t="s">
        <v>6985</v>
      </c>
    </row>
    <row r="1376" spans="1:23" hidden="1">
      <c r="A1376" s="36">
        <v>45993</v>
      </c>
      <c r="B1376" s="37" t="s">
        <v>6986</v>
      </c>
      <c r="C1376" s="37" t="s">
        <v>6198</v>
      </c>
      <c r="D1376" s="37" t="s">
        <v>2498</v>
      </c>
      <c r="E1376" s="37">
        <v>85387</v>
      </c>
      <c r="F1376" s="37" t="s">
        <v>6987</v>
      </c>
      <c r="G1376" s="37" t="s">
        <v>6968</v>
      </c>
      <c r="H1376" s="68" t="s">
        <v>1739</v>
      </c>
      <c r="I1376" s="38" t="s">
        <v>2412</v>
      </c>
      <c r="J1376" s="38" t="s">
        <v>24</v>
      </c>
      <c r="K1376" s="38" t="s">
        <v>24</v>
      </c>
      <c r="L1376" s="38" t="s">
        <v>75</v>
      </c>
      <c r="M1376" s="38" t="s">
        <v>24</v>
      </c>
      <c r="N1376" s="38" t="s">
        <v>24</v>
      </c>
      <c r="O1376" s="38" t="s">
        <v>75</v>
      </c>
      <c r="P1376" s="38" t="s">
        <v>2413</v>
      </c>
      <c r="Q1376" s="36">
        <v>45995</v>
      </c>
      <c r="R1376" s="34"/>
      <c r="S1376" s="34"/>
      <c r="T1376" s="34"/>
      <c r="U1376" s="34"/>
      <c r="V1376" s="45">
        <f t="shared" si="21"/>
        <v>1</v>
      </c>
      <c r="W1376" s="45" t="s">
        <v>6988</v>
      </c>
    </row>
    <row r="1377" spans="1:23" hidden="1">
      <c r="A1377" s="36">
        <v>45993</v>
      </c>
      <c r="B1377" s="37" t="s">
        <v>6989</v>
      </c>
      <c r="C1377" s="37" t="s">
        <v>6990</v>
      </c>
      <c r="D1377" s="37" t="s">
        <v>6991</v>
      </c>
      <c r="E1377" s="37">
        <v>85378</v>
      </c>
      <c r="F1377" s="37" t="s">
        <v>6754</v>
      </c>
      <c r="G1377" s="37" t="s">
        <v>6968</v>
      </c>
      <c r="H1377" s="68" t="s">
        <v>472</v>
      </c>
      <c r="I1377" s="38" t="s">
        <v>2412</v>
      </c>
      <c r="J1377" s="38" t="s">
        <v>75</v>
      </c>
      <c r="K1377" s="38" t="s">
        <v>24</v>
      </c>
      <c r="L1377" s="38" t="s">
        <v>2831</v>
      </c>
      <c r="M1377" s="38" t="s">
        <v>24</v>
      </c>
      <c r="N1377" s="38" t="s">
        <v>24</v>
      </c>
      <c r="O1377" s="38" t="s">
        <v>75</v>
      </c>
      <c r="P1377" s="38" t="s">
        <v>2413</v>
      </c>
      <c r="Q1377" s="36">
        <v>45995</v>
      </c>
      <c r="R1377" s="34"/>
      <c r="S1377" s="34"/>
      <c r="T1377" s="34"/>
      <c r="U1377" s="34"/>
      <c r="V1377" s="45">
        <f t="shared" si="21"/>
        <v>1</v>
      </c>
      <c r="W1377" s="45" t="s">
        <v>6992</v>
      </c>
    </row>
    <row r="1378" spans="1:23" hidden="1">
      <c r="A1378" s="36">
        <v>45993</v>
      </c>
      <c r="B1378" s="37" t="s">
        <v>3654</v>
      </c>
      <c r="C1378" s="37" t="s">
        <v>6993</v>
      </c>
      <c r="D1378" s="37" t="s">
        <v>2570</v>
      </c>
      <c r="E1378" s="37">
        <v>85396</v>
      </c>
      <c r="F1378" s="37" t="s">
        <v>6994</v>
      </c>
      <c r="G1378" s="37" t="s">
        <v>6968</v>
      </c>
      <c r="H1378" s="68" t="s">
        <v>1741</v>
      </c>
      <c r="I1378" s="38" t="s">
        <v>2420</v>
      </c>
      <c r="J1378" s="38" t="s">
        <v>24</v>
      </c>
      <c r="K1378" s="38" t="s">
        <v>24</v>
      </c>
      <c r="L1378" s="38" t="s">
        <v>75</v>
      </c>
      <c r="M1378" s="38" t="s">
        <v>24</v>
      </c>
      <c r="N1378" s="38" t="s">
        <v>24</v>
      </c>
      <c r="O1378" s="38" t="s">
        <v>75</v>
      </c>
      <c r="P1378" s="38" t="s">
        <v>2413</v>
      </c>
      <c r="Q1378" s="36">
        <v>45995</v>
      </c>
      <c r="R1378" s="34"/>
      <c r="S1378" s="34"/>
      <c r="T1378" s="34"/>
      <c r="U1378" s="34"/>
      <c r="V1378" s="45">
        <f t="shared" si="21"/>
        <v>1</v>
      </c>
      <c r="W1378" s="45" t="s">
        <v>6995</v>
      </c>
    </row>
    <row r="1379" spans="1:23" hidden="1">
      <c r="A1379" s="36">
        <v>45993</v>
      </c>
      <c r="B1379" s="37" t="s">
        <v>6996</v>
      </c>
      <c r="C1379" s="37" t="s">
        <v>6997</v>
      </c>
      <c r="D1379" s="37" t="s">
        <v>2498</v>
      </c>
      <c r="E1379" s="37">
        <v>85374</v>
      </c>
      <c r="F1379" s="37" t="s">
        <v>6754</v>
      </c>
      <c r="G1379" s="37" t="s">
        <v>6968</v>
      </c>
      <c r="H1379" s="68" t="s">
        <v>2401</v>
      </c>
      <c r="I1379" s="38"/>
      <c r="J1379" s="38"/>
      <c r="K1379" s="38"/>
      <c r="L1379" s="38"/>
      <c r="M1379" s="38"/>
      <c r="N1379" s="38"/>
      <c r="O1379" s="38"/>
      <c r="P1379" s="38"/>
      <c r="Q1379" s="38"/>
      <c r="R1379" s="34"/>
      <c r="S1379" s="34"/>
      <c r="T1379" s="34"/>
      <c r="U1379" s="34"/>
      <c r="V1379" s="45">
        <f t="shared" si="21"/>
        <v>1</v>
      </c>
      <c r="W1379" s="45" t="s">
        <v>6998</v>
      </c>
    </row>
    <row r="1380" spans="1:23" hidden="1">
      <c r="A1380" s="36">
        <v>45993</v>
      </c>
      <c r="B1380" s="37" t="s">
        <v>2516</v>
      </c>
      <c r="C1380" s="37" t="s">
        <v>4928</v>
      </c>
      <c r="D1380" s="37" t="s">
        <v>2498</v>
      </c>
      <c r="E1380" s="37">
        <v>85388</v>
      </c>
      <c r="F1380" s="37" t="s">
        <v>6754</v>
      </c>
      <c r="G1380" s="37" t="s">
        <v>6968</v>
      </c>
      <c r="H1380" s="68" t="s">
        <v>2401</v>
      </c>
      <c r="I1380" s="38"/>
      <c r="J1380" s="38"/>
      <c r="K1380" s="38"/>
      <c r="L1380" s="38"/>
      <c r="M1380" s="38"/>
      <c r="N1380" s="38"/>
      <c r="O1380" s="38"/>
      <c r="P1380" s="38"/>
      <c r="Q1380" s="38"/>
      <c r="R1380" s="34"/>
      <c r="S1380" s="34"/>
      <c r="T1380" s="34"/>
      <c r="U1380" s="34"/>
      <c r="V1380" s="45">
        <f t="shared" si="21"/>
        <v>1</v>
      </c>
      <c r="W1380" s="45" t="s">
        <v>6999</v>
      </c>
    </row>
    <row r="1381" spans="1:23" hidden="1">
      <c r="A1381" s="36">
        <v>45993</v>
      </c>
      <c r="B1381" s="37" t="s">
        <v>7000</v>
      </c>
      <c r="C1381" s="37" t="s">
        <v>6491</v>
      </c>
      <c r="D1381" s="37" t="s">
        <v>2862</v>
      </c>
      <c r="E1381" s="37">
        <v>85355</v>
      </c>
      <c r="F1381" s="37" t="s">
        <v>7001</v>
      </c>
      <c r="G1381" s="37" t="s">
        <v>6968</v>
      </c>
      <c r="H1381" s="68" t="s">
        <v>1743</v>
      </c>
      <c r="I1381" s="38" t="s">
        <v>2420</v>
      </c>
      <c r="J1381" s="38" t="s">
        <v>24</v>
      </c>
      <c r="K1381" s="38" t="s">
        <v>24</v>
      </c>
      <c r="L1381" s="38" t="s">
        <v>75</v>
      </c>
      <c r="M1381" s="38" t="s">
        <v>24</v>
      </c>
      <c r="N1381" s="38" t="s">
        <v>24</v>
      </c>
      <c r="O1381" s="38" t="s">
        <v>75</v>
      </c>
      <c r="P1381" s="38" t="s">
        <v>2413</v>
      </c>
      <c r="Q1381" s="36">
        <v>45995</v>
      </c>
      <c r="R1381" s="34"/>
      <c r="S1381" s="34"/>
      <c r="T1381" s="34"/>
      <c r="U1381" s="34"/>
      <c r="V1381" s="45">
        <f t="shared" si="21"/>
        <v>1</v>
      </c>
      <c r="W1381" s="45" t="s">
        <v>7002</v>
      </c>
    </row>
    <row r="1382" spans="1:23" hidden="1">
      <c r="A1382" s="2">
        <v>45994</v>
      </c>
      <c r="B1382" s="1" t="s">
        <v>7003</v>
      </c>
      <c r="C1382" s="1" t="s">
        <v>3733</v>
      </c>
      <c r="D1382" s="1" t="s">
        <v>2405</v>
      </c>
      <c r="E1382" s="1" t="s">
        <v>2405</v>
      </c>
      <c r="F1382" s="1" t="s">
        <v>2406</v>
      </c>
      <c r="G1382" s="39" t="s">
        <v>7004</v>
      </c>
      <c r="H1382" s="4" t="s">
        <v>2401</v>
      </c>
      <c r="V1382" s="45">
        <f t="shared" si="21"/>
        <v>1</v>
      </c>
      <c r="W1382" s="45" t="s">
        <v>7005</v>
      </c>
    </row>
    <row r="1383" spans="1:23" hidden="1">
      <c r="A1383" s="2">
        <v>45994</v>
      </c>
      <c r="B1383" s="1" t="s">
        <v>7006</v>
      </c>
      <c r="C1383" s="1" t="s">
        <v>7007</v>
      </c>
      <c r="D1383" s="1" t="s">
        <v>2605</v>
      </c>
      <c r="E1383" s="1">
        <v>85383</v>
      </c>
      <c r="F1383" s="1" t="s">
        <v>7008</v>
      </c>
      <c r="G1383" s="39" t="s">
        <v>7009</v>
      </c>
      <c r="H1383" s="4" t="s">
        <v>1745</v>
      </c>
      <c r="I1383" s="5" t="s">
        <v>2514</v>
      </c>
      <c r="J1383" s="5" t="s">
        <v>24</v>
      </c>
      <c r="K1383" s="5" t="s">
        <v>24</v>
      </c>
      <c r="L1383" s="5" t="s">
        <v>75</v>
      </c>
      <c r="M1383" s="5" t="s">
        <v>24</v>
      </c>
      <c r="N1383" s="5" t="s">
        <v>24</v>
      </c>
      <c r="O1383" s="5" t="s">
        <v>75</v>
      </c>
      <c r="P1383" s="5" t="s">
        <v>2413</v>
      </c>
      <c r="Q1383" s="2">
        <v>45995</v>
      </c>
      <c r="V1383" s="45">
        <f t="shared" si="21"/>
        <v>1</v>
      </c>
      <c r="W1383" s="45" t="s">
        <v>7010</v>
      </c>
    </row>
    <row r="1384" spans="1:23" ht="15" hidden="1">
      <c r="A1384" s="2">
        <v>45994</v>
      </c>
      <c r="B1384" s="1" t="s">
        <v>7011</v>
      </c>
      <c r="C1384" s="1" t="s">
        <v>7012</v>
      </c>
      <c r="D1384" s="1" t="s">
        <v>2439</v>
      </c>
      <c r="E1384" s="1">
        <v>85017</v>
      </c>
      <c r="F1384" s="1" t="s">
        <v>7013</v>
      </c>
      <c r="G1384" s="40" t="s">
        <v>7014</v>
      </c>
      <c r="H1384" s="4" t="s">
        <v>2471</v>
      </c>
      <c r="R1384" s="1" t="s">
        <v>7015</v>
      </c>
      <c r="V1384" s="45">
        <f t="shared" si="21"/>
        <v>1</v>
      </c>
      <c r="W1384" s="45" t="s">
        <v>7016</v>
      </c>
    </row>
    <row r="1385" spans="1:23" hidden="1">
      <c r="A1385" s="2">
        <v>45994</v>
      </c>
      <c r="B1385" s="1" t="s">
        <v>7017</v>
      </c>
      <c r="C1385" s="1" t="s">
        <v>7018</v>
      </c>
      <c r="D1385" s="1" t="s">
        <v>2439</v>
      </c>
      <c r="E1385" s="1">
        <v>85019</v>
      </c>
      <c r="F1385" s="1" t="s">
        <v>7019</v>
      </c>
      <c r="G1385" s="1" t="s">
        <v>7014</v>
      </c>
      <c r="H1385" s="4" t="s">
        <v>2401</v>
      </c>
      <c r="R1385" s="1" t="s">
        <v>7015</v>
      </c>
      <c r="V1385" s="45">
        <f t="shared" si="21"/>
        <v>1</v>
      </c>
      <c r="W1385" s="45" t="s">
        <v>7020</v>
      </c>
    </row>
    <row r="1386" spans="1:23" hidden="1">
      <c r="A1386" s="2">
        <v>45994</v>
      </c>
      <c r="B1386" s="1" t="s">
        <v>7021</v>
      </c>
      <c r="C1386" s="1" t="s">
        <v>7022</v>
      </c>
      <c r="D1386" s="1" t="s">
        <v>2398</v>
      </c>
      <c r="E1386" s="1">
        <v>85301</v>
      </c>
      <c r="F1386" s="1" t="s">
        <v>7023</v>
      </c>
      <c r="G1386" s="1" t="s">
        <v>7014</v>
      </c>
      <c r="H1386" s="4" t="s">
        <v>2401</v>
      </c>
      <c r="R1386" s="1" t="s">
        <v>7015</v>
      </c>
      <c r="V1386" s="45">
        <f t="shared" si="21"/>
        <v>1</v>
      </c>
      <c r="W1386" s="45" t="s">
        <v>7024</v>
      </c>
    </row>
    <row r="1387" spans="1:23" hidden="1">
      <c r="A1387" s="2">
        <v>45994</v>
      </c>
      <c r="B1387" s="1" t="s">
        <v>3116</v>
      </c>
      <c r="C1387" s="1" t="s">
        <v>7025</v>
      </c>
      <c r="D1387" s="1" t="s">
        <v>3090</v>
      </c>
      <c r="E1387" s="1">
        <v>85281</v>
      </c>
      <c r="F1387" s="1" t="s">
        <v>7026</v>
      </c>
      <c r="G1387" s="1" t="s">
        <v>7014</v>
      </c>
      <c r="H1387" s="4" t="s">
        <v>2401</v>
      </c>
      <c r="R1387" s="1" t="s">
        <v>7015</v>
      </c>
      <c r="V1387" s="45">
        <f t="shared" si="21"/>
        <v>1</v>
      </c>
      <c r="W1387" s="45" t="s">
        <v>7027</v>
      </c>
    </row>
    <row r="1388" spans="1:23" hidden="1">
      <c r="A1388" s="2">
        <v>45994</v>
      </c>
      <c r="B1388" s="1" t="s">
        <v>6937</v>
      </c>
      <c r="C1388" s="1" t="s">
        <v>6937</v>
      </c>
      <c r="D1388" s="1" t="s">
        <v>2439</v>
      </c>
      <c r="E1388" s="1">
        <v>85008</v>
      </c>
      <c r="F1388" s="1" t="s">
        <v>7028</v>
      </c>
      <c r="G1388" s="1" t="s">
        <v>7014</v>
      </c>
      <c r="H1388" s="4" t="s">
        <v>2401</v>
      </c>
      <c r="R1388" s="1" t="s">
        <v>7015</v>
      </c>
      <c r="V1388" s="45">
        <f t="shared" si="21"/>
        <v>1</v>
      </c>
      <c r="W1388" s="45" t="s">
        <v>7029</v>
      </c>
    </row>
    <row r="1389" spans="1:23" hidden="1">
      <c r="A1389" s="2">
        <v>45994</v>
      </c>
      <c r="B1389" s="1" t="s">
        <v>7030</v>
      </c>
      <c r="C1389" s="1" t="s">
        <v>7031</v>
      </c>
      <c r="D1389" s="1" t="s">
        <v>2439</v>
      </c>
      <c r="E1389" s="1">
        <v>85008</v>
      </c>
      <c r="F1389" s="1" t="s">
        <v>7032</v>
      </c>
      <c r="G1389" s="1" t="s">
        <v>7014</v>
      </c>
      <c r="H1389" s="4" t="s">
        <v>475</v>
      </c>
      <c r="I1389" s="5" t="s">
        <v>2514</v>
      </c>
      <c r="J1389" s="5" t="s">
        <v>75</v>
      </c>
      <c r="K1389" s="5" t="s">
        <v>24</v>
      </c>
      <c r="L1389" s="5" t="s">
        <v>7033</v>
      </c>
      <c r="M1389" s="5" t="s">
        <v>24</v>
      </c>
      <c r="N1389" s="5" t="s">
        <v>24</v>
      </c>
      <c r="O1389" s="5" t="s">
        <v>75</v>
      </c>
      <c r="P1389" s="5" t="s">
        <v>2413</v>
      </c>
      <c r="Q1389" s="2">
        <v>46000</v>
      </c>
      <c r="R1389" s="1" t="s">
        <v>7034</v>
      </c>
      <c r="V1389" s="45">
        <f t="shared" si="21"/>
        <v>1</v>
      </c>
      <c r="W1389" s="45" t="s">
        <v>7035</v>
      </c>
    </row>
    <row r="1390" spans="1:23" hidden="1">
      <c r="A1390" s="2">
        <v>45994</v>
      </c>
      <c r="B1390" s="1" t="s">
        <v>5404</v>
      </c>
      <c r="C1390" s="1" t="s">
        <v>6990</v>
      </c>
      <c r="D1390" s="1" t="s">
        <v>2439</v>
      </c>
      <c r="E1390" s="1">
        <v>85017</v>
      </c>
      <c r="F1390" s="1" t="s">
        <v>7036</v>
      </c>
      <c r="G1390" s="1" t="s">
        <v>7014</v>
      </c>
      <c r="H1390" s="4" t="s">
        <v>2401</v>
      </c>
      <c r="R1390" s="1" t="s">
        <v>7015</v>
      </c>
      <c r="V1390" s="45">
        <f t="shared" si="21"/>
        <v>1</v>
      </c>
      <c r="W1390" s="45" t="s">
        <v>7037</v>
      </c>
    </row>
    <row r="1391" spans="1:23" hidden="1">
      <c r="A1391" s="2">
        <v>45994</v>
      </c>
      <c r="B1391" s="1" t="s">
        <v>3116</v>
      </c>
      <c r="C1391" s="1" t="s">
        <v>7038</v>
      </c>
      <c r="D1391" s="1" t="s">
        <v>2439</v>
      </c>
      <c r="E1391" s="1">
        <v>85035</v>
      </c>
      <c r="F1391" s="1" t="s">
        <v>7039</v>
      </c>
      <c r="G1391" s="1" t="s">
        <v>7014</v>
      </c>
      <c r="H1391" s="4" t="s">
        <v>2401</v>
      </c>
      <c r="R1391" s="1" t="s">
        <v>7015</v>
      </c>
      <c r="V1391" s="45">
        <f t="shared" si="21"/>
        <v>1</v>
      </c>
      <c r="W1391" s="45" t="s">
        <v>7040</v>
      </c>
    </row>
    <row r="1392" spans="1:23" hidden="1">
      <c r="A1392" s="2">
        <v>45994</v>
      </c>
      <c r="B1392" s="1" t="s">
        <v>7041</v>
      </c>
      <c r="C1392" s="1" t="s">
        <v>7042</v>
      </c>
      <c r="D1392" s="1" t="s">
        <v>2439</v>
      </c>
      <c r="E1392" s="1">
        <v>85008</v>
      </c>
      <c r="F1392" s="1" t="s">
        <v>7043</v>
      </c>
      <c r="G1392" s="1" t="s">
        <v>7014</v>
      </c>
      <c r="H1392" s="4" t="s">
        <v>2401</v>
      </c>
      <c r="R1392" s="1" t="s">
        <v>7015</v>
      </c>
      <c r="V1392" s="45">
        <f t="shared" si="21"/>
        <v>1</v>
      </c>
      <c r="W1392" s="45" t="s">
        <v>7044</v>
      </c>
    </row>
    <row r="1393" spans="1:23" hidden="1">
      <c r="A1393" s="2">
        <v>45994</v>
      </c>
      <c r="C1393" s="1" t="s">
        <v>7045</v>
      </c>
      <c r="D1393" s="1" t="s">
        <v>2439</v>
      </c>
      <c r="E1393" s="1">
        <v>85017</v>
      </c>
      <c r="F1393" s="1" t="s">
        <v>7046</v>
      </c>
      <c r="G1393" s="1" t="s">
        <v>7014</v>
      </c>
      <c r="H1393" s="4" t="s">
        <v>2401</v>
      </c>
      <c r="R1393" s="1" t="s">
        <v>7015</v>
      </c>
      <c r="V1393" s="45">
        <f t="shared" si="21"/>
        <v>1</v>
      </c>
      <c r="W1393" s="45" t="s">
        <v>7047</v>
      </c>
    </row>
    <row r="1394" spans="1:23" hidden="1">
      <c r="A1394" s="2">
        <v>45994</v>
      </c>
      <c r="B1394" s="1" t="s">
        <v>7048</v>
      </c>
      <c r="C1394" s="1" t="s">
        <v>7049</v>
      </c>
      <c r="D1394" s="1" t="s">
        <v>2439</v>
      </c>
      <c r="E1394" s="1">
        <v>85037</v>
      </c>
      <c r="F1394" s="1" t="s">
        <v>7050</v>
      </c>
      <c r="G1394" s="1" t="s">
        <v>7014</v>
      </c>
      <c r="H1394" s="4" t="s">
        <v>2401</v>
      </c>
      <c r="V1394" s="45">
        <f t="shared" si="21"/>
        <v>1</v>
      </c>
      <c r="W1394" s="45" t="s">
        <v>7051</v>
      </c>
    </row>
    <row r="1395" spans="1:23" hidden="1">
      <c r="A1395" s="2">
        <v>45994</v>
      </c>
      <c r="B1395" s="1" t="s">
        <v>7052</v>
      </c>
      <c r="C1395" s="1" t="s">
        <v>7053</v>
      </c>
      <c r="D1395" s="1" t="s">
        <v>2439</v>
      </c>
      <c r="E1395" s="1">
        <v>85031</v>
      </c>
      <c r="F1395" s="1" t="s">
        <v>7054</v>
      </c>
      <c r="G1395" s="1" t="s">
        <v>7014</v>
      </c>
      <c r="H1395" s="4" t="s">
        <v>2401</v>
      </c>
      <c r="V1395" s="45">
        <f t="shared" si="21"/>
        <v>1</v>
      </c>
      <c r="W1395" s="45" t="s">
        <v>7055</v>
      </c>
    </row>
    <row r="1396" spans="1:23" hidden="1">
      <c r="A1396" s="2">
        <v>45994</v>
      </c>
      <c r="B1396" s="1" t="s">
        <v>7056</v>
      </c>
      <c r="C1396" s="1" t="s">
        <v>7057</v>
      </c>
      <c r="D1396" s="1" t="s">
        <v>2498</v>
      </c>
      <c r="E1396" s="1">
        <v>85387</v>
      </c>
      <c r="F1396" s="1" t="s">
        <v>7058</v>
      </c>
      <c r="G1396" s="1" t="s">
        <v>7014</v>
      </c>
      <c r="H1396" s="4" t="s">
        <v>1747</v>
      </c>
      <c r="I1396" s="5" t="s">
        <v>2412</v>
      </c>
      <c r="J1396" s="5" t="s">
        <v>24</v>
      </c>
      <c r="K1396" s="5" t="s">
        <v>24</v>
      </c>
      <c r="L1396" s="5" t="s">
        <v>75</v>
      </c>
      <c r="M1396" s="5" t="s">
        <v>24</v>
      </c>
      <c r="N1396" s="5" t="s">
        <v>24</v>
      </c>
      <c r="O1396" s="5" t="s">
        <v>75</v>
      </c>
      <c r="P1396" s="5" t="s">
        <v>2413</v>
      </c>
      <c r="Q1396" s="2">
        <v>46000</v>
      </c>
      <c r="V1396" s="45">
        <f t="shared" si="21"/>
        <v>1</v>
      </c>
      <c r="W1396" s="45" t="s">
        <v>7059</v>
      </c>
    </row>
    <row r="1397" spans="1:23" hidden="1">
      <c r="A1397" s="2">
        <v>45994</v>
      </c>
      <c r="B1397" s="1" t="s">
        <v>2850</v>
      </c>
      <c r="C1397" s="1" t="s">
        <v>6616</v>
      </c>
      <c r="D1397" s="1" t="s">
        <v>2439</v>
      </c>
      <c r="E1397" s="1">
        <v>85029</v>
      </c>
      <c r="F1397" s="1" t="s">
        <v>7060</v>
      </c>
      <c r="G1397" s="1" t="s">
        <v>7014</v>
      </c>
      <c r="H1397" s="4" t="s">
        <v>1660</v>
      </c>
      <c r="I1397" s="5" t="s">
        <v>2514</v>
      </c>
      <c r="J1397" s="5" t="s">
        <v>24</v>
      </c>
      <c r="K1397" s="5" t="s">
        <v>24</v>
      </c>
      <c r="L1397" s="5" t="s">
        <v>75</v>
      </c>
      <c r="M1397" s="5" t="s">
        <v>24</v>
      </c>
      <c r="N1397" s="5" t="s">
        <v>24</v>
      </c>
      <c r="O1397" s="5" t="s">
        <v>75</v>
      </c>
      <c r="P1397" s="5" t="s">
        <v>2413</v>
      </c>
      <c r="Q1397" s="2">
        <v>46000</v>
      </c>
      <c r="V1397" s="45">
        <f t="shared" si="21"/>
        <v>1</v>
      </c>
      <c r="W1397" s="45" t="s">
        <v>7061</v>
      </c>
    </row>
    <row r="1398" spans="1:23" hidden="1">
      <c r="A1398" s="41">
        <v>45994</v>
      </c>
      <c r="B1398" s="32" t="s">
        <v>3346</v>
      </c>
      <c r="C1398" s="32" t="s">
        <v>7062</v>
      </c>
      <c r="D1398" s="32" t="s">
        <v>2439</v>
      </c>
      <c r="E1398" s="32">
        <v>85013</v>
      </c>
      <c r="F1398" s="32" t="s">
        <v>7063</v>
      </c>
      <c r="G1398" s="32" t="s">
        <v>7014</v>
      </c>
      <c r="H1398" s="44" t="s">
        <v>478</v>
      </c>
      <c r="I1398" s="42" t="s">
        <v>7064</v>
      </c>
      <c r="J1398" s="42" t="s">
        <v>24</v>
      </c>
      <c r="K1398" s="42" t="s">
        <v>24</v>
      </c>
      <c r="L1398" s="42" t="s">
        <v>7065</v>
      </c>
      <c r="M1398" s="42" t="s">
        <v>24</v>
      </c>
      <c r="N1398" s="42" t="s">
        <v>24</v>
      </c>
      <c r="O1398" s="42" t="s">
        <v>75</v>
      </c>
      <c r="P1398" s="42"/>
      <c r="Q1398" s="41">
        <v>46000</v>
      </c>
      <c r="R1398" s="32" t="s">
        <v>7066</v>
      </c>
      <c r="S1398" s="32"/>
      <c r="T1398" s="32"/>
      <c r="U1398" s="32"/>
      <c r="V1398" s="45">
        <f t="shared" si="21"/>
        <v>1</v>
      </c>
      <c r="W1398" s="45" t="s">
        <v>7067</v>
      </c>
    </row>
    <row r="1399" spans="1:23" hidden="1">
      <c r="A1399" s="2">
        <v>45994</v>
      </c>
      <c r="B1399" s="1" t="s">
        <v>4527</v>
      </c>
      <c r="C1399" s="1" t="s">
        <v>7068</v>
      </c>
      <c r="D1399" s="1" t="s">
        <v>2439</v>
      </c>
      <c r="E1399" s="1">
        <v>85086</v>
      </c>
      <c r="F1399" s="1" t="s">
        <v>7069</v>
      </c>
      <c r="G1399" s="1" t="s">
        <v>7014</v>
      </c>
      <c r="H1399" s="4" t="s">
        <v>2471</v>
      </c>
      <c r="V1399" s="45">
        <f t="shared" si="21"/>
        <v>1</v>
      </c>
      <c r="W1399" s="45" t="s">
        <v>7070</v>
      </c>
    </row>
    <row r="1400" spans="1:23" hidden="1">
      <c r="A1400" s="2">
        <v>45994</v>
      </c>
      <c r="B1400" s="1" t="s">
        <v>7071</v>
      </c>
      <c r="C1400" s="1" t="s">
        <v>7072</v>
      </c>
      <c r="D1400" s="1" t="s">
        <v>2439</v>
      </c>
      <c r="E1400" s="1">
        <v>85033</v>
      </c>
      <c r="F1400" s="1" t="s">
        <v>7073</v>
      </c>
      <c r="G1400" s="1" t="s">
        <v>7014</v>
      </c>
      <c r="H1400" s="4" t="s">
        <v>2401</v>
      </c>
      <c r="V1400" s="45">
        <f t="shared" si="21"/>
        <v>1</v>
      </c>
      <c r="W1400" s="45" t="s">
        <v>7074</v>
      </c>
    </row>
    <row r="1401" spans="1:23" hidden="1">
      <c r="A1401" s="2">
        <v>45994</v>
      </c>
      <c r="B1401" s="1" t="s">
        <v>7075</v>
      </c>
      <c r="C1401" s="1" t="s">
        <v>4365</v>
      </c>
      <c r="D1401" s="1" t="s">
        <v>3211</v>
      </c>
      <c r="E1401" s="1">
        <v>86326</v>
      </c>
      <c r="F1401" s="1" t="s">
        <v>7076</v>
      </c>
      <c r="G1401" s="1" t="s">
        <v>7014</v>
      </c>
      <c r="H1401" s="4" t="s">
        <v>2471</v>
      </c>
      <c r="V1401" s="45">
        <f t="shared" si="21"/>
        <v>1</v>
      </c>
      <c r="W1401" s="45" t="s">
        <v>7077</v>
      </c>
    </row>
    <row r="1402" spans="1:23" hidden="1">
      <c r="A1402" s="2">
        <v>45994</v>
      </c>
      <c r="B1402" s="1" t="s">
        <v>7078</v>
      </c>
      <c r="C1402" s="1" t="s">
        <v>7079</v>
      </c>
      <c r="D1402" s="1" t="s">
        <v>2398</v>
      </c>
      <c r="E1402" s="1">
        <v>85308</v>
      </c>
      <c r="F1402" s="1" t="s">
        <v>7080</v>
      </c>
      <c r="G1402" s="1" t="s">
        <v>7014</v>
      </c>
      <c r="H1402" s="4" t="s">
        <v>2401</v>
      </c>
      <c r="V1402" s="45">
        <f t="shared" si="21"/>
        <v>1</v>
      </c>
      <c r="W1402" s="45" t="s">
        <v>7081</v>
      </c>
    </row>
    <row r="1403" spans="1:23" hidden="1">
      <c r="A1403" s="2">
        <v>45994</v>
      </c>
      <c r="B1403" s="1" t="s">
        <v>7082</v>
      </c>
      <c r="C1403" s="1" t="s">
        <v>2768</v>
      </c>
      <c r="D1403" s="1" t="s">
        <v>2439</v>
      </c>
      <c r="E1403" s="1">
        <v>85022</v>
      </c>
      <c r="F1403" s="1" t="s">
        <v>7083</v>
      </c>
      <c r="G1403" s="1" t="s">
        <v>7014</v>
      </c>
      <c r="H1403" s="4" t="s">
        <v>480</v>
      </c>
      <c r="I1403" s="5" t="s">
        <v>2451</v>
      </c>
      <c r="J1403" s="5" t="s">
        <v>24</v>
      </c>
      <c r="K1403" s="5" t="s">
        <v>24</v>
      </c>
      <c r="L1403" s="5" t="s">
        <v>7084</v>
      </c>
      <c r="M1403" s="5" t="s">
        <v>24</v>
      </c>
      <c r="N1403" s="5" t="s">
        <v>24</v>
      </c>
      <c r="O1403" s="5" t="s">
        <v>75</v>
      </c>
      <c r="P1403" s="5" t="s">
        <v>2413</v>
      </c>
      <c r="Q1403" s="2">
        <v>46000</v>
      </c>
      <c r="V1403" s="45">
        <f t="shared" si="21"/>
        <v>1</v>
      </c>
      <c r="W1403" s="45" t="s">
        <v>7085</v>
      </c>
    </row>
    <row r="1404" spans="1:23" hidden="1">
      <c r="A1404" s="2">
        <v>45994</v>
      </c>
      <c r="B1404" s="1" t="s">
        <v>7086</v>
      </c>
      <c r="C1404" s="1" t="s">
        <v>7087</v>
      </c>
      <c r="D1404" s="1" t="s">
        <v>2439</v>
      </c>
      <c r="E1404" s="1">
        <v>85003</v>
      </c>
      <c r="F1404" s="1" t="s">
        <v>7088</v>
      </c>
      <c r="G1404" s="1" t="s">
        <v>7014</v>
      </c>
      <c r="H1404" s="4" t="s">
        <v>2401</v>
      </c>
      <c r="R1404" s="1" t="s">
        <v>7015</v>
      </c>
      <c r="V1404" s="45">
        <f t="shared" si="21"/>
        <v>1</v>
      </c>
      <c r="W1404" s="45" t="s">
        <v>7089</v>
      </c>
    </row>
    <row r="1405" spans="1:23" hidden="1">
      <c r="A1405" s="2">
        <v>45994</v>
      </c>
      <c r="B1405" s="1" t="s">
        <v>7090</v>
      </c>
      <c r="C1405" s="1" t="s">
        <v>7091</v>
      </c>
      <c r="D1405" s="1" t="s">
        <v>2969</v>
      </c>
      <c r="E1405" s="1">
        <v>85323</v>
      </c>
      <c r="F1405" s="1" t="s">
        <v>7092</v>
      </c>
      <c r="G1405" s="1" t="s">
        <v>7014</v>
      </c>
      <c r="H1405" s="4" t="s">
        <v>2401</v>
      </c>
      <c r="R1405" s="1" t="s">
        <v>7015</v>
      </c>
      <c r="V1405" s="45">
        <f t="shared" si="21"/>
        <v>1</v>
      </c>
      <c r="W1405" s="45" t="s">
        <v>7093</v>
      </c>
    </row>
    <row r="1406" spans="1:23" hidden="1">
      <c r="A1406" s="2">
        <v>45994</v>
      </c>
      <c r="B1406" s="1" t="s">
        <v>7094</v>
      </c>
      <c r="C1406" s="1" t="s">
        <v>7095</v>
      </c>
      <c r="D1406" s="1" t="s">
        <v>5372</v>
      </c>
      <c r="E1406" s="1">
        <v>86325</v>
      </c>
      <c r="F1406" s="1" t="s">
        <v>7096</v>
      </c>
      <c r="G1406" s="1" t="s">
        <v>7014</v>
      </c>
      <c r="H1406" s="4" t="s">
        <v>2401</v>
      </c>
      <c r="V1406" s="45">
        <f t="shared" si="21"/>
        <v>1</v>
      </c>
      <c r="W1406" s="45" t="s">
        <v>7097</v>
      </c>
    </row>
    <row r="1407" spans="1:23" hidden="1">
      <c r="A1407" s="2">
        <v>45994</v>
      </c>
      <c r="B1407" s="1" t="s">
        <v>7098</v>
      </c>
      <c r="C1407" s="1" t="s">
        <v>7099</v>
      </c>
      <c r="D1407" s="1" t="s">
        <v>2498</v>
      </c>
      <c r="E1407" s="1">
        <v>85379</v>
      </c>
      <c r="F1407" s="1" t="s">
        <v>7100</v>
      </c>
      <c r="G1407" s="1" t="s">
        <v>7014</v>
      </c>
      <c r="H1407" s="4" t="s">
        <v>2401</v>
      </c>
      <c r="V1407" s="45">
        <f t="shared" si="21"/>
        <v>1</v>
      </c>
      <c r="W1407" s="45" t="s">
        <v>7101</v>
      </c>
    </row>
    <row r="1408" spans="1:23" hidden="1">
      <c r="A1408" s="2">
        <v>45994</v>
      </c>
      <c r="B1408" s="1" t="s">
        <v>2405</v>
      </c>
      <c r="C1408" s="1" t="s">
        <v>7102</v>
      </c>
      <c r="D1408" s="1" t="s">
        <v>2405</v>
      </c>
      <c r="E1408" s="1" t="s">
        <v>2405</v>
      </c>
      <c r="F1408" s="1" t="s">
        <v>7103</v>
      </c>
      <c r="G1408" s="1" t="s">
        <v>7014</v>
      </c>
      <c r="H1408" s="4" t="s">
        <v>2401</v>
      </c>
      <c r="V1408" s="45">
        <f t="shared" si="21"/>
        <v>1</v>
      </c>
      <c r="W1408" s="45" t="s">
        <v>7104</v>
      </c>
    </row>
    <row r="1409" spans="1:23" hidden="1">
      <c r="A1409" s="2">
        <v>45994</v>
      </c>
      <c r="B1409" s="1" t="s">
        <v>7105</v>
      </c>
      <c r="C1409" s="1" t="s">
        <v>7106</v>
      </c>
      <c r="D1409" s="1" t="s">
        <v>2445</v>
      </c>
      <c r="F1409" s="1" t="s">
        <v>7107</v>
      </c>
      <c r="G1409" s="1" t="s">
        <v>7014</v>
      </c>
      <c r="H1409" s="4" t="s">
        <v>1749</v>
      </c>
      <c r="I1409" s="5" t="s">
        <v>2412</v>
      </c>
      <c r="J1409" s="5" t="s">
        <v>24</v>
      </c>
      <c r="K1409" s="5" t="s">
        <v>24</v>
      </c>
      <c r="L1409" s="5" t="s">
        <v>75</v>
      </c>
      <c r="M1409" s="5" t="s">
        <v>24</v>
      </c>
      <c r="N1409" s="5" t="s">
        <v>24</v>
      </c>
      <c r="O1409" s="5" t="s">
        <v>75</v>
      </c>
      <c r="P1409" s="5" t="s">
        <v>2413</v>
      </c>
      <c r="Q1409" s="2">
        <v>46000</v>
      </c>
      <c r="V1409" s="45">
        <f t="shared" si="21"/>
        <v>1</v>
      </c>
      <c r="W1409" s="45" t="s">
        <v>7108</v>
      </c>
    </row>
    <row r="1410" spans="1:23" hidden="1">
      <c r="A1410" s="2">
        <v>45994</v>
      </c>
      <c r="B1410" s="1" t="s">
        <v>7109</v>
      </c>
      <c r="C1410" s="1" t="s">
        <v>7110</v>
      </c>
      <c r="D1410" s="1" t="s">
        <v>2439</v>
      </c>
      <c r="E1410" s="1">
        <v>85037</v>
      </c>
      <c r="F1410" s="1" t="s">
        <v>7111</v>
      </c>
      <c r="G1410" s="1" t="s">
        <v>7014</v>
      </c>
      <c r="H1410" s="4" t="s">
        <v>2401</v>
      </c>
      <c r="R1410" s="1" t="s">
        <v>7015</v>
      </c>
      <c r="V1410" s="45">
        <f t="shared" ref="V1410:V1473" si="22">IF(OR(ISNUMBER(SEARCH("unable to locate acct",G1410)),ISNUMBER(SEARCH("unknown",G1410)),ISNUMBER(SEARCH("inactive",G1410)),H1410=""),0,1)</f>
        <v>1</v>
      </c>
      <c r="W1410" s="45" t="s">
        <v>7112</v>
      </c>
    </row>
    <row r="1411" spans="1:23" hidden="1">
      <c r="A1411" s="2">
        <v>45994</v>
      </c>
      <c r="B1411" s="1" t="s">
        <v>2626</v>
      </c>
      <c r="C1411" s="1" t="s">
        <v>7113</v>
      </c>
      <c r="D1411" s="1" t="s">
        <v>2439</v>
      </c>
      <c r="E1411" s="1">
        <v>85017</v>
      </c>
      <c r="F1411" s="1" t="s">
        <v>7114</v>
      </c>
      <c r="G1411" s="1" t="s">
        <v>7014</v>
      </c>
      <c r="H1411" s="4" t="s">
        <v>2401</v>
      </c>
      <c r="R1411" s="1" t="s">
        <v>7015</v>
      </c>
      <c r="V1411" s="45">
        <f t="shared" si="22"/>
        <v>1</v>
      </c>
      <c r="W1411" s="45" t="s">
        <v>7115</v>
      </c>
    </row>
    <row r="1412" spans="1:23" hidden="1">
      <c r="A1412" s="2">
        <v>45994</v>
      </c>
      <c r="B1412" s="1" t="s">
        <v>2405</v>
      </c>
      <c r="C1412" s="1" t="s">
        <v>7116</v>
      </c>
      <c r="D1412" s="1" t="s">
        <v>2439</v>
      </c>
      <c r="E1412" s="1">
        <v>85003</v>
      </c>
      <c r="F1412" s="1" t="s">
        <v>7117</v>
      </c>
      <c r="G1412" s="1" t="s">
        <v>7014</v>
      </c>
      <c r="H1412" s="4" t="s">
        <v>2401</v>
      </c>
      <c r="V1412" s="45">
        <f t="shared" si="22"/>
        <v>1</v>
      </c>
      <c r="W1412" s="45" t="s">
        <v>7118</v>
      </c>
    </row>
    <row r="1413" spans="1:23" hidden="1">
      <c r="A1413" s="2">
        <v>45994</v>
      </c>
      <c r="B1413" s="1" t="s">
        <v>7119</v>
      </c>
      <c r="C1413" s="1" t="s">
        <v>7120</v>
      </c>
      <c r="D1413" s="1" t="s">
        <v>2439</v>
      </c>
      <c r="E1413" s="1">
        <v>85042</v>
      </c>
      <c r="F1413" s="1" t="s">
        <v>7121</v>
      </c>
      <c r="G1413" s="1" t="s">
        <v>7014</v>
      </c>
      <c r="H1413" s="4" t="s">
        <v>2401</v>
      </c>
      <c r="V1413" s="45">
        <f t="shared" si="22"/>
        <v>1</v>
      </c>
      <c r="W1413" s="45" t="s">
        <v>7122</v>
      </c>
    </row>
    <row r="1414" spans="1:23" hidden="1">
      <c r="A1414" s="2">
        <v>45994</v>
      </c>
      <c r="B1414" s="1" t="s">
        <v>7123</v>
      </c>
      <c r="C1414" s="1" t="s">
        <v>7124</v>
      </c>
      <c r="D1414" s="1" t="s">
        <v>7125</v>
      </c>
      <c r="E1414" s="1">
        <v>85040</v>
      </c>
      <c r="F1414" s="1" t="s">
        <v>7126</v>
      </c>
      <c r="G1414" s="1" t="s">
        <v>7014</v>
      </c>
      <c r="H1414" s="4" t="s">
        <v>2401</v>
      </c>
      <c r="R1414" s="1" t="s">
        <v>7015</v>
      </c>
      <c r="V1414" s="45">
        <f t="shared" si="22"/>
        <v>1</v>
      </c>
      <c r="W1414" s="45" t="s">
        <v>7127</v>
      </c>
    </row>
    <row r="1415" spans="1:23" hidden="1">
      <c r="A1415" s="2">
        <v>45994</v>
      </c>
      <c r="B1415" s="1" t="s">
        <v>2405</v>
      </c>
      <c r="C1415" s="1" t="s">
        <v>7128</v>
      </c>
      <c r="D1415" s="1" t="s">
        <v>2405</v>
      </c>
      <c r="E1415" s="1" t="s">
        <v>2405</v>
      </c>
      <c r="G1415" s="1" t="s">
        <v>7014</v>
      </c>
      <c r="H1415" s="4" t="s">
        <v>6858</v>
      </c>
      <c r="V1415" s="45">
        <f t="shared" si="22"/>
        <v>0</v>
      </c>
      <c r="W1415" s="45" t="s">
        <v>7129</v>
      </c>
    </row>
    <row r="1416" spans="1:23" hidden="1">
      <c r="A1416" s="2">
        <v>45995</v>
      </c>
      <c r="B1416" s="1" t="s">
        <v>7130</v>
      </c>
      <c r="C1416" s="1" t="s">
        <v>7131</v>
      </c>
      <c r="D1416" s="1" t="s">
        <v>2498</v>
      </c>
      <c r="E1416" s="1">
        <v>85379</v>
      </c>
      <c r="F1416" s="1" t="s">
        <v>7132</v>
      </c>
      <c r="G1416" s="39" t="s">
        <v>7133</v>
      </c>
      <c r="H1416" s="4" t="s">
        <v>7134</v>
      </c>
      <c r="I1416" s="5" t="s">
        <v>7135</v>
      </c>
      <c r="J1416" s="5" t="s">
        <v>24</v>
      </c>
      <c r="K1416" s="5" t="s">
        <v>24</v>
      </c>
      <c r="L1416" s="5" t="s">
        <v>2819</v>
      </c>
      <c r="M1416" s="5" t="s">
        <v>24</v>
      </c>
      <c r="N1416" s="5" t="s">
        <v>24</v>
      </c>
      <c r="O1416" s="5" t="s">
        <v>75</v>
      </c>
      <c r="P1416" s="5" t="s">
        <v>2413</v>
      </c>
      <c r="Q1416" s="2">
        <v>46000</v>
      </c>
      <c r="V1416" s="45">
        <f t="shared" si="22"/>
        <v>1</v>
      </c>
      <c r="W1416" s="45" t="s">
        <v>7136</v>
      </c>
    </row>
    <row r="1417" spans="1:23" hidden="1">
      <c r="A1417" s="41">
        <v>45996</v>
      </c>
      <c r="B1417" s="32" t="s">
        <v>7137</v>
      </c>
      <c r="C1417" s="32" t="s">
        <v>2921</v>
      </c>
      <c r="D1417" s="32" t="s">
        <v>2439</v>
      </c>
      <c r="E1417" s="32">
        <v>85032</v>
      </c>
      <c r="F1417" s="32" t="s">
        <v>7138</v>
      </c>
      <c r="G1417" s="43" t="s">
        <v>7139</v>
      </c>
      <c r="H1417" s="44" t="s">
        <v>483</v>
      </c>
      <c r="I1417" s="42" t="s">
        <v>2432</v>
      </c>
      <c r="J1417" s="42" t="s">
        <v>24</v>
      </c>
      <c r="K1417" s="42" t="s">
        <v>24</v>
      </c>
      <c r="L1417" s="42" t="s">
        <v>7140</v>
      </c>
      <c r="M1417" s="42" t="s">
        <v>24</v>
      </c>
      <c r="N1417" s="42" t="s">
        <v>24</v>
      </c>
      <c r="O1417" s="42" t="s">
        <v>75</v>
      </c>
      <c r="P1417" s="42"/>
      <c r="Q1417" s="41">
        <v>46000</v>
      </c>
      <c r="R1417" s="32" t="s">
        <v>7066</v>
      </c>
      <c r="S1417" s="32"/>
      <c r="T1417" s="32"/>
      <c r="U1417" s="32"/>
      <c r="V1417" s="45">
        <f t="shared" si="22"/>
        <v>1</v>
      </c>
      <c r="W1417" s="45" t="s">
        <v>7141</v>
      </c>
    </row>
    <row r="1418" spans="1:23" hidden="1">
      <c r="A1418" s="2">
        <v>46003</v>
      </c>
      <c r="B1418" s="1" t="s">
        <v>7142</v>
      </c>
      <c r="C1418" s="1" t="s">
        <v>3264</v>
      </c>
      <c r="D1418" s="1" t="s">
        <v>2498</v>
      </c>
      <c r="E1418" s="1">
        <v>85378</v>
      </c>
      <c r="F1418" s="1" t="s">
        <v>7143</v>
      </c>
      <c r="G1418" s="1" t="s">
        <v>7144</v>
      </c>
      <c r="H1418" s="4" t="s">
        <v>2401</v>
      </c>
      <c r="V1418" s="45">
        <f t="shared" si="22"/>
        <v>1</v>
      </c>
      <c r="W1418" s="45" t="s">
        <v>7145</v>
      </c>
    </row>
    <row r="1419" spans="1:23" hidden="1">
      <c r="A1419" s="2">
        <v>46003</v>
      </c>
      <c r="B1419" s="1" t="s">
        <v>7146</v>
      </c>
      <c r="C1419" s="1" t="s">
        <v>7147</v>
      </c>
      <c r="D1419" s="1" t="s">
        <v>2570</v>
      </c>
      <c r="E1419" s="1">
        <v>85396</v>
      </c>
      <c r="F1419" s="1" t="s">
        <v>7148</v>
      </c>
      <c r="G1419" s="1" t="s">
        <v>7144</v>
      </c>
      <c r="H1419" s="4" t="s">
        <v>1751</v>
      </c>
      <c r="I1419" s="5" t="s">
        <v>2659</v>
      </c>
      <c r="J1419" s="5" t="s">
        <v>24</v>
      </c>
      <c r="K1419" s="5" t="s">
        <v>24</v>
      </c>
      <c r="L1419" s="5" t="s">
        <v>75</v>
      </c>
      <c r="M1419" s="5" t="s">
        <v>24</v>
      </c>
      <c r="N1419" s="5" t="s">
        <v>24</v>
      </c>
      <c r="O1419" s="5" t="s">
        <v>75</v>
      </c>
      <c r="P1419" s="5" t="s">
        <v>2413</v>
      </c>
      <c r="Q1419" s="5">
        <v>46008</v>
      </c>
      <c r="V1419" s="45">
        <f t="shared" si="22"/>
        <v>1</v>
      </c>
      <c r="W1419" s="45" t="s">
        <v>7149</v>
      </c>
    </row>
    <row r="1420" spans="1:23" hidden="1">
      <c r="A1420" s="2">
        <v>46003</v>
      </c>
      <c r="B1420" s="1" t="s">
        <v>7150</v>
      </c>
      <c r="C1420" s="1" t="s">
        <v>7151</v>
      </c>
      <c r="D1420" s="1" t="s">
        <v>2570</v>
      </c>
      <c r="E1420" s="1">
        <v>85396</v>
      </c>
      <c r="F1420" s="1" t="s">
        <v>7152</v>
      </c>
      <c r="G1420" s="1" t="s">
        <v>7144</v>
      </c>
      <c r="H1420" s="4" t="s">
        <v>1753</v>
      </c>
      <c r="I1420" s="5" t="s">
        <v>7153</v>
      </c>
      <c r="J1420" s="5" t="s">
        <v>24</v>
      </c>
      <c r="K1420" s="5" t="s">
        <v>24</v>
      </c>
      <c r="L1420" s="5" t="s">
        <v>75</v>
      </c>
      <c r="M1420" s="5" t="s">
        <v>24</v>
      </c>
      <c r="N1420" s="5" t="s">
        <v>24</v>
      </c>
      <c r="O1420" s="5" t="s">
        <v>75</v>
      </c>
      <c r="P1420" s="5" t="s">
        <v>2413</v>
      </c>
      <c r="Q1420" s="5">
        <v>46008</v>
      </c>
      <c r="V1420" s="45">
        <f t="shared" si="22"/>
        <v>1</v>
      </c>
      <c r="W1420" s="45" t="s">
        <v>7154</v>
      </c>
    </row>
    <row r="1421" spans="1:23" hidden="1">
      <c r="A1421" s="2">
        <v>46003</v>
      </c>
      <c r="B1421" s="1" t="s">
        <v>7155</v>
      </c>
      <c r="C1421" s="1" t="s">
        <v>2612</v>
      </c>
      <c r="D1421" s="1" t="s">
        <v>2570</v>
      </c>
      <c r="E1421" s="1">
        <v>85396</v>
      </c>
      <c r="F1421" s="1" t="s">
        <v>7156</v>
      </c>
      <c r="G1421" s="1" t="s">
        <v>7144</v>
      </c>
      <c r="H1421" s="4" t="s">
        <v>1755</v>
      </c>
      <c r="I1421" s="5" t="s">
        <v>7157</v>
      </c>
      <c r="J1421" s="5" t="s">
        <v>24</v>
      </c>
      <c r="K1421" s="5" t="s">
        <v>24</v>
      </c>
      <c r="L1421" s="5" t="s">
        <v>7158</v>
      </c>
      <c r="M1421" s="5" t="s">
        <v>24</v>
      </c>
      <c r="N1421" s="5" t="s">
        <v>24</v>
      </c>
      <c r="O1421" s="5" t="s">
        <v>75</v>
      </c>
      <c r="P1421" s="5" t="s">
        <v>2413</v>
      </c>
      <c r="Q1421" s="5">
        <v>46008</v>
      </c>
      <c r="V1421" s="45">
        <f t="shared" si="22"/>
        <v>1</v>
      </c>
      <c r="W1421" s="45" t="s">
        <v>7159</v>
      </c>
    </row>
    <row r="1422" spans="1:23" hidden="1">
      <c r="A1422" s="2">
        <v>46006</v>
      </c>
      <c r="B1422" s="1" t="s">
        <v>2619</v>
      </c>
      <c r="C1422" s="1" t="s">
        <v>2601</v>
      </c>
      <c r="D1422" s="1" t="s">
        <v>6499</v>
      </c>
      <c r="E1422" s="1" t="s">
        <v>2405</v>
      </c>
      <c r="F1422" s="1" t="s">
        <v>6885</v>
      </c>
      <c r="G1422" s="1" t="s">
        <v>7160</v>
      </c>
      <c r="H1422" s="4" t="s">
        <v>2401</v>
      </c>
      <c r="V1422" s="45">
        <f t="shared" si="22"/>
        <v>1</v>
      </c>
      <c r="W1422" s="45" t="s">
        <v>7161</v>
      </c>
    </row>
    <row r="1423" spans="1:23" hidden="1">
      <c r="A1423" s="2">
        <v>46006</v>
      </c>
      <c r="B1423" s="1" t="s">
        <v>6525</v>
      </c>
      <c r="C1423" s="1" t="s">
        <v>2924</v>
      </c>
      <c r="D1423" s="1" t="s">
        <v>2465</v>
      </c>
      <c r="E1423" s="1">
        <v>86323</v>
      </c>
      <c r="F1423" s="1" t="s">
        <v>7162</v>
      </c>
      <c r="G1423" s="1" t="s">
        <v>7163</v>
      </c>
      <c r="H1423" s="4" t="s">
        <v>1757</v>
      </c>
      <c r="I1423" s="5" t="s">
        <v>2514</v>
      </c>
      <c r="J1423" s="5" t="s">
        <v>24</v>
      </c>
      <c r="K1423" s="5" t="s">
        <v>24</v>
      </c>
      <c r="L1423" s="5" t="s">
        <v>75</v>
      </c>
      <c r="M1423" s="5" t="s">
        <v>24</v>
      </c>
      <c r="N1423" s="5" t="s">
        <v>24</v>
      </c>
      <c r="O1423" s="5" t="s">
        <v>75</v>
      </c>
      <c r="P1423" s="5" t="s">
        <v>2413</v>
      </c>
      <c r="Q1423" s="5">
        <v>46008</v>
      </c>
      <c r="V1423" s="45">
        <f t="shared" si="22"/>
        <v>1</v>
      </c>
      <c r="W1423" s="45" t="s">
        <v>7164</v>
      </c>
    </row>
    <row r="1424" spans="1:23" hidden="1">
      <c r="A1424" s="2">
        <v>46006</v>
      </c>
      <c r="B1424" s="1" t="s">
        <v>7165</v>
      </c>
      <c r="C1424" s="1" t="s">
        <v>7166</v>
      </c>
      <c r="D1424" s="1" t="s">
        <v>2709</v>
      </c>
      <c r="E1424" s="1">
        <v>85138</v>
      </c>
      <c r="F1424" s="1" t="s">
        <v>7167</v>
      </c>
      <c r="G1424" s="1" t="s">
        <v>7168</v>
      </c>
      <c r="H1424" s="4" t="s">
        <v>2401</v>
      </c>
      <c r="V1424" s="45">
        <f t="shared" si="22"/>
        <v>1</v>
      </c>
      <c r="W1424" s="45" t="s">
        <v>7169</v>
      </c>
    </row>
    <row r="1425" spans="1:23" hidden="1">
      <c r="A1425" s="2">
        <v>46006</v>
      </c>
      <c r="B1425" s="1" t="s">
        <v>7170</v>
      </c>
      <c r="C1425" s="1" t="s">
        <v>3122</v>
      </c>
      <c r="D1425" s="1" t="s">
        <v>7171</v>
      </c>
      <c r="E1425" s="1">
        <v>89145</v>
      </c>
      <c r="F1425" s="1" t="s">
        <v>7172</v>
      </c>
      <c r="G1425" s="1" t="s">
        <v>7173</v>
      </c>
      <c r="H1425" s="4" t="s">
        <v>2401</v>
      </c>
      <c r="V1425" s="45">
        <f t="shared" si="22"/>
        <v>1</v>
      </c>
      <c r="W1425" s="45" t="s">
        <v>7174</v>
      </c>
    </row>
    <row r="1426" spans="1:23" hidden="1">
      <c r="A1426" s="2">
        <v>46008</v>
      </c>
      <c r="B1426" s="1" t="s">
        <v>4450</v>
      </c>
      <c r="C1426" s="1" t="s">
        <v>4451</v>
      </c>
      <c r="D1426" s="1" t="s">
        <v>2405</v>
      </c>
      <c r="E1426" s="1" t="s">
        <v>2405</v>
      </c>
      <c r="F1426" s="1" t="s">
        <v>7175</v>
      </c>
      <c r="G1426" s="1" t="s">
        <v>7176</v>
      </c>
      <c r="H1426" s="4" t="s">
        <v>2401</v>
      </c>
      <c r="V1426" s="45">
        <f t="shared" si="22"/>
        <v>1</v>
      </c>
      <c r="W1426" s="45" t="s">
        <v>7177</v>
      </c>
    </row>
    <row r="1427" spans="1:23" hidden="1">
      <c r="A1427" s="41">
        <v>46009</v>
      </c>
      <c r="B1427" s="32" t="s">
        <v>7178</v>
      </c>
      <c r="C1427" s="32" t="s">
        <v>7179</v>
      </c>
      <c r="D1427" s="32" t="s">
        <v>2439</v>
      </c>
      <c r="E1427" s="32">
        <v>85022</v>
      </c>
      <c r="F1427" s="32" t="s">
        <v>6885</v>
      </c>
      <c r="G1427" s="43" t="s">
        <v>7180</v>
      </c>
      <c r="H1427" s="44" t="s">
        <v>486</v>
      </c>
      <c r="I1427" s="42" t="s">
        <v>2597</v>
      </c>
      <c r="J1427" s="42" t="s">
        <v>24</v>
      </c>
      <c r="K1427" s="42" t="s">
        <v>24</v>
      </c>
      <c r="L1427" s="42" t="s">
        <v>7181</v>
      </c>
      <c r="M1427" s="42" t="s">
        <v>24</v>
      </c>
      <c r="N1427" s="42" t="s">
        <v>24</v>
      </c>
      <c r="O1427" s="42" t="s">
        <v>75</v>
      </c>
      <c r="P1427" s="42"/>
      <c r="Q1427" s="41">
        <v>46015</v>
      </c>
      <c r="R1427" s="32" t="s">
        <v>7066</v>
      </c>
      <c r="S1427" s="32"/>
      <c r="T1427" s="32"/>
      <c r="U1427" s="32"/>
      <c r="V1427" s="1">
        <f t="shared" si="22"/>
        <v>1</v>
      </c>
      <c r="W1427" s="45" t="s">
        <v>7182</v>
      </c>
    </row>
    <row r="1428" spans="1:23" hidden="1">
      <c r="A1428" s="2">
        <v>46009</v>
      </c>
      <c r="B1428" s="1" t="s">
        <v>5160</v>
      </c>
      <c r="C1428" s="1" t="s">
        <v>7183</v>
      </c>
      <c r="D1428" s="1" t="s">
        <v>2498</v>
      </c>
      <c r="E1428" s="1">
        <v>85387</v>
      </c>
      <c r="F1428" s="1" t="s">
        <v>6885</v>
      </c>
      <c r="G1428" s="39" t="s">
        <v>7180</v>
      </c>
      <c r="H1428" s="4" t="s">
        <v>2401</v>
      </c>
      <c r="V1428" s="1">
        <f t="shared" si="22"/>
        <v>1</v>
      </c>
      <c r="W1428" s="45" t="s">
        <v>7184</v>
      </c>
    </row>
    <row r="1429" spans="1:23" hidden="1">
      <c r="A1429" s="2">
        <v>46010</v>
      </c>
      <c r="B1429" s="1" t="s">
        <v>7185</v>
      </c>
      <c r="C1429" s="1" t="s">
        <v>7186</v>
      </c>
      <c r="D1429" s="1" t="s">
        <v>3090</v>
      </c>
      <c r="F1429" s="1" t="s">
        <v>6885</v>
      </c>
      <c r="G1429" s="39" t="s">
        <v>7187</v>
      </c>
      <c r="H1429" s="4" t="s">
        <v>2401</v>
      </c>
      <c r="V1429" s="1">
        <f t="shared" si="22"/>
        <v>1</v>
      </c>
      <c r="W1429" s="45" t="s">
        <v>7188</v>
      </c>
    </row>
    <row r="1430" spans="1:23" hidden="1">
      <c r="A1430" s="2">
        <v>46010</v>
      </c>
      <c r="B1430" s="1" t="s">
        <v>3803</v>
      </c>
      <c r="C1430" s="1" t="s">
        <v>7189</v>
      </c>
      <c r="D1430" s="1" t="s">
        <v>2498</v>
      </c>
      <c r="E1430" s="1">
        <v>85387</v>
      </c>
      <c r="F1430" s="1" t="s">
        <v>6885</v>
      </c>
      <c r="G1430" s="39" t="s">
        <v>7187</v>
      </c>
      <c r="H1430" s="4" t="s">
        <v>2401</v>
      </c>
      <c r="V1430" s="1">
        <f t="shared" si="22"/>
        <v>1</v>
      </c>
      <c r="W1430" s="45" t="s">
        <v>7190</v>
      </c>
    </row>
    <row r="1431" spans="1:23" hidden="1">
      <c r="A1431" s="41">
        <v>46010</v>
      </c>
      <c r="B1431" s="32" t="s">
        <v>7191</v>
      </c>
      <c r="C1431" s="32" t="s">
        <v>2924</v>
      </c>
      <c r="D1431" s="32" t="s">
        <v>2570</v>
      </c>
      <c r="E1431" s="32">
        <v>85326</v>
      </c>
      <c r="F1431" s="32" t="s">
        <v>6885</v>
      </c>
      <c r="G1431" s="43" t="s">
        <v>7187</v>
      </c>
      <c r="H1431" s="44" t="s">
        <v>71</v>
      </c>
      <c r="I1431" s="42" t="s">
        <v>2597</v>
      </c>
      <c r="J1431" s="42" t="s">
        <v>24</v>
      </c>
      <c r="K1431" s="42" t="s">
        <v>24</v>
      </c>
      <c r="L1431" s="42" t="s">
        <v>7192</v>
      </c>
      <c r="M1431" s="42" t="s">
        <v>75</v>
      </c>
      <c r="N1431" s="54">
        <v>1309.77</v>
      </c>
      <c r="O1431" s="42" t="s">
        <v>75</v>
      </c>
      <c r="P1431" s="42"/>
      <c r="Q1431" s="41">
        <v>46015</v>
      </c>
      <c r="R1431" s="32" t="s">
        <v>7193</v>
      </c>
      <c r="S1431" s="32"/>
      <c r="T1431" s="32"/>
      <c r="U1431" s="32"/>
      <c r="V1431" s="1">
        <f t="shared" si="22"/>
        <v>1</v>
      </c>
      <c r="W1431" s="45" t="s">
        <v>7194</v>
      </c>
    </row>
    <row r="1432" spans="1:23" hidden="1">
      <c r="A1432" s="2">
        <v>46010</v>
      </c>
      <c r="B1432" s="1" t="s">
        <v>7195</v>
      </c>
      <c r="C1432" s="1" t="s">
        <v>3170</v>
      </c>
      <c r="D1432" s="1" t="s">
        <v>2439</v>
      </c>
      <c r="E1432" s="1">
        <v>85016</v>
      </c>
      <c r="F1432" s="1" t="s">
        <v>6885</v>
      </c>
      <c r="G1432" s="39" t="s">
        <v>7187</v>
      </c>
      <c r="H1432" s="4" t="s">
        <v>2471</v>
      </c>
      <c r="V1432" s="1">
        <f t="shared" si="22"/>
        <v>1</v>
      </c>
      <c r="W1432" s="45" t="s">
        <v>7196</v>
      </c>
    </row>
    <row r="1433" spans="1:23" hidden="1">
      <c r="A1433" s="2">
        <v>46010</v>
      </c>
      <c r="B1433" s="1" t="s">
        <v>7197</v>
      </c>
      <c r="C1433" s="1" t="s">
        <v>4972</v>
      </c>
      <c r="D1433" s="1" t="s">
        <v>2439</v>
      </c>
      <c r="E1433" s="1">
        <v>85015</v>
      </c>
      <c r="F1433" s="1" t="s">
        <v>6885</v>
      </c>
      <c r="G1433" s="39" t="s">
        <v>7187</v>
      </c>
      <c r="H1433" s="4" t="s">
        <v>1759</v>
      </c>
      <c r="I1433" s="5" t="s">
        <v>2514</v>
      </c>
      <c r="J1433" s="5" t="s">
        <v>24</v>
      </c>
      <c r="K1433" s="5" t="s">
        <v>24</v>
      </c>
      <c r="L1433" s="5" t="s">
        <v>75</v>
      </c>
      <c r="M1433" s="5" t="s">
        <v>24</v>
      </c>
      <c r="N1433" s="5" t="s">
        <v>24</v>
      </c>
      <c r="O1433" s="5" t="s">
        <v>75</v>
      </c>
      <c r="P1433" s="5" t="s">
        <v>2413</v>
      </c>
      <c r="Q1433" s="2">
        <v>46015</v>
      </c>
      <c r="V1433" s="1">
        <f t="shared" si="22"/>
        <v>1</v>
      </c>
      <c r="W1433" s="45" t="s">
        <v>7198</v>
      </c>
    </row>
    <row r="1434" spans="1:23" hidden="1">
      <c r="A1434" s="2">
        <v>46010</v>
      </c>
      <c r="B1434" s="1" t="s">
        <v>2972</v>
      </c>
      <c r="C1434" s="1" t="s">
        <v>2861</v>
      </c>
      <c r="D1434" s="1" t="s">
        <v>2564</v>
      </c>
      <c r="E1434" s="1">
        <v>85338</v>
      </c>
      <c r="F1434" s="1" t="s">
        <v>6885</v>
      </c>
      <c r="G1434" s="39" t="s">
        <v>7187</v>
      </c>
      <c r="H1434" s="4" t="s">
        <v>2401</v>
      </c>
      <c r="V1434" s="1">
        <f t="shared" si="22"/>
        <v>1</v>
      </c>
      <c r="W1434" s="45" t="s">
        <v>7199</v>
      </c>
    </row>
    <row r="1435" spans="1:23" hidden="1">
      <c r="A1435" s="2">
        <v>46010</v>
      </c>
      <c r="B1435" s="1" t="s">
        <v>7200</v>
      </c>
      <c r="C1435" s="1" t="s">
        <v>3974</v>
      </c>
      <c r="D1435" s="1" t="s">
        <v>2800</v>
      </c>
      <c r="E1435" s="1">
        <v>85286</v>
      </c>
      <c r="F1435" s="1" t="s">
        <v>6885</v>
      </c>
      <c r="G1435" s="39" t="s">
        <v>7187</v>
      </c>
      <c r="H1435" s="4" t="s">
        <v>2401</v>
      </c>
      <c r="V1435" s="1">
        <f t="shared" si="22"/>
        <v>1</v>
      </c>
      <c r="W1435" s="45" t="s">
        <v>7201</v>
      </c>
    </row>
    <row r="1436" spans="1:23" hidden="1">
      <c r="A1436" s="2">
        <v>46010</v>
      </c>
      <c r="B1436" s="1" t="s">
        <v>6525</v>
      </c>
      <c r="C1436" s="1" t="s">
        <v>7202</v>
      </c>
      <c r="D1436" s="1" t="s">
        <v>5481</v>
      </c>
      <c r="E1436" s="1">
        <v>85087</v>
      </c>
      <c r="F1436" s="1" t="s">
        <v>6885</v>
      </c>
      <c r="G1436" s="39" t="s">
        <v>7187</v>
      </c>
      <c r="H1436" s="4" t="s">
        <v>1761</v>
      </c>
      <c r="I1436" s="5" t="s">
        <v>7153</v>
      </c>
      <c r="J1436" s="5" t="s">
        <v>24</v>
      </c>
      <c r="K1436" s="5" t="s">
        <v>24</v>
      </c>
      <c r="L1436" s="5" t="s">
        <v>75</v>
      </c>
      <c r="M1436" s="5" t="s">
        <v>24</v>
      </c>
      <c r="N1436" s="5" t="s">
        <v>24</v>
      </c>
      <c r="O1436" s="5" t="s">
        <v>75</v>
      </c>
      <c r="P1436" s="5" t="s">
        <v>2413</v>
      </c>
      <c r="Q1436" s="2">
        <v>46015</v>
      </c>
      <c r="V1436" s="1">
        <f t="shared" si="22"/>
        <v>1</v>
      </c>
      <c r="W1436" s="45" t="s">
        <v>7203</v>
      </c>
    </row>
    <row r="1437" spans="1:23" hidden="1">
      <c r="A1437" s="41">
        <v>46010</v>
      </c>
      <c r="B1437" s="32" t="s">
        <v>4011</v>
      </c>
      <c r="C1437" s="32" t="s">
        <v>6726</v>
      </c>
      <c r="D1437" s="32" t="s">
        <v>2570</v>
      </c>
      <c r="E1437" s="32">
        <v>85326</v>
      </c>
      <c r="F1437" s="32" t="s">
        <v>6885</v>
      </c>
      <c r="G1437" s="43" t="s">
        <v>7187</v>
      </c>
      <c r="H1437" s="44" t="s">
        <v>489</v>
      </c>
      <c r="I1437" s="42" t="s">
        <v>2597</v>
      </c>
      <c r="J1437" s="42" t="s">
        <v>24</v>
      </c>
      <c r="K1437" s="42" t="s">
        <v>24</v>
      </c>
      <c r="L1437" s="42" t="s">
        <v>7204</v>
      </c>
      <c r="M1437" s="42" t="s">
        <v>24</v>
      </c>
      <c r="N1437" s="42" t="s">
        <v>24</v>
      </c>
      <c r="O1437" s="42" t="s">
        <v>75</v>
      </c>
      <c r="P1437" s="42"/>
      <c r="Q1437" s="41">
        <v>46015</v>
      </c>
      <c r="R1437" s="32" t="s">
        <v>7066</v>
      </c>
      <c r="S1437" s="32"/>
      <c r="T1437" s="32"/>
      <c r="U1437" s="32"/>
      <c r="V1437" s="1">
        <f t="shared" si="22"/>
        <v>1</v>
      </c>
      <c r="W1437" s="45" t="s">
        <v>7205</v>
      </c>
    </row>
    <row r="1438" spans="1:23">
      <c r="A1438" s="2">
        <v>46014</v>
      </c>
      <c r="B1438" s="1" t="s">
        <v>7206</v>
      </c>
      <c r="C1438" s="1" t="s">
        <v>7207</v>
      </c>
      <c r="D1438" s="1" t="s">
        <v>6499</v>
      </c>
      <c r="E1438" s="1">
        <v>85718</v>
      </c>
      <c r="F1438" s="1" t="s">
        <v>6885</v>
      </c>
      <c r="G1438" s="39" t="s">
        <v>7208</v>
      </c>
      <c r="H1438" s="4" t="s">
        <v>2401</v>
      </c>
      <c r="V1438" s="1">
        <f t="shared" si="22"/>
        <v>1</v>
      </c>
      <c r="W1438" s="1" t="s">
        <v>7209</v>
      </c>
    </row>
    <row r="1439" spans="1:23">
      <c r="A1439" s="2">
        <v>46014</v>
      </c>
      <c r="B1439" s="1" t="s">
        <v>7178</v>
      </c>
      <c r="C1439" s="1" t="s">
        <v>4215</v>
      </c>
      <c r="D1439" s="1" t="s">
        <v>2439</v>
      </c>
      <c r="E1439" s="1">
        <v>85022</v>
      </c>
      <c r="F1439" s="1" t="s">
        <v>6885</v>
      </c>
      <c r="G1439" s="39" t="s">
        <v>7208</v>
      </c>
      <c r="H1439" s="4" t="s">
        <v>486</v>
      </c>
      <c r="I1439" s="5" t="s">
        <v>2597</v>
      </c>
      <c r="J1439" s="5" t="s">
        <v>24</v>
      </c>
      <c r="K1439" s="5" t="s">
        <v>24</v>
      </c>
      <c r="L1439" s="5" t="s">
        <v>7181</v>
      </c>
      <c r="M1439" s="5" t="s">
        <v>24</v>
      </c>
      <c r="N1439" s="5" t="s">
        <v>24</v>
      </c>
      <c r="O1439" s="5" t="s">
        <v>75</v>
      </c>
      <c r="Q1439" s="5">
        <v>46017</v>
      </c>
      <c r="V1439" s="1">
        <f t="shared" si="22"/>
        <v>1</v>
      </c>
      <c r="W1439" s="1" t="s">
        <v>7210</v>
      </c>
    </row>
    <row r="1440" spans="1:23">
      <c r="A1440" s="2">
        <v>46014</v>
      </c>
      <c r="B1440" s="1" t="s">
        <v>7211</v>
      </c>
      <c r="C1440" s="1" t="s">
        <v>2512</v>
      </c>
      <c r="D1440" s="1" t="s">
        <v>2439</v>
      </c>
      <c r="E1440" s="1">
        <v>85032</v>
      </c>
      <c r="F1440" s="1" t="s">
        <v>6885</v>
      </c>
      <c r="G1440" s="39" t="s">
        <v>7208</v>
      </c>
      <c r="H1440" s="4" t="s">
        <v>2401</v>
      </c>
      <c r="V1440" s="1">
        <f t="shared" si="22"/>
        <v>1</v>
      </c>
      <c r="W1440" s="1" t="s">
        <v>7212</v>
      </c>
    </row>
    <row r="1441" spans="1:23">
      <c r="A1441" s="2">
        <v>46014</v>
      </c>
      <c r="B1441" s="1" t="s">
        <v>7213</v>
      </c>
      <c r="C1441" s="1" t="s">
        <v>5486</v>
      </c>
      <c r="D1441" s="1" t="s">
        <v>2969</v>
      </c>
      <c r="E1441" s="1">
        <v>85323</v>
      </c>
      <c r="F1441" s="1" t="s">
        <v>6885</v>
      </c>
      <c r="G1441" s="39" t="s">
        <v>7208</v>
      </c>
      <c r="H1441" s="4" t="s">
        <v>2401</v>
      </c>
      <c r="V1441" s="1">
        <f t="shared" si="22"/>
        <v>1</v>
      </c>
      <c r="W1441" s="1" t="s">
        <v>7214</v>
      </c>
    </row>
    <row r="1442" spans="1:23">
      <c r="A1442" s="2">
        <v>46014</v>
      </c>
      <c r="B1442" s="1" t="s">
        <v>7215</v>
      </c>
      <c r="C1442" s="1" t="s">
        <v>7216</v>
      </c>
      <c r="D1442" s="1" t="s">
        <v>2475</v>
      </c>
      <c r="E1442" s="1">
        <v>85373</v>
      </c>
      <c r="F1442" s="1" t="s">
        <v>6885</v>
      </c>
      <c r="G1442" s="39" t="s">
        <v>7208</v>
      </c>
      <c r="H1442" s="4" t="s">
        <v>2401</v>
      </c>
      <c r="V1442" s="1">
        <f t="shared" si="22"/>
        <v>1</v>
      </c>
      <c r="W1442" s="1" t="s">
        <v>7217</v>
      </c>
    </row>
    <row r="1443" spans="1:23">
      <c r="A1443" s="2">
        <v>46015</v>
      </c>
      <c r="B1443" s="1" t="s">
        <v>6766</v>
      </c>
      <c r="C1443" s="1" t="s">
        <v>4912</v>
      </c>
      <c r="F1443" s="1" t="s">
        <v>6885</v>
      </c>
      <c r="G1443" s="39" t="s">
        <v>7218</v>
      </c>
      <c r="H1443" s="4" t="s">
        <v>2401</v>
      </c>
      <c r="V1443" s="1">
        <f t="shared" si="22"/>
        <v>1</v>
      </c>
      <c r="W1443" s="1" t="s">
        <v>7219</v>
      </c>
    </row>
    <row r="1444" spans="1:23">
      <c r="A1444" s="2">
        <v>46015</v>
      </c>
      <c r="B1444" s="1" t="s">
        <v>7220</v>
      </c>
      <c r="C1444" s="1" t="s">
        <v>6032</v>
      </c>
      <c r="D1444" s="1" t="s">
        <v>2439</v>
      </c>
      <c r="E1444" s="1">
        <v>85029</v>
      </c>
      <c r="F1444" s="1" t="s">
        <v>7221</v>
      </c>
      <c r="G1444" s="39" t="s">
        <v>7218</v>
      </c>
      <c r="H1444" s="4" t="s">
        <v>1763</v>
      </c>
      <c r="I1444" s="5" t="s">
        <v>2412</v>
      </c>
      <c r="J1444" s="5" t="s">
        <v>24</v>
      </c>
      <c r="K1444" s="5" t="s">
        <v>24</v>
      </c>
      <c r="L1444" s="5" t="s">
        <v>75</v>
      </c>
      <c r="M1444" s="5" t="s">
        <v>24</v>
      </c>
      <c r="N1444" s="5" t="s">
        <v>24</v>
      </c>
      <c r="O1444" s="5" t="s">
        <v>75</v>
      </c>
      <c r="P1444" s="5" t="s">
        <v>2413</v>
      </c>
      <c r="Q1444" s="5">
        <v>46017</v>
      </c>
      <c r="V1444" s="1">
        <f t="shared" si="22"/>
        <v>1</v>
      </c>
      <c r="W1444" s="1" t="s">
        <v>7222</v>
      </c>
    </row>
    <row r="1445" spans="1:23">
      <c r="A1445" s="2">
        <v>46017</v>
      </c>
      <c r="B1445" s="1" t="s">
        <v>7223</v>
      </c>
      <c r="C1445" s="1" t="s">
        <v>7224</v>
      </c>
      <c r="D1445" s="1" t="s">
        <v>2439</v>
      </c>
      <c r="E1445" s="1">
        <v>85006</v>
      </c>
      <c r="F1445" s="1" t="s">
        <v>6885</v>
      </c>
      <c r="G1445" s="39" t="s">
        <v>7225</v>
      </c>
      <c r="H1445" s="4" t="s">
        <v>1765</v>
      </c>
      <c r="I1445" s="5" t="s">
        <v>2514</v>
      </c>
      <c r="J1445" s="5" t="s">
        <v>24</v>
      </c>
      <c r="K1445" s="5" t="s">
        <v>24</v>
      </c>
      <c r="L1445" s="5" t="s">
        <v>75</v>
      </c>
      <c r="M1445" s="5" t="s">
        <v>24</v>
      </c>
      <c r="N1445" s="5" t="s">
        <v>24</v>
      </c>
      <c r="O1445" s="5" t="s">
        <v>75</v>
      </c>
      <c r="P1445" s="5" t="s">
        <v>2413</v>
      </c>
      <c r="Q1445" s="5">
        <v>46020</v>
      </c>
      <c r="V1445" s="1">
        <f t="shared" si="22"/>
        <v>1</v>
      </c>
      <c r="W1445" s="1" t="s">
        <v>7226</v>
      </c>
    </row>
    <row r="1446" spans="1:23">
      <c r="A1446" s="2">
        <v>46017</v>
      </c>
      <c r="B1446" s="1" t="s">
        <v>7227</v>
      </c>
      <c r="C1446" s="1" t="s">
        <v>2454</v>
      </c>
      <c r="D1446" s="1" t="s">
        <v>2605</v>
      </c>
      <c r="E1446" s="1">
        <v>85345</v>
      </c>
      <c r="F1446" s="1" t="s">
        <v>6885</v>
      </c>
      <c r="G1446" s="39" t="s">
        <v>7225</v>
      </c>
      <c r="H1446" s="4" t="s">
        <v>1767</v>
      </c>
      <c r="I1446" s="5" t="s">
        <v>2412</v>
      </c>
      <c r="J1446" s="5" t="s">
        <v>24</v>
      </c>
      <c r="K1446" s="5" t="s">
        <v>24</v>
      </c>
      <c r="L1446" s="5" t="s">
        <v>75</v>
      </c>
      <c r="M1446" s="5" t="s">
        <v>24</v>
      </c>
      <c r="N1446" s="5" t="s">
        <v>24</v>
      </c>
      <c r="O1446" s="5" t="s">
        <v>75</v>
      </c>
      <c r="P1446" s="5" t="s">
        <v>2413</v>
      </c>
      <c r="Q1446" s="5">
        <v>46020</v>
      </c>
      <c r="V1446" s="1">
        <f t="shared" si="22"/>
        <v>1</v>
      </c>
      <c r="W1446" s="1" t="s">
        <v>7228</v>
      </c>
    </row>
    <row r="1447" spans="1:23">
      <c r="A1447" s="2">
        <v>46017</v>
      </c>
      <c r="B1447" s="1" t="s">
        <v>7229</v>
      </c>
      <c r="C1447" s="1" t="s">
        <v>2632</v>
      </c>
      <c r="D1447" s="1" t="s">
        <v>2439</v>
      </c>
      <c r="E1447" s="1">
        <v>85022</v>
      </c>
      <c r="F1447" s="1" t="s">
        <v>6885</v>
      </c>
      <c r="G1447" s="39" t="s">
        <v>7225</v>
      </c>
      <c r="H1447" s="4" t="s">
        <v>1769</v>
      </c>
      <c r="I1447" s="5" t="s">
        <v>7153</v>
      </c>
      <c r="J1447" s="5" t="s">
        <v>24</v>
      </c>
      <c r="K1447" s="5" t="s">
        <v>24</v>
      </c>
      <c r="L1447" s="5" t="s">
        <v>75</v>
      </c>
      <c r="M1447" s="5" t="s">
        <v>24</v>
      </c>
      <c r="N1447" s="5" t="s">
        <v>24</v>
      </c>
      <c r="O1447" s="5" t="s">
        <v>75</v>
      </c>
      <c r="P1447" s="5" t="s">
        <v>2413</v>
      </c>
      <c r="Q1447" s="5">
        <v>46020</v>
      </c>
      <c r="V1447" s="1">
        <f t="shared" si="22"/>
        <v>1</v>
      </c>
      <c r="W1447" s="1" t="s">
        <v>7230</v>
      </c>
    </row>
    <row r="1448" spans="1:23">
      <c r="A1448" s="2">
        <v>46021</v>
      </c>
      <c r="B1448" s="1" t="s">
        <v>7231</v>
      </c>
      <c r="C1448" s="1" t="s">
        <v>5064</v>
      </c>
      <c r="D1448" s="1" t="s">
        <v>2405</v>
      </c>
      <c r="E1448" s="1" t="s">
        <v>2405</v>
      </c>
      <c r="F1448" s="1" t="s">
        <v>7232</v>
      </c>
      <c r="G1448" s="39" t="s">
        <v>7233</v>
      </c>
      <c r="H1448" s="4" t="s">
        <v>2401</v>
      </c>
      <c r="Q1448" s="2"/>
      <c r="V1448" s="1">
        <f t="shared" si="22"/>
        <v>1</v>
      </c>
      <c r="W1448" s="1" t="s">
        <v>7234</v>
      </c>
    </row>
    <row r="1449" spans="1:23">
      <c r="A1449" s="2">
        <v>46021</v>
      </c>
      <c r="B1449" s="1" t="s">
        <v>6658</v>
      </c>
      <c r="C1449" s="1" t="s">
        <v>7235</v>
      </c>
      <c r="D1449" s="1" t="s">
        <v>2605</v>
      </c>
      <c r="E1449" s="1">
        <v>85345</v>
      </c>
      <c r="F1449" s="1" t="s">
        <v>7236</v>
      </c>
      <c r="G1449" s="128" t="s">
        <v>7237</v>
      </c>
      <c r="H1449" s="4" t="s">
        <v>1771</v>
      </c>
      <c r="I1449" s="5" t="s">
        <v>2412</v>
      </c>
      <c r="J1449" s="5" t="s">
        <v>24</v>
      </c>
      <c r="K1449" s="5" t="s">
        <v>24</v>
      </c>
      <c r="L1449" s="5" t="s">
        <v>75</v>
      </c>
      <c r="M1449" s="5" t="s">
        <v>24</v>
      </c>
      <c r="N1449" s="5" t="s">
        <v>24</v>
      </c>
      <c r="O1449" s="5" t="s">
        <v>75</v>
      </c>
      <c r="P1449" s="5" t="s">
        <v>2413</v>
      </c>
      <c r="Q1449" s="2">
        <v>46022</v>
      </c>
      <c r="V1449" s="1">
        <f t="shared" si="22"/>
        <v>1</v>
      </c>
      <c r="W1449" s="1" t="s">
        <v>7238</v>
      </c>
    </row>
    <row r="1450" spans="1:23">
      <c r="A1450" s="2">
        <v>46021</v>
      </c>
      <c r="B1450" s="1" t="s">
        <v>7239</v>
      </c>
      <c r="C1450" s="1" t="s">
        <v>3958</v>
      </c>
      <c r="D1450" s="1" t="s">
        <v>2513</v>
      </c>
      <c r="E1450" s="1">
        <v>85254</v>
      </c>
      <c r="F1450" s="1" t="s">
        <v>6885</v>
      </c>
      <c r="G1450" s="129" t="s">
        <v>7237</v>
      </c>
      <c r="H1450" s="4" t="s">
        <v>1773</v>
      </c>
      <c r="I1450" s="5" t="s">
        <v>2451</v>
      </c>
      <c r="J1450" s="5" t="s">
        <v>24</v>
      </c>
      <c r="K1450" s="5" t="s">
        <v>24</v>
      </c>
      <c r="L1450" s="5" t="s">
        <v>75</v>
      </c>
      <c r="M1450" s="5" t="s">
        <v>24</v>
      </c>
      <c r="N1450" s="5" t="s">
        <v>24</v>
      </c>
      <c r="O1450" s="5" t="s">
        <v>75</v>
      </c>
      <c r="P1450" s="5" t="s">
        <v>2413</v>
      </c>
      <c r="Q1450" s="2">
        <v>46022</v>
      </c>
      <c r="V1450" s="1">
        <f t="shared" si="22"/>
        <v>1</v>
      </c>
      <c r="W1450" s="1" t="s">
        <v>7240</v>
      </c>
    </row>
    <row r="1451" spans="1:23">
      <c r="A1451" s="2">
        <v>46021</v>
      </c>
      <c r="B1451" s="1" t="s">
        <v>7241</v>
      </c>
      <c r="C1451" s="1" t="s">
        <v>7242</v>
      </c>
      <c r="D1451" s="1" t="s">
        <v>2439</v>
      </c>
      <c r="E1451" s="1">
        <v>85029</v>
      </c>
      <c r="F1451" s="1" t="s">
        <v>6885</v>
      </c>
      <c r="G1451" s="129" t="s">
        <v>7237</v>
      </c>
      <c r="H1451" s="4" t="s">
        <v>1775</v>
      </c>
      <c r="I1451" s="5" t="s">
        <v>2412</v>
      </c>
      <c r="J1451" s="5" t="s">
        <v>24</v>
      </c>
      <c r="K1451" s="5" t="s">
        <v>24</v>
      </c>
      <c r="L1451" s="5" t="s">
        <v>75</v>
      </c>
      <c r="M1451" s="5" t="s">
        <v>24</v>
      </c>
      <c r="N1451" s="5" t="s">
        <v>24</v>
      </c>
      <c r="O1451" s="5" t="s">
        <v>75</v>
      </c>
      <c r="P1451" s="5" t="s">
        <v>2413</v>
      </c>
      <c r="Q1451" s="2">
        <v>46022</v>
      </c>
      <c r="V1451" s="1">
        <f t="shared" si="22"/>
        <v>1</v>
      </c>
      <c r="W1451" s="1" t="s">
        <v>7243</v>
      </c>
    </row>
    <row r="1452" spans="1:23">
      <c r="A1452" s="2">
        <v>46021</v>
      </c>
      <c r="B1452" s="1" t="s">
        <v>7244</v>
      </c>
      <c r="C1452" s="1" t="s">
        <v>7245</v>
      </c>
      <c r="D1452" s="1" t="s">
        <v>2405</v>
      </c>
      <c r="E1452" s="1" t="s">
        <v>2405</v>
      </c>
      <c r="F1452" s="1" t="s">
        <v>6885</v>
      </c>
      <c r="G1452" s="129" t="s">
        <v>7237</v>
      </c>
      <c r="H1452" s="4" t="s">
        <v>2401</v>
      </c>
      <c r="V1452" s="1">
        <f t="shared" si="22"/>
        <v>1</v>
      </c>
      <c r="W1452" s="1" t="s">
        <v>7246</v>
      </c>
    </row>
    <row r="1453" spans="1:23">
      <c r="A1453" s="2">
        <v>46021</v>
      </c>
      <c r="B1453" s="1" t="s">
        <v>7247</v>
      </c>
      <c r="C1453" s="1" t="s">
        <v>3996</v>
      </c>
      <c r="D1453" s="1" t="s">
        <v>2405</v>
      </c>
      <c r="E1453" s="1" t="s">
        <v>2405</v>
      </c>
      <c r="F1453" s="1" t="s">
        <v>6885</v>
      </c>
      <c r="G1453" s="129" t="s">
        <v>7237</v>
      </c>
      <c r="H1453" s="4" t="s">
        <v>2401</v>
      </c>
      <c r="V1453" s="1">
        <f t="shared" si="22"/>
        <v>1</v>
      </c>
      <c r="W1453" s="1" t="s">
        <v>7248</v>
      </c>
    </row>
    <row r="1454" spans="1:23">
      <c r="A1454" s="2">
        <v>46021</v>
      </c>
      <c r="B1454" s="1" t="s">
        <v>7249</v>
      </c>
      <c r="C1454" s="1" t="s">
        <v>3331</v>
      </c>
      <c r="D1454" s="1" t="s">
        <v>2405</v>
      </c>
      <c r="E1454" s="1" t="s">
        <v>2405</v>
      </c>
      <c r="F1454" s="1" t="s">
        <v>6885</v>
      </c>
      <c r="G1454" s="129" t="s">
        <v>7237</v>
      </c>
      <c r="H1454" s="4" t="s">
        <v>2401</v>
      </c>
      <c r="V1454" s="1">
        <f t="shared" si="22"/>
        <v>1</v>
      </c>
      <c r="W1454" s="1" t="s">
        <v>7250</v>
      </c>
    </row>
    <row r="1455" spans="1:23">
      <c r="A1455" s="2">
        <v>46021</v>
      </c>
      <c r="B1455" s="1" t="s">
        <v>7251</v>
      </c>
      <c r="C1455" s="1" t="s">
        <v>7252</v>
      </c>
      <c r="D1455" s="1" t="s">
        <v>2405</v>
      </c>
      <c r="E1455" s="1" t="s">
        <v>2405</v>
      </c>
      <c r="F1455" s="1" t="s">
        <v>6885</v>
      </c>
      <c r="G1455" s="129" t="s">
        <v>7237</v>
      </c>
      <c r="H1455" s="4" t="s">
        <v>2401</v>
      </c>
      <c r="V1455" s="1">
        <f t="shared" si="22"/>
        <v>1</v>
      </c>
      <c r="W1455" s="1" t="s">
        <v>7253</v>
      </c>
    </row>
    <row r="1456" spans="1:23">
      <c r="A1456" s="2">
        <v>46021</v>
      </c>
      <c r="B1456" s="1" t="s">
        <v>7227</v>
      </c>
      <c r="C1456" s="1" t="s">
        <v>2454</v>
      </c>
      <c r="D1456" s="1" t="s">
        <v>2405</v>
      </c>
      <c r="E1456" s="1" t="s">
        <v>2405</v>
      </c>
      <c r="F1456" s="1" t="s">
        <v>6885</v>
      </c>
      <c r="G1456" s="129" t="s">
        <v>7237</v>
      </c>
      <c r="H1456" s="4" t="s">
        <v>2401</v>
      </c>
      <c r="V1456" s="1">
        <f t="shared" si="22"/>
        <v>1</v>
      </c>
      <c r="W1456" s="1" t="s">
        <v>7254</v>
      </c>
    </row>
    <row r="1457" spans="1:24">
      <c r="A1457" s="2">
        <v>46021</v>
      </c>
      <c r="B1457" s="1" t="s">
        <v>6766</v>
      </c>
      <c r="C1457" s="1" t="s">
        <v>4912</v>
      </c>
      <c r="D1457" s="1" t="s">
        <v>2405</v>
      </c>
      <c r="E1457" s="1" t="s">
        <v>2405</v>
      </c>
      <c r="F1457" s="1" t="s">
        <v>6885</v>
      </c>
      <c r="G1457" s="129" t="s">
        <v>7237</v>
      </c>
      <c r="H1457" s="4" t="s">
        <v>2401</v>
      </c>
      <c r="V1457" s="1">
        <f t="shared" si="22"/>
        <v>1</v>
      </c>
      <c r="W1457" s="1" t="s">
        <v>7255</v>
      </c>
    </row>
    <row r="1458" spans="1:24">
      <c r="A1458" s="2">
        <v>46021</v>
      </c>
      <c r="B1458" s="1" t="s">
        <v>7256</v>
      </c>
      <c r="C1458" s="1" t="s">
        <v>4220</v>
      </c>
      <c r="D1458" s="1" t="s">
        <v>2405</v>
      </c>
      <c r="E1458" s="1" t="s">
        <v>2405</v>
      </c>
      <c r="F1458" s="1" t="s">
        <v>6885</v>
      </c>
      <c r="G1458" s="129" t="s">
        <v>7237</v>
      </c>
      <c r="H1458" s="4" t="s">
        <v>2401</v>
      </c>
      <c r="V1458" s="1">
        <f t="shared" si="22"/>
        <v>1</v>
      </c>
      <c r="W1458" s="1" t="s">
        <v>7257</v>
      </c>
    </row>
    <row r="1459" spans="1:24">
      <c r="A1459" s="2">
        <v>46021</v>
      </c>
      <c r="B1459" s="1" t="s">
        <v>7206</v>
      </c>
      <c r="C1459" s="1" t="s">
        <v>7207</v>
      </c>
      <c r="D1459" s="1" t="s">
        <v>2405</v>
      </c>
      <c r="E1459" s="1" t="s">
        <v>2405</v>
      </c>
      <c r="F1459" s="1" t="s">
        <v>6885</v>
      </c>
      <c r="G1459" s="129" t="s">
        <v>7237</v>
      </c>
      <c r="H1459" s="4" t="s">
        <v>2401</v>
      </c>
      <c r="V1459" s="1">
        <f t="shared" si="22"/>
        <v>1</v>
      </c>
      <c r="W1459" s="1" t="s">
        <v>7258</v>
      </c>
    </row>
    <row r="1460" spans="1:24">
      <c r="A1460" s="2">
        <v>46024</v>
      </c>
      <c r="B1460" s="1" t="s">
        <v>7259</v>
      </c>
      <c r="C1460" s="1" t="s">
        <v>7260</v>
      </c>
      <c r="D1460" s="1" t="s">
        <v>2439</v>
      </c>
      <c r="E1460" s="1">
        <v>85027</v>
      </c>
      <c r="F1460" s="1" t="s">
        <v>6885</v>
      </c>
      <c r="G1460" s="130" t="s">
        <v>7261</v>
      </c>
      <c r="H1460" s="4" t="s">
        <v>1777</v>
      </c>
      <c r="I1460" s="5" t="s">
        <v>2460</v>
      </c>
      <c r="J1460" s="5" t="s">
        <v>24</v>
      </c>
      <c r="K1460" s="5" t="s">
        <v>24</v>
      </c>
      <c r="L1460" s="5" t="s">
        <v>7158</v>
      </c>
      <c r="M1460" s="5" t="s">
        <v>24</v>
      </c>
      <c r="N1460" s="5" t="s">
        <v>24</v>
      </c>
      <c r="O1460" s="5" t="s">
        <v>75</v>
      </c>
      <c r="P1460" s="5" t="s">
        <v>2413</v>
      </c>
      <c r="Q1460" s="2">
        <v>46027</v>
      </c>
      <c r="V1460" s="1">
        <f t="shared" si="22"/>
        <v>1</v>
      </c>
      <c r="W1460" s="1" t="s">
        <v>7262</v>
      </c>
    </row>
    <row r="1461" spans="1:24">
      <c r="A1461" s="2">
        <v>46024</v>
      </c>
      <c r="B1461" s="1" t="s">
        <v>7263</v>
      </c>
      <c r="C1461" s="1" t="s">
        <v>5900</v>
      </c>
      <c r="D1461" s="1" t="s">
        <v>2674</v>
      </c>
      <c r="E1461" s="1">
        <v>86315</v>
      </c>
      <c r="F1461" s="1" t="s">
        <v>6885</v>
      </c>
      <c r="G1461" s="130" t="s">
        <v>7261</v>
      </c>
      <c r="H1461" s="4" t="s">
        <v>1779</v>
      </c>
      <c r="I1461" s="5" t="s">
        <v>2597</v>
      </c>
      <c r="J1461" s="5" t="s">
        <v>24</v>
      </c>
      <c r="K1461" s="5" t="s">
        <v>24</v>
      </c>
      <c r="L1461" s="5" t="s">
        <v>75</v>
      </c>
      <c r="M1461" s="5" t="s">
        <v>24</v>
      </c>
      <c r="N1461" s="5" t="s">
        <v>24</v>
      </c>
      <c r="O1461" s="5" t="s">
        <v>75</v>
      </c>
      <c r="P1461" s="5" t="s">
        <v>2413</v>
      </c>
      <c r="Q1461" s="2">
        <v>46027</v>
      </c>
      <c r="V1461" s="1">
        <f t="shared" si="22"/>
        <v>1</v>
      </c>
      <c r="W1461" s="1" t="s">
        <v>7264</v>
      </c>
    </row>
    <row r="1462" spans="1:24">
      <c r="A1462" s="2">
        <v>46024</v>
      </c>
      <c r="B1462" s="1" t="s">
        <v>5223</v>
      </c>
      <c r="C1462" s="1" t="s">
        <v>7265</v>
      </c>
      <c r="D1462" s="1" t="s">
        <v>2987</v>
      </c>
      <c r="E1462" s="1">
        <v>85122</v>
      </c>
      <c r="F1462" s="1" t="s">
        <v>6885</v>
      </c>
      <c r="G1462" s="130" t="s">
        <v>7261</v>
      </c>
      <c r="H1462" s="4" t="s">
        <v>688</v>
      </c>
      <c r="I1462" s="5" t="s">
        <v>2412</v>
      </c>
      <c r="J1462" s="5" t="s">
        <v>24</v>
      </c>
      <c r="K1462" s="5" t="s">
        <v>24</v>
      </c>
      <c r="L1462" s="5" t="s">
        <v>75</v>
      </c>
      <c r="M1462" s="5" t="s">
        <v>75</v>
      </c>
      <c r="N1462" s="13">
        <v>832.08</v>
      </c>
      <c r="O1462" s="5" t="s">
        <v>75</v>
      </c>
      <c r="Q1462" s="41">
        <v>46027</v>
      </c>
      <c r="R1462" s="1" t="s">
        <v>7266</v>
      </c>
      <c r="V1462" s="1">
        <f t="shared" si="22"/>
        <v>1</v>
      </c>
      <c r="W1462" s="1" t="s">
        <v>7267</v>
      </c>
      <c r="X1462" s="32"/>
    </row>
    <row r="1463" spans="1:24">
      <c r="A1463" s="2">
        <v>46024</v>
      </c>
      <c r="B1463" s="1" t="s">
        <v>7268</v>
      </c>
      <c r="C1463" s="1" t="s">
        <v>7269</v>
      </c>
      <c r="D1463" s="1" t="s">
        <v>2800</v>
      </c>
      <c r="E1463" s="1">
        <v>85249</v>
      </c>
      <c r="F1463" s="1" t="s">
        <v>6885</v>
      </c>
      <c r="G1463" s="130" t="s">
        <v>7261</v>
      </c>
      <c r="H1463" s="4" t="s">
        <v>2401</v>
      </c>
      <c r="V1463" s="1">
        <f t="shared" si="22"/>
        <v>1</v>
      </c>
      <c r="W1463" s="1" t="s">
        <v>7270</v>
      </c>
    </row>
    <row r="1464" spans="1:24">
      <c r="A1464" s="2">
        <v>46024</v>
      </c>
      <c r="B1464" s="1" t="s">
        <v>7241</v>
      </c>
      <c r="C1464" s="1" t="s">
        <v>7242</v>
      </c>
      <c r="D1464" s="1" t="s">
        <v>2439</v>
      </c>
      <c r="E1464" s="1">
        <v>85029</v>
      </c>
      <c r="F1464" s="1" t="s">
        <v>6885</v>
      </c>
      <c r="G1464" s="130" t="s">
        <v>7261</v>
      </c>
      <c r="H1464" s="4" t="s">
        <v>1775</v>
      </c>
      <c r="I1464" s="5" t="s">
        <v>2412</v>
      </c>
      <c r="J1464" s="5" t="s">
        <v>24</v>
      </c>
      <c r="K1464" s="5" t="s">
        <v>24</v>
      </c>
      <c r="L1464" s="5" t="s">
        <v>75</v>
      </c>
      <c r="M1464" s="5" t="s">
        <v>24</v>
      </c>
      <c r="N1464" s="5" t="s">
        <v>24</v>
      </c>
      <c r="O1464" s="5" t="s">
        <v>75</v>
      </c>
      <c r="P1464" s="5" t="s">
        <v>2413</v>
      </c>
      <c r="Q1464" s="2">
        <v>46022</v>
      </c>
      <c r="R1464" s="1" t="s">
        <v>7271</v>
      </c>
      <c r="V1464" s="1">
        <f t="shared" si="22"/>
        <v>1</v>
      </c>
      <c r="W1464" s="1" t="s">
        <v>7272</v>
      </c>
    </row>
    <row r="1465" spans="1:24">
      <c r="A1465" s="2">
        <v>46024</v>
      </c>
      <c r="B1465" s="1" t="s">
        <v>7247</v>
      </c>
      <c r="C1465" s="1" t="s">
        <v>3996</v>
      </c>
      <c r="D1465" s="1" t="s">
        <v>7273</v>
      </c>
      <c r="E1465" s="1">
        <v>85028</v>
      </c>
      <c r="F1465" s="1" t="s">
        <v>6885</v>
      </c>
      <c r="G1465" s="130" t="s">
        <v>7261</v>
      </c>
      <c r="H1465" s="4" t="s">
        <v>2401</v>
      </c>
      <c r="R1465" s="1" t="s">
        <v>7271</v>
      </c>
      <c r="V1465" s="1">
        <f t="shared" si="22"/>
        <v>1</v>
      </c>
      <c r="W1465" s="1" t="s">
        <v>7274</v>
      </c>
    </row>
    <row r="1466" spans="1:24">
      <c r="A1466" s="2">
        <v>46024</v>
      </c>
      <c r="B1466" s="1" t="s">
        <v>7239</v>
      </c>
      <c r="C1466" s="1" t="s">
        <v>3958</v>
      </c>
      <c r="D1466" s="1" t="s">
        <v>2513</v>
      </c>
      <c r="E1466" s="1">
        <v>85254</v>
      </c>
      <c r="F1466" s="1" t="s">
        <v>6885</v>
      </c>
      <c r="G1466" s="130" t="s">
        <v>7261</v>
      </c>
      <c r="H1466" s="4" t="s">
        <v>1773</v>
      </c>
      <c r="I1466" s="5" t="s">
        <v>2451</v>
      </c>
      <c r="J1466" s="5" t="s">
        <v>24</v>
      </c>
      <c r="K1466" s="5" t="s">
        <v>24</v>
      </c>
      <c r="L1466" s="5" t="s">
        <v>75</v>
      </c>
      <c r="M1466" s="5" t="s">
        <v>24</v>
      </c>
      <c r="N1466" s="5" t="s">
        <v>24</v>
      </c>
      <c r="O1466" s="5" t="s">
        <v>75</v>
      </c>
      <c r="P1466" s="5" t="s">
        <v>2413</v>
      </c>
      <c r="Q1466" s="2">
        <v>46022</v>
      </c>
      <c r="R1466" s="1" t="s">
        <v>7271</v>
      </c>
      <c r="V1466" s="1">
        <f t="shared" si="22"/>
        <v>1</v>
      </c>
      <c r="W1466" s="1" t="s">
        <v>7275</v>
      </c>
    </row>
    <row r="1467" spans="1:24">
      <c r="A1467" s="2">
        <v>46024</v>
      </c>
      <c r="B1467" s="1" t="s">
        <v>4989</v>
      </c>
      <c r="C1467" s="1" t="s">
        <v>2875</v>
      </c>
      <c r="D1467" s="1" t="s">
        <v>2439</v>
      </c>
      <c r="E1467" s="1">
        <v>85023</v>
      </c>
      <c r="F1467" s="1" t="s">
        <v>6885</v>
      </c>
      <c r="G1467" s="130" t="s">
        <v>7261</v>
      </c>
      <c r="H1467" s="4" t="s">
        <v>1781</v>
      </c>
      <c r="I1467" s="5" t="s">
        <v>2412</v>
      </c>
      <c r="J1467" s="5" t="s">
        <v>75</v>
      </c>
      <c r="K1467" s="5" t="s">
        <v>24</v>
      </c>
      <c r="L1467" s="5" t="s">
        <v>75</v>
      </c>
      <c r="M1467" s="5" t="s">
        <v>24</v>
      </c>
      <c r="N1467" s="5" t="s">
        <v>24</v>
      </c>
      <c r="O1467" s="5" t="s">
        <v>75</v>
      </c>
      <c r="P1467" s="5" t="s">
        <v>2413</v>
      </c>
      <c r="Q1467" s="2">
        <v>46027</v>
      </c>
      <c r="V1467" s="1">
        <f t="shared" si="22"/>
        <v>1</v>
      </c>
      <c r="W1467" s="1" t="s">
        <v>7276</v>
      </c>
    </row>
    <row r="1468" spans="1:24">
      <c r="A1468" s="2">
        <v>46024</v>
      </c>
      <c r="B1468" s="1" t="s">
        <v>7244</v>
      </c>
      <c r="C1468" s="1" t="s">
        <v>7245</v>
      </c>
      <c r="D1468" s="1" t="s">
        <v>2398</v>
      </c>
      <c r="E1468" s="1">
        <v>85301</v>
      </c>
      <c r="F1468" s="1" t="s">
        <v>6885</v>
      </c>
      <c r="G1468" s="130" t="s">
        <v>7261</v>
      </c>
      <c r="H1468" s="4" t="s">
        <v>2401</v>
      </c>
      <c r="R1468" s="1" t="s">
        <v>7271</v>
      </c>
      <c r="V1468" s="1">
        <f t="shared" si="22"/>
        <v>1</v>
      </c>
      <c r="W1468" s="1" t="s">
        <v>7277</v>
      </c>
    </row>
    <row r="1469" spans="1:24">
      <c r="A1469" s="2">
        <v>46024</v>
      </c>
      <c r="B1469" s="1" t="s">
        <v>7278</v>
      </c>
      <c r="C1469" s="1" t="s">
        <v>7279</v>
      </c>
      <c r="D1469" s="1" t="s">
        <v>7273</v>
      </c>
      <c r="E1469" s="1">
        <v>85037</v>
      </c>
      <c r="F1469" s="1" t="s">
        <v>6885</v>
      </c>
      <c r="G1469" s="130" t="s">
        <v>7261</v>
      </c>
      <c r="H1469" s="4" t="s">
        <v>2401</v>
      </c>
      <c r="V1469" s="1">
        <f t="shared" si="22"/>
        <v>1</v>
      </c>
      <c r="W1469" s="1" t="s">
        <v>7280</v>
      </c>
    </row>
    <row r="1470" spans="1:24">
      <c r="A1470" s="2">
        <v>46024</v>
      </c>
      <c r="B1470" s="1" t="s">
        <v>2683</v>
      </c>
      <c r="C1470" s="1" t="s">
        <v>7281</v>
      </c>
      <c r="D1470" s="1" t="s">
        <v>2398</v>
      </c>
      <c r="E1470" s="1">
        <v>85301</v>
      </c>
      <c r="F1470" s="1" t="s">
        <v>6885</v>
      </c>
      <c r="G1470" s="130" t="s">
        <v>7261</v>
      </c>
      <c r="H1470" s="4" t="s">
        <v>2401</v>
      </c>
      <c r="V1470" s="1">
        <f t="shared" si="22"/>
        <v>1</v>
      </c>
      <c r="W1470" s="1" t="s">
        <v>7282</v>
      </c>
    </row>
    <row r="1471" spans="1:24">
      <c r="A1471" s="2">
        <v>46024</v>
      </c>
      <c r="B1471" s="1" t="s">
        <v>4972</v>
      </c>
      <c r="C1471" s="1" t="s">
        <v>7283</v>
      </c>
      <c r="D1471" s="1" t="s">
        <v>7284</v>
      </c>
      <c r="E1471" s="1">
        <v>85143</v>
      </c>
      <c r="F1471" s="1" t="s">
        <v>6885</v>
      </c>
      <c r="G1471" s="130" t="s">
        <v>7261</v>
      </c>
      <c r="H1471" s="4" t="s">
        <v>2401</v>
      </c>
      <c r="V1471" s="1">
        <f t="shared" si="22"/>
        <v>1</v>
      </c>
      <c r="W1471" s="1" t="s">
        <v>7285</v>
      </c>
    </row>
    <row r="1472" spans="1:24">
      <c r="A1472" s="2">
        <v>46024</v>
      </c>
      <c r="B1472" s="1" t="s">
        <v>7286</v>
      </c>
      <c r="C1472" s="1" t="s">
        <v>3117</v>
      </c>
      <c r="D1472" s="1" t="s">
        <v>2439</v>
      </c>
      <c r="E1472" s="1">
        <v>85053</v>
      </c>
      <c r="F1472" s="1" t="s">
        <v>6885</v>
      </c>
      <c r="G1472" s="130" t="s">
        <v>7261</v>
      </c>
      <c r="H1472" s="4" t="s">
        <v>1783</v>
      </c>
      <c r="I1472" s="5" t="s">
        <v>2988</v>
      </c>
      <c r="J1472" s="5" t="s">
        <v>24</v>
      </c>
      <c r="K1472" s="5" t="s">
        <v>24</v>
      </c>
      <c r="L1472" s="5" t="s">
        <v>7158</v>
      </c>
      <c r="M1472" s="5" t="s">
        <v>24</v>
      </c>
      <c r="N1472" s="5" t="s">
        <v>24</v>
      </c>
      <c r="O1472" s="5" t="s">
        <v>75</v>
      </c>
      <c r="P1472" s="5" t="s">
        <v>2413</v>
      </c>
      <c r="Q1472" s="2">
        <v>46027</v>
      </c>
      <c r="V1472" s="1">
        <f t="shared" si="22"/>
        <v>1</v>
      </c>
      <c r="W1472" s="1" t="s">
        <v>7287</v>
      </c>
    </row>
    <row r="1473" spans="1:24">
      <c r="A1473" s="2">
        <v>46024</v>
      </c>
      <c r="B1473" s="1" t="s">
        <v>4080</v>
      </c>
      <c r="C1473" s="1" t="s">
        <v>2784</v>
      </c>
      <c r="D1473" s="1" t="s">
        <v>2439</v>
      </c>
      <c r="E1473" s="1">
        <v>85027</v>
      </c>
      <c r="F1473" s="1" t="s">
        <v>6885</v>
      </c>
      <c r="G1473" s="130" t="s">
        <v>7261</v>
      </c>
      <c r="H1473" s="4" t="s">
        <v>135</v>
      </c>
      <c r="I1473" s="5" t="s">
        <v>2597</v>
      </c>
      <c r="J1473" s="5" t="s">
        <v>24</v>
      </c>
      <c r="K1473" s="5" t="s">
        <v>24</v>
      </c>
      <c r="L1473" s="5" t="s">
        <v>7288</v>
      </c>
      <c r="M1473" s="5" t="s">
        <v>24</v>
      </c>
      <c r="N1473" s="5" t="s">
        <v>24</v>
      </c>
      <c r="O1473" s="5" t="s">
        <v>75</v>
      </c>
      <c r="P1473" s="5" t="s">
        <v>2413</v>
      </c>
      <c r="Q1473" s="2">
        <v>46027</v>
      </c>
      <c r="V1473" s="1">
        <f t="shared" si="22"/>
        <v>1</v>
      </c>
      <c r="W1473" s="1" t="s">
        <v>7289</v>
      </c>
    </row>
    <row r="1474" spans="1:24">
      <c r="A1474" s="2">
        <v>46024</v>
      </c>
      <c r="B1474" s="1" t="s">
        <v>7290</v>
      </c>
      <c r="C1474" s="1" t="s">
        <v>7291</v>
      </c>
      <c r="D1474" s="1" t="s">
        <v>3073</v>
      </c>
      <c r="E1474" s="1">
        <v>85365</v>
      </c>
      <c r="F1474" s="1" t="s">
        <v>6885</v>
      </c>
      <c r="G1474" s="130" t="s">
        <v>7261</v>
      </c>
      <c r="H1474" s="4" t="s">
        <v>73</v>
      </c>
      <c r="I1474" s="5" t="s">
        <v>2988</v>
      </c>
      <c r="J1474" s="5" t="s">
        <v>75</v>
      </c>
      <c r="K1474" s="5" t="s">
        <v>24</v>
      </c>
      <c r="L1474" s="5" t="s">
        <v>7292</v>
      </c>
      <c r="M1474" s="5" t="s">
        <v>75</v>
      </c>
      <c r="N1474" s="13">
        <v>310</v>
      </c>
      <c r="O1474" s="5" t="s">
        <v>75</v>
      </c>
      <c r="P1474" s="5" t="s">
        <v>2413</v>
      </c>
      <c r="Q1474" s="2">
        <v>46028</v>
      </c>
      <c r="R1474" s="1" t="s">
        <v>7293</v>
      </c>
      <c r="V1474" s="1">
        <f t="shared" ref="V1474:V1537" si="23">IF(OR(ISNUMBER(SEARCH("unable to locate acct",G1474)),ISNUMBER(SEARCH("unknown",G1474)),ISNUMBER(SEARCH("inactive",G1474)),H1474=""),0,1)</f>
        <v>1</v>
      </c>
      <c r="W1474" s="1" t="s">
        <v>7294</v>
      </c>
    </row>
    <row r="1475" spans="1:24">
      <c r="A1475" s="2">
        <v>46024</v>
      </c>
      <c r="B1475" s="1" t="s">
        <v>2796</v>
      </c>
      <c r="C1475" s="1" t="s">
        <v>5582</v>
      </c>
      <c r="D1475" s="1" t="s">
        <v>5252</v>
      </c>
      <c r="E1475" s="1">
        <v>85132</v>
      </c>
      <c r="F1475" s="1" t="s">
        <v>6885</v>
      </c>
      <c r="G1475" s="130" t="s">
        <v>7261</v>
      </c>
      <c r="H1475" s="4" t="s">
        <v>1785</v>
      </c>
      <c r="I1475" s="5" t="s">
        <v>4163</v>
      </c>
      <c r="J1475" s="5" t="s">
        <v>75</v>
      </c>
      <c r="K1475" s="5" t="s">
        <v>24</v>
      </c>
      <c r="L1475" s="5" t="s">
        <v>7158</v>
      </c>
      <c r="M1475" s="5" t="s">
        <v>24</v>
      </c>
      <c r="N1475" s="5" t="s">
        <v>24</v>
      </c>
      <c r="O1475" s="5" t="s">
        <v>75</v>
      </c>
      <c r="P1475" s="5" t="s">
        <v>2413</v>
      </c>
      <c r="Q1475" s="2">
        <v>46028</v>
      </c>
      <c r="V1475" s="1">
        <f t="shared" si="23"/>
        <v>1</v>
      </c>
      <c r="W1475" s="1" t="s">
        <v>7295</v>
      </c>
    </row>
    <row r="1476" spans="1:24">
      <c r="A1476" s="2">
        <v>46024</v>
      </c>
      <c r="B1476" s="1" t="s">
        <v>5454</v>
      </c>
      <c r="C1476" s="1" t="s">
        <v>5197</v>
      </c>
      <c r="D1476" s="1" t="s">
        <v>7296</v>
      </c>
      <c r="E1476" s="1">
        <v>86047</v>
      </c>
      <c r="F1476" s="1" t="s">
        <v>6885</v>
      </c>
      <c r="G1476" s="130" t="s">
        <v>7261</v>
      </c>
      <c r="H1476" s="4" t="s">
        <v>491</v>
      </c>
      <c r="I1476" s="5" t="s">
        <v>2514</v>
      </c>
      <c r="J1476" s="5" t="s">
        <v>75</v>
      </c>
      <c r="K1476" s="5" t="s">
        <v>24</v>
      </c>
      <c r="L1476" s="5" t="s">
        <v>7297</v>
      </c>
      <c r="M1476" s="5" t="s">
        <v>24</v>
      </c>
      <c r="N1476" s="5" t="s">
        <v>24</v>
      </c>
      <c r="O1476" s="5" t="s">
        <v>75</v>
      </c>
      <c r="Q1476" s="41">
        <v>46028</v>
      </c>
      <c r="V1476" s="1">
        <f t="shared" si="23"/>
        <v>1</v>
      </c>
      <c r="W1476" s="1" t="s">
        <v>7298</v>
      </c>
      <c r="X1476" s="32"/>
    </row>
    <row r="1477" spans="1:24">
      <c r="A1477" s="2">
        <v>46024</v>
      </c>
      <c r="B1477" s="1" t="s">
        <v>7299</v>
      </c>
      <c r="C1477" s="1" t="s">
        <v>6058</v>
      </c>
      <c r="D1477" s="1" t="s">
        <v>2439</v>
      </c>
      <c r="E1477" s="1">
        <v>85028</v>
      </c>
      <c r="F1477" s="1" t="s">
        <v>6885</v>
      </c>
      <c r="G1477" s="130" t="s">
        <v>7261</v>
      </c>
      <c r="H1477" s="4" t="s">
        <v>1787</v>
      </c>
      <c r="I1477" s="5" t="s">
        <v>2412</v>
      </c>
      <c r="J1477" s="5" t="s">
        <v>24</v>
      </c>
      <c r="K1477" s="5" t="s">
        <v>24</v>
      </c>
      <c r="L1477" s="5" t="s">
        <v>75</v>
      </c>
      <c r="M1477" s="5" t="s">
        <v>24</v>
      </c>
      <c r="N1477" s="5" t="s">
        <v>24</v>
      </c>
      <c r="O1477" s="5" t="s">
        <v>75</v>
      </c>
      <c r="P1477" s="5" t="s">
        <v>2413</v>
      </c>
      <c r="Q1477" s="2">
        <v>46028</v>
      </c>
      <c r="V1477" s="1">
        <f t="shared" si="23"/>
        <v>1</v>
      </c>
      <c r="W1477" s="1" t="s">
        <v>7300</v>
      </c>
    </row>
    <row r="1478" spans="1:24">
      <c r="A1478" s="2">
        <v>46024</v>
      </c>
      <c r="B1478" s="1" t="s">
        <v>6490</v>
      </c>
      <c r="C1478" s="1" t="s">
        <v>6491</v>
      </c>
      <c r="D1478" s="1" t="s">
        <v>2439</v>
      </c>
      <c r="E1478" s="1">
        <v>85028</v>
      </c>
      <c r="F1478" s="1" t="s">
        <v>6885</v>
      </c>
      <c r="G1478" s="130" t="s">
        <v>7261</v>
      </c>
      <c r="H1478" s="4" t="s">
        <v>1633</v>
      </c>
      <c r="I1478" s="5" t="s">
        <v>2848</v>
      </c>
      <c r="J1478" s="5" t="s">
        <v>24</v>
      </c>
      <c r="K1478" s="5" t="s">
        <v>24</v>
      </c>
      <c r="L1478" s="5" t="s">
        <v>7158</v>
      </c>
      <c r="M1478" s="5" t="s">
        <v>24</v>
      </c>
      <c r="N1478" s="5" t="s">
        <v>24</v>
      </c>
      <c r="O1478" s="5" t="s">
        <v>75</v>
      </c>
      <c r="P1478" s="5" t="s">
        <v>2413</v>
      </c>
      <c r="Q1478" s="2">
        <v>46028</v>
      </c>
      <c r="V1478" s="1">
        <f t="shared" si="23"/>
        <v>1</v>
      </c>
      <c r="W1478" s="1" t="s">
        <v>7301</v>
      </c>
    </row>
    <row r="1479" spans="1:24">
      <c r="A1479" s="2">
        <v>46024</v>
      </c>
      <c r="B1479" s="1" t="s">
        <v>2458</v>
      </c>
      <c r="C1479" s="1" t="s">
        <v>4812</v>
      </c>
      <c r="D1479" s="1" t="s">
        <v>3073</v>
      </c>
      <c r="E1479" s="1">
        <v>85365</v>
      </c>
      <c r="F1479" s="1" t="s">
        <v>6885</v>
      </c>
      <c r="G1479" s="130" t="s">
        <v>7261</v>
      </c>
      <c r="H1479" s="4" t="s">
        <v>2401</v>
      </c>
      <c r="V1479" s="1">
        <f t="shared" si="23"/>
        <v>1</v>
      </c>
      <c r="W1479" s="1" t="s">
        <v>7302</v>
      </c>
    </row>
    <row r="1480" spans="1:24">
      <c r="A1480" s="2">
        <v>46024</v>
      </c>
      <c r="B1480" s="1" t="s">
        <v>7303</v>
      </c>
      <c r="C1480" s="1" t="s">
        <v>7304</v>
      </c>
      <c r="D1480" s="1" t="s">
        <v>2445</v>
      </c>
      <c r="E1480" s="1">
        <v>85331</v>
      </c>
      <c r="F1480" s="1" t="s">
        <v>6885</v>
      </c>
      <c r="G1480" s="130" t="s">
        <v>7261</v>
      </c>
      <c r="H1480" s="4" t="s">
        <v>2401</v>
      </c>
      <c r="V1480" s="1">
        <f t="shared" si="23"/>
        <v>1</v>
      </c>
      <c r="W1480" s="1" t="s">
        <v>7305</v>
      </c>
    </row>
    <row r="1481" spans="1:24">
      <c r="A1481" s="2">
        <v>46024</v>
      </c>
      <c r="B1481" s="1" t="s">
        <v>7306</v>
      </c>
      <c r="C1481" s="1" t="s">
        <v>7307</v>
      </c>
      <c r="D1481" s="1" t="s">
        <v>2439</v>
      </c>
      <c r="E1481" s="1">
        <v>85044</v>
      </c>
      <c r="F1481" s="1" t="s">
        <v>6885</v>
      </c>
      <c r="G1481" s="130" t="s">
        <v>7261</v>
      </c>
      <c r="H1481" s="4" t="s">
        <v>2401</v>
      </c>
      <c r="V1481" s="1">
        <f t="shared" si="23"/>
        <v>1</v>
      </c>
      <c r="W1481" s="1" t="s">
        <v>7308</v>
      </c>
    </row>
    <row r="1482" spans="1:24">
      <c r="A1482" s="2">
        <v>46024</v>
      </c>
      <c r="B1482" s="1" t="s">
        <v>3725</v>
      </c>
      <c r="C1482" s="1" t="s">
        <v>2699</v>
      </c>
      <c r="D1482" s="1" t="s">
        <v>2950</v>
      </c>
      <c r="E1482" s="1">
        <v>86005</v>
      </c>
      <c r="F1482" s="1" t="s">
        <v>6885</v>
      </c>
      <c r="G1482" s="130" t="s">
        <v>7261</v>
      </c>
      <c r="H1482" s="4" t="s">
        <v>1789</v>
      </c>
      <c r="I1482" s="5" t="s">
        <v>2412</v>
      </c>
      <c r="J1482" s="5" t="s">
        <v>24</v>
      </c>
      <c r="K1482" s="5" t="s">
        <v>24</v>
      </c>
      <c r="L1482" s="5" t="s">
        <v>75</v>
      </c>
      <c r="M1482" s="5" t="s">
        <v>24</v>
      </c>
      <c r="N1482" s="5" t="s">
        <v>24</v>
      </c>
      <c r="O1482" s="5" t="s">
        <v>75</v>
      </c>
      <c r="P1482" s="5" t="s">
        <v>2413</v>
      </c>
      <c r="Q1482" s="2">
        <v>46028</v>
      </c>
      <c r="V1482" s="1">
        <f t="shared" si="23"/>
        <v>1</v>
      </c>
      <c r="W1482" s="1" t="s">
        <v>7309</v>
      </c>
    </row>
    <row r="1483" spans="1:24">
      <c r="A1483" s="2">
        <v>46024</v>
      </c>
      <c r="B1483" s="1" t="s">
        <v>7310</v>
      </c>
      <c r="C1483" s="1" t="s">
        <v>2706</v>
      </c>
      <c r="D1483" s="1" t="s">
        <v>2439</v>
      </c>
      <c r="E1483" s="1">
        <v>85013</v>
      </c>
      <c r="F1483" s="1" t="s">
        <v>6885</v>
      </c>
      <c r="G1483" s="130" t="s">
        <v>7261</v>
      </c>
      <c r="H1483" s="4" t="s">
        <v>2401</v>
      </c>
      <c r="V1483" s="1">
        <f t="shared" si="23"/>
        <v>1</v>
      </c>
      <c r="W1483" s="1" t="s">
        <v>7311</v>
      </c>
    </row>
    <row r="1484" spans="1:24">
      <c r="A1484" s="2">
        <v>46024</v>
      </c>
      <c r="B1484" s="1" t="s">
        <v>7312</v>
      </c>
      <c r="C1484" s="1" t="s">
        <v>2454</v>
      </c>
      <c r="D1484" s="1" t="s">
        <v>2439</v>
      </c>
      <c r="E1484" s="1">
        <v>85028</v>
      </c>
      <c r="F1484" s="1" t="s">
        <v>6885</v>
      </c>
      <c r="G1484" s="130" t="s">
        <v>7261</v>
      </c>
      <c r="H1484" s="4" t="s">
        <v>494</v>
      </c>
      <c r="I1484" s="5" t="s">
        <v>2432</v>
      </c>
      <c r="J1484" s="5" t="s">
        <v>24</v>
      </c>
      <c r="K1484" s="5" t="s">
        <v>24</v>
      </c>
      <c r="L1484" s="5" t="s">
        <v>7313</v>
      </c>
      <c r="M1484" s="5" t="s">
        <v>24</v>
      </c>
      <c r="N1484" s="5" t="s">
        <v>24</v>
      </c>
      <c r="O1484" s="5" t="s">
        <v>75</v>
      </c>
      <c r="Q1484" s="42"/>
      <c r="V1484" s="1">
        <f t="shared" si="23"/>
        <v>1</v>
      </c>
      <c r="W1484" s="1" t="s">
        <v>7314</v>
      </c>
      <c r="X1484" s="32"/>
    </row>
    <row r="1485" spans="1:24">
      <c r="A1485" s="2">
        <v>46027</v>
      </c>
      <c r="B1485" s="1" t="s">
        <v>7249</v>
      </c>
      <c r="C1485" s="1" t="s">
        <v>3331</v>
      </c>
      <c r="D1485" s="1" t="s">
        <v>2405</v>
      </c>
      <c r="E1485" s="1" t="s">
        <v>2405</v>
      </c>
      <c r="F1485" s="1" t="s">
        <v>6885</v>
      </c>
      <c r="G1485" s="39" t="s">
        <v>7315</v>
      </c>
      <c r="H1485" s="4" t="s">
        <v>2401</v>
      </c>
      <c r="V1485" s="1">
        <f t="shared" si="23"/>
        <v>1</v>
      </c>
      <c r="W1485" s="1" t="s">
        <v>7316</v>
      </c>
    </row>
    <row r="1486" spans="1:24">
      <c r="A1486" s="2">
        <v>46027</v>
      </c>
      <c r="B1486" s="1" t="s">
        <v>2573</v>
      </c>
      <c r="C1486" s="1" t="s">
        <v>2830</v>
      </c>
      <c r="D1486" s="1" t="s">
        <v>2405</v>
      </c>
      <c r="E1486" s="1" t="s">
        <v>2405</v>
      </c>
      <c r="F1486" s="1" t="s">
        <v>6885</v>
      </c>
      <c r="G1486" s="39" t="s">
        <v>7315</v>
      </c>
      <c r="H1486" s="4" t="s">
        <v>2401</v>
      </c>
      <c r="V1486" s="1">
        <f t="shared" si="23"/>
        <v>1</v>
      </c>
      <c r="W1486" s="1" t="s">
        <v>7317</v>
      </c>
    </row>
    <row r="1487" spans="1:24">
      <c r="A1487" s="2">
        <v>46027</v>
      </c>
      <c r="B1487" s="1" t="s">
        <v>7247</v>
      </c>
      <c r="C1487" s="1" t="s">
        <v>3996</v>
      </c>
      <c r="D1487" s="1" t="s">
        <v>2405</v>
      </c>
      <c r="E1487" s="1" t="s">
        <v>2405</v>
      </c>
      <c r="F1487" s="1" t="s">
        <v>6885</v>
      </c>
      <c r="G1487" s="39" t="s">
        <v>7315</v>
      </c>
      <c r="H1487" s="4" t="s">
        <v>2401</v>
      </c>
      <c r="V1487" s="1">
        <f t="shared" si="23"/>
        <v>1</v>
      </c>
      <c r="W1487" s="1" t="s">
        <v>7318</v>
      </c>
    </row>
    <row r="1488" spans="1:24">
      <c r="A1488" s="2">
        <v>46027</v>
      </c>
      <c r="B1488" s="1" t="s">
        <v>7319</v>
      </c>
      <c r="C1488" s="1" t="s">
        <v>7320</v>
      </c>
      <c r="D1488" s="1" t="s">
        <v>2605</v>
      </c>
      <c r="E1488" s="1">
        <v>85382</v>
      </c>
      <c r="F1488" s="1" t="s">
        <v>6885</v>
      </c>
      <c r="G1488" s="39" t="s">
        <v>7315</v>
      </c>
      <c r="H1488" s="4" t="s">
        <v>1791</v>
      </c>
      <c r="I1488" s="5" t="s">
        <v>2412</v>
      </c>
      <c r="J1488" s="5" t="s">
        <v>24</v>
      </c>
      <c r="K1488" s="5" t="s">
        <v>24</v>
      </c>
      <c r="L1488" s="5" t="s">
        <v>75</v>
      </c>
      <c r="M1488" s="5" t="s">
        <v>24</v>
      </c>
      <c r="N1488" s="5" t="s">
        <v>24</v>
      </c>
      <c r="O1488" s="5" t="s">
        <v>75</v>
      </c>
      <c r="P1488" s="5" t="s">
        <v>2413</v>
      </c>
      <c r="Q1488" s="2">
        <v>46028</v>
      </c>
      <c r="V1488" s="1">
        <f t="shared" si="23"/>
        <v>1</v>
      </c>
      <c r="W1488" s="1" t="s">
        <v>7321</v>
      </c>
    </row>
    <row r="1489" spans="1:24">
      <c r="A1489" s="2">
        <v>46027</v>
      </c>
      <c r="B1489" s="1" t="s">
        <v>7322</v>
      </c>
      <c r="C1489" s="1" t="s">
        <v>3666</v>
      </c>
      <c r="D1489" s="1" t="s">
        <v>2405</v>
      </c>
      <c r="E1489" s="1" t="s">
        <v>2405</v>
      </c>
      <c r="F1489" s="1" t="s">
        <v>6885</v>
      </c>
      <c r="G1489" s="39" t="s">
        <v>7315</v>
      </c>
      <c r="H1489" s="4" t="s">
        <v>2401</v>
      </c>
      <c r="V1489" s="1">
        <f t="shared" si="23"/>
        <v>1</v>
      </c>
      <c r="W1489" s="1" t="s">
        <v>7323</v>
      </c>
    </row>
    <row r="1490" spans="1:24">
      <c r="A1490" s="2">
        <v>46027</v>
      </c>
      <c r="B1490" s="1" t="s">
        <v>7324</v>
      </c>
      <c r="C1490" s="1" t="s">
        <v>6463</v>
      </c>
      <c r="D1490" s="1" t="s">
        <v>2439</v>
      </c>
      <c r="E1490" s="1">
        <v>85027</v>
      </c>
      <c r="F1490" s="1" t="s">
        <v>6885</v>
      </c>
      <c r="G1490" s="39" t="s">
        <v>7315</v>
      </c>
      <c r="H1490" s="4" t="s">
        <v>1793</v>
      </c>
      <c r="I1490" s="5" t="s">
        <v>2412</v>
      </c>
      <c r="J1490" s="5" t="s">
        <v>75</v>
      </c>
      <c r="K1490" s="5" t="s">
        <v>75</v>
      </c>
      <c r="L1490" s="5" t="s">
        <v>75</v>
      </c>
      <c r="M1490" s="5" t="s">
        <v>24</v>
      </c>
      <c r="N1490" s="5" t="s">
        <v>24</v>
      </c>
      <c r="O1490" s="5" t="s">
        <v>75</v>
      </c>
      <c r="V1490" s="1">
        <f t="shared" si="23"/>
        <v>1</v>
      </c>
      <c r="W1490" s="1" t="s">
        <v>7325</v>
      </c>
    </row>
    <row r="1491" spans="1:24">
      <c r="A1491" s="2">
        <v>46027</v>
      </c>
      <c r="B1491" s="1" t="s">
        <v>6525</v>
      </c>
      <c r="C1491" s="1" t="s">
        <v>2684</v>
      </c>
      <c r="D1491" s="1" t="s">
        <v>2405</v>
      </c>
      <c r="E1491" s="1" t="s">
        <v>2405</v>
      </c>
      <c r="F1491" s="1" t="s">
        <v>6885</v>
      </c>
      <c r="G1491" s="39" t="s">
        <v>7315</v>
      </c>
      <c r="H1491" s="4" t="s">
        <v>2401</v>
      </c>
      <c r="V1491" s="1">
        <f t="shared" si="23"/>
        <v>1</v>
      </c>
      <c r="W1491" s="1" t="s">
        <v>7326</v>
      </c>
    </row>
    <row r="1492" spans="1:24">
      <c r="A1492" s="2">
        <v>46027</v>
      </c>
      <c r="B1492" s="1" t="s">
        <v>7327</v>
      </c>
      <c r="C1492" s="1" t="s">
        <v>5582</v>
      </c>
      <c r="D1492" s="1" t="s">
        <v>2398</v>
      </c>
      <c r="E1492" s="1">
        <v>85306</v>
      </c>
      <c r="F1492" s="1" t="s">
        <v>6885</v>
      </c>
      <c r="G1492" s="39" t="s">
        <v>7315</v>
      </c>
      <c r="H1492" s="4" t="s">
        <v>1795</v>
      </c>
      <c r="I1492" s="5" t="s">
        <v>2412</v>
      </c>
      <c r="J1492" s="5" t="s">
        <v>24</v>
      </c>
      <c r="K1492" s="5" t="s">
        <v>24</v>
      </c>
      <c r="L1492" s="5" t="s">
        <v>75</v>
      </c>
      <c r="M1492" s="5" t="s">
        <v>24</v>
      </c>
      <c r="N1492" s="5" t="s">
        <v>24</v>
      </c>
      <c r="O1492" s="5" t="s">
        <v>75</v>
      </c>
      <c r="P1492" s="5" t="s">
        <v>2413</v>
      </c>
      <c r="Q1492" s="2">
        <v>46030</v>
      </c>
      <c r="V1492" s="1">
        <f t="shared" si="23"/>
        <v>1</v>
      </c>
      <c r="W1492" s="1" t="s">
        <v>7328</v>
      </c>
    </row>
    <row r="1493" spans="1:24">
      <c r="A1493" s="2">
        <v>46027</v>
      </c>
      <c r="B1493" s="1" t="s">
        <v>7329</v>
      </c>
      <c r="C1493" s="1" t="s">
        <v>4354</v>
      </c>
      <c r="D1493" s="1" t="s">
        <v>2439</v>
      </c>
      <c r="E1493" s="1">
        <v>85032</v>
      </c>
      <c r="F1493" s="1" t="s">
        <v>6885</v>
      </c>
      <c r="G1493" s="39" t="s">
        <v>7315</v>
      </c>
      <c r="H1493" s="4" t="s">
        <v>496</v>
      </c>
      <c r="I1493" s="5" t="s">
        <v>7064</v>
      </c>
      <c r="J1493" s="5" t="s">
        <v>24</v>
      </c>
      <c r="K1493" s="5" t="s">
        <v>24</v>
      </c>
      <c r="L1493" s="5" t="s">
        <v>7330</v>
      </c>
      <c r="M1493" s="5" t="s">
        <v>24</v>
      </c>
      <c r="N1493" s="5" t="s">
        <v>24</v>
      </c>
      <c r="O1493" s="5" t="s">
        <v>75</v>
      </c>
      <c r="Q1493" s="42"/>
      <c r="V1493" s="1">
        <f t="shared" si="23"/>
        <v>1</v>
      </c>
      <c r="W1493" s="1" t="s">
        <v>7331</v>
      </c>
      <c r="X1493" s="32"/>
    </row>
    <row r="1494" spans="1:24">
      <c r="A1494" s="2">
        <v>46027</v>
      </c>
      <c r="B1494" s="1" t="s">
        <v>7332</v>
      </c>
      <c r="C1494" s="1" t="s">
        <v>4577</v>
      </c>
      <c r="D1494" s="1" t="s">
        <v>2439</v>
      </c>
      <c r="E1494" s="1">
        <v>85027</v>
      </c>
      <c r="F1494" s="1" t="s">
        <v>6885</v>
      </c>
      <c r="G1494" s="39" t="s">
        <v>7315</v>
      </c>
      <c r="H1494" s="4" t="s">
        <v>1797</v>
      </c>
      <c r="I1494" s="5" t="s">
        <v>2412</v>
      </c>
      <c r="J1494" s="5" t="s">
        <v>24</v>
      </c>
      <c r="K1494" s="5" t="s">
        <v>24</v>
      </c>
      <c r="L1494" s="5" t="s">
        <v>75</v>
      </c>
      <c r="M1494" s="5" t="s">
        <v>24</v>
      </c>
      <c r="N1494" s="5" t="s">
        <v>24</v>
      </c>
      <c r="O1494" s="5" t="s">
        <v>75</v>
      </c>
      <c r="P1494" s="5" t="s">
        <v>2413</v>
      </c>
      <c r="Q1494" s="2">
        <v>46030</v>
      </c>
      <c r="V1494" s="1">
        <f t="shared" si="23"/>
        <v>1</v>
      </c>
      <c r="W1494" s="1" t="s">
        <v>7333</v>
      </c>
    </row>
    <row r="1495" spans="1:24">
      <c r="A1495" s="2">
        <v>46027</v>
      </c>
      <c r="B1495" s="1" t="s">
        <v>7334</v>
      </c>
      <c r="C1495" s="1" t="s">
        <v>4637</v>
      </c>
      <c r="D1495" s="1" t="s">
        <v>2439</v>
      </c>
      <c r="E1495" s="1">
        <v>85022</v>
      </c>
      <c r="F1495" s="1" t="s">
        <v>7335</v>
      </c>
      <c r="G1495" s="39" t="s">
        <v>7315</v>
      </c>
      <c r="H1495" s="4" t="s">
        <v>1799</v>
      </c>
      <c r="I1495" s="5" t="s">
        <v>2451</v>
      </c>
      <c r="J1495" s="5" t="s">
        <v>75</v>
      </c>
      <c r="K1495" s="5" t="s">
        <v>24</v>
      </c>
      <c r="L1495" s="5" t="s">
        <v>75</v>
      </c>
      <c r="M1495" s="5" t="s">
        <v>24</v>
      </c>
      <c r="N1495" s="5" t="s">
        <v>24</v>
      </c>
      <c r="O1495" s="5" t="s">
        <v>75</v>
      </c>
      <c r="P1495" s="5" t="s">
        <v>2413</v>
      </c>
      <c r="Q1495" s="2">
        <v>46030</v>
      </c>
      <c r="V1495" s="1">
        <f t="shared" si="23"/>
        <v>1</v>
      </c>
      <c r="W1495" s="1" t="s">
        <v>7336</v>
      </c>
    </row>
    <row r="1496" spans="1:24">
      <c r="A1496" s="2">
        <v>46027</v>
      </c>
      <c r="B1496" s="1" t="s">
        <v>7337</v>
      </c>
      <c r="C1496" s="1" t="s">
        <v>7338</v>
      </c>
      <c r="D1496" s="1" t="s">
        <v>2564</v>
      </c>
      <c r="E1496" s="1">
        <v>85395</v>
      </c>
      <c r="F1496" s="1" t="s">
        <v>7339</v>
      </c>
      <c r="G1496" s="39" t="s">
        <v>7315</v>
      </c>
      <c r="H1496" s="4" t="s">
        <v>1801</v>
      </c>
      <c r="I1496" s="5" t="s">
        <v>7340</v>
      </c>
      <c r="J1496" s="5" t="s">
        <v>24</v>
      </c>
      <c r="K1496" s="5" t="s">
        <v>24</v>
      </c>
      <c r="L1496" s="5" t="s">
        <v>7158</v>
      </c>
      <c r="M1496" s="5" t="s">
        <v>24</v>
      </c>
      <c r="N1496" s="5" t="s">
        <v>24</v>
      </c>
      <c r="O1496" s="5" t="s">
        <v>75</v>
      </c>
      <c r="P1496" s="5" t="s">
        <v>2413</v>
      </c>
      <c r="Q1496" s="2">
        <v>46030</v>
      </c>
      <c r="V1496" s="1">
        <f t="shared" si="23"/>
        <v>1</v>
      </c>
      <c r="W1496" s="1" t="s">
        <v>7341</v>
      </c>
    </row>
    <row r="1497" spans="1:24">
      <c r="A1497" s="2">
        <v>46028</v>
      </c>
      <c r="B1497" s="1" t="s">
        <v>7342</v>
      </c>
      <c r="C1497" s="1" t="s">
        <v>7343</v>
      </c>
      <c r="D1497" s="1" t="s">
        <v>2470</v>
      </c>
      <c r="E1497" s="1">
        <v>86351</v>
      </c>
      <c r="F1497" s="1" t="s">
        <v>7344</v>
      </c>
      <c r="G1497" s="39" t="s">
        <v>7345</v>
      </c>
      <c r="H1497" s="4" t="s">
        <v>1803</v>
      </c>
      <c r="I1497" s="5" t="s">
        <v>7340</v>
      </c>
      <c r="J1497" s="5" t="s">
        <v>24</v>
      </c>
      <c r="K1497" s="5" t="s">
        <v>24</v>
      </c>
      <c r="L1497" s="5" t="s">
        <v>7158</v>
      </c>
      <c r="M1497" s="5" t="s">
        <v>24</v>
      </c>
      <c r="N1497" s="5" t="s">
        <v>24</v>
      </c>
      <c r="O1497" s="5" t="s">
        <v>75</v>
      </c>
      <c r="P1497" s="5" t="s">
        <v>2413</v>
      </c>
      <c r="Q1497" s="2">
        <v>46030</v>
      </c>
      <c r="V1497" s="1">
        <f t="shared" si="23"/>
        <v>1</v>
      </c>
      <c r="W1497" s="1" t="s">
        <v>7346</v>
      </c>
    </row>
    <row r="1498" spans="1:24">
      <c r="A1498" s="2">
        <v>46028</v>
      </c>
      <c r="B1498" s="1" t="s">
        <v>7347</v>
      </c>
      <c r="C1498" s="1" t="s">
        <v>7348</v>
      </c>
      <c r="D1498" s="1" t="s">
        <v>2605</v>
      </c>
      <c r="E1498" s="1">
        <v>85282</v>
      </c>
      <c r="F1498" s="1" t="s">
        <v>7349</v>
      </c>
      <c r="G1498" s="39" t="s">
        <v>7345</v>
      </c>
      <c r="H1498" s="4" t="s">
        <v>2401</v>
      </c>
      <c r="V1498" s="1">
        <f t="shared" si="23"/>
        <v>1</v>
      </c>
      <c r="W1498" s="1" t="s">
        <v>7350</v>
      </c>
    </row>
    <row r="1499" spans="1:24">
      <c r="A1499" s="2">
        <v>46028</v>
      </c>
      <c r="B1499" s="1" t="s">
        <v>7351</v>
      </c>
      <c r="C1499" s="1" t="s">
        <v>3139</v>
      </c>
      <c r="D1499" s="1" t="s">
        <v>3211</v>
      </c>
      <c r="E1499" s="1">
        <v>86326</v>
      </c>
      <c r="F1499" s="1" t="s">
        <v>7352</v>
      </c>
      <c r="G1499" s="39" t="s">
        <v>7345</v>
      </c>
      <c r="H1499" s="4" t="s">
        <v>1805</v>
      </c>
      <c r="I1499" s="5" t="s">
        <v>2451</v>
      </c>
      <c r="J1499" s="5" t="s">
        <v>24</v>
      </c>
      <c r="K1499" s="5" t="s">
        <v>24</v>
      </c>
      <c r="L1499" s="5" t="s">
        <v>75</v>
      </c>
      <c r="M1499" s="5" t="s">
        <v>24</v>
      </c>
      <c r="N1499" s="5" t="s">
        <v>24</v>
      </c>
      <c r="O1499" s="5" t="s">
        <v>75</v>
      </c>
      <c r="P1499" s="5" t="s">
        <v>2413</v>
      </c>
      <c r="Q1499" s="2">
        <v>46030</v>
      </c>
      <c r="V1499" s="1">
        <f t="shared" si="23"/>
        <v>1</v>
      </c>
      <c r="W1499" s="1" t="s">
        <v>7353</v>
      </c>
    </row>
    <row r="1500" spans="1:24">
      <c r="A1500" s="2">
        <v>46028</v>
      </c>
      <c r="B1500" s="1" t="s">
        <v>6658</v>
      </c>
      <c r="C1500" s="1" t="s">
        <v>7235</v>
      </c>
      <c r="D1500" s="1" t="s">
        <v>2605</v>
      </c>
      <c r="E1500" s="1">
        <v>85354</v>
      </c>
      <c r="F1500" s="1" t="s">
        <v>7354</v>
      </c>
      <c r="G1500" s="39" t="s">
        <v>7355</v>
      </c>
      <c r="H1500" s="4" t="s">
        <v>1771</v>
      </c>
      <c r="I1500" s="5" t="s">
        <v>2412</v>
      </c>
      <c r="J1500" s="5" t="s">
        <v>24</v>
      </c>
      <c r="K1500" s="5" t="s">
        <v>24</v>
      </c>
      <c r="L1500" s="5" t="s">
        <v>75</v>
      </c>
      <c r="M1500" s="5" t="s">
        <v>24</v>
      </c>
      <c r="N1500" s="5" t="s">
        <v>24</v>
      </c>
      <c r="O1500" s="5" t="s">
        <v>75</v>
      </c>
      <c r="P1500" s="5" t="s">
        <v>2413</v>
      </c>
      <c r="Q1500" s="2">
        <v>46030</v>
      </c>
      <c r="V1500" s="1">
        <f t="shared" si="23"/>
        <v>1</v>
      </c>
      <c r="W1500" s="1" t="s">
        <v>7356</v>
      </c>
    </row>
    <row r="1501" spans="1:24">
      <c r="A1501" s="2">
        <v>46028</v>
      </c>
      <c r="B1501" s="1" t="s">
        <v>7357</v>
      </c>
      <c r="C1501" s="1" t="s">
        <v>7358</v>
      </c>
      <c r="D1501" s="1" t="s">
        <v>2475</v>
      </c>
      <c r="E1501" s="1">
        <v>85373</v>
      </c>
      <c r="F1501" s="1" t="s">
        <v>7359</v>
      </c>
      <c r="G1501" s="39" t="s">
        <v>7355</v>
      </c>
      <c r="H1501" s="4" t="s">
        <v>1808</v>
      </c>
      <c r="I1501" s="5" t="s">
        <v>2597</v>
      </c>
      <c r="J1501" s="5" t="s">
        <v>24</v>
      </c>
      <c r="K1501" s="5" t="s">
        <v>24</v>
      </c>
      <c r="L1501" s="5" t="s">
        <v>75</v>
      </c>
      <c r="M1501" s="5" t="s">
        <v>24</v>
      </c>
      <c r="N1501" s="5" t="s">
        <v>24</v>
      </c>
      <c r="O1501" s="5" t="s">
        <v>75</v>
      </c>
      <c r="P1501" s="5" t="s">
        <v>2413</v>
      </c>
      <c r="Q1501" s="2">
        <v>46030</v>
      </c>
      <c r="V1501" s="1">
        <f t="shared" si="23"/>
        <v>1</v>
      </c>
      <c r="W1501" s="131" t="s">
        <v>7360</v>
      </c>
    </row>
    <row r="1502" spans="1:24">
      <c r="A1502" s="2">
        <v>46028</v>
      </c>
      <c r="B1502" s="1" t="s">
        <v>7361</v>
      </c>
      <c r="C1502" s="1" t="s">
        <v>7362</v>
      </c>
      <c r="D1502" s="1" t="s">
        <v>2405</v>
      </c>
      <c r="E1502" s="1" t="s">
        <v>2405</v>
      </c>
      <c r="F1502" s="1" t="s">
        <v>7363</v>
      </c>
      <c r="G1502" s="39" t="s">
        <v>7355</v>
      </c>
      <c r="H1502" s="4" t="s">
        <v>2401</v>
      </c>
      <c r="V1502" s="1">
        <f t="shared" si="23"/>
        <v>1</v>
      </c>
      <c r="W1502" s="131" t="s">
        <v>7364</v>
      </c>
    </row>
    <row r="1503" spans="1:24">
      <c r="A1503" s="2">
        <v>46029</v>
      </c>
      <c r="B1503" s="1" t="s">
        <v>7365</v>
      </c>
      <c r="C1503" s="1" t="s">
        <v>7366</v>
      </c>
      <c r="D1503" s="1" t="s">
        <v>2405</v>
      </c>
      <c r="E1503" s="1" t="s">
        <v>2405</v>
      </c>
      <c r="F1503" s="1" t="s">
        <v>6885</v>
      </c>
      <c r="G1503" s="39" t="s">
        <v>7367</v>
      </c>
      <c r="H1503" s="4" t="s">
        <v>2401</v>
      </c>
      <c r="R1503" s="1" t="s">
        <v>7368</v>
      </c>
      <c r="V1503" s="1">
        <f t="shared" si="23"/>
        <v>1</v>
      </c>
      <c r="W1503" s="1" t="s">
        <v>7369</v>
      </c>
    </row>
    <row r="1504" spans="1:24">
      <c r="A1504" s="2">
        <v>46031</v>
      </c>
      <c r="B1504" s="1" t="s">
        <v>7370</v>
      </c>
      <c r="C1504" s="1" t="s">
        <v>2726</v>
      </c>
      <c r="D1504" s="1" t="s">
        <v>2439</v>
      </c>
      <c r="E1504" s="1">
        <v>85029</v>
      </c>
      <c r="F1504" s="1" t="s">
        <v>7371</v>
      </c>
      <c r="G1504" s="39" t="s">
        <v>7372</v>
      </c>
      <c r="H1504" s="4" t="s">
        <v>1810</v>
      </c>
      <c r="I1504" s="5" t="s">
        <v>2412</v>
      </c>
      <c r="J1504" s="5" t="s">
        <v>24</v>
      </c>
      <c r="K1504" s="5" t="s">
        <v>24</v>
      </c>
      <c r="L1504" s="5" t="s">
        <v>75</v>
      </c>
      <c r="M1504" s="5" t="s">
        <v>24</v>
      </c>
      <c r="N1504" s="5" t="s">
        <v>24</v>
      </c>
      <c r="O1504" s="5" t="s">
        <v>75</v>
      </c>
      <c r="Q1504" s="41">
        <v>46034</v>
      </c>
      <c r="R1504" s="1" t="s">
        <v>7373</v>
      </c>
      <c r="V1504" s="1">
        <f t="shared" si="23"/>
        <v>1</v>
      </c>
      <c r="W1504" s="1" t="s">
        <v>7374</v>
      </c>
      <c r="X1504" s="32"/>
    </row>
    <row r="1505" spans="1:23">
      <c r="A1505" s="2">
        <v>46035</v>
      </c>
      <c r="B1505" s="1" t="s">
        <v>5896</v>
      </c>
      <c r="C1505" s="1" t="s">
        <v>4215</v>
      </c>
      <c r="D1505" s="1" t="s">
        <v>3166</v>
      </c>
      <c r="E1505" s="1">
        <v>85375</v>
      </c>
      <c r="F1505" s="1" t="s">
        <v>7375</v>
      </c>
      <c r="G1505" s="39" t="s">
        <v>7376</v>
      </c>
      <c r="H1505" s="4" t="s">
        <v>373</v>
      </c>
      <c r="I1505" s="5" t="s">
        <v>2432</v>
      </c>
      <c r="J1505" s="5" t="s">
        <v>24</v>
      </c>
      <c r="K1505" s="5" t="s">
        <v>2533</v>
      </c>
      <c r="L1505" s="5" t="s">
        <v>7377</v>
      </c>
      <c r="M1505" s="5" t="s">
        <v>24</v>
      </c>
      <c r="N1505" s="5" t="s">
        <v>24</v>
      </c>
      <c r="O1505" s="5" t="s">
        <v>75</v>
      </c>
      <c r="P1505" s="5" t="s">
        <v>2413</v>
      </c>
      <c r="Q1505" s="2">
        <v>46036</v>
      </c>
      <c r="R1505" s="1" t="s">
        <v>7368</v>
      </c>
      <c r="V1505" s="1">
        <f t="shared" si="23"/>
        <v>1</v>
      </c>
      <c r="W1505" s="1" t="s">
        <v>7378</v>
      </c>
    </row>
    <row r="1506" spans="1:23">
      <c r="A1506" s="2">
        <v>46037</v>
      </c>
      <c r="B1506" s="1" t="s">
        <v>5690</v>
      </c>
      <c r="C1506" s="1" t="s">
        <v>7379</v>
      </c>
      <c r="D1506" s="1" t="s">
        <v>3303</v>
      </c>
      <c r="E1506" s="1">
        <v>86303</v>
      </c>
      <c r="F1506" s="1" t="s">
        <v>7380</v>
      </c>
      <c r="G1506" s="39" t="s">
        <v>7381</v>
      </c>
      <c r="H1506" s="4" t="s">
        <v>1812</v>
      </c>
      <c r="I1506" s="5" t="s">
        <v>2514</v>
      </c>
      <c r="J1506" s="5" t="s">
        <v>24</v>
      </c>
      <c r="K1506" s="5" t="s">
        <v>24</v>
      </c>
      <c r="L1506" s="5" t="s">
        <v>75</v>
      </c>
      <c r="M1506" s="5" t="s">
        <v>24</v>
      </c>
      <c r="N1506" s="5" t="s">
        <v>24</v>
      </c>
      <c r="O1506" s="5" t="s">
        <v>75</v>
      </c>
      <c r="P1506" s="5" t="s">
        <v>2413</v>
      </c>
      <c r="Q1506" s="33">
        <v>46044</v>
      </c>
      <c r="V1506" s="1">
        <f t="shared" si="23"/>
        <v>1</v>
      </c>
      <c r="W1506" s="1" t="s">
        <v>7382</v>
      </c>
    </row>
    <row r="1507" spans="1:23">
      <c r="A1507" s="2">
        <v>46037</v>
      </c>
      <c r="B1507" s="1" t="s">
        <v>7383</v>
      </c>
      <c r="C1507" s="1" t="s">
        <v>2878</v>
      </c>
      <c r="D1507" s="1" t="s">
        <v>2650</v>
      </c>
      <c r="E1507" s="1">
        <v>85340</v>
      </c>
      <c r="F1507" s="1" t="s">
        <v>7384</v>
      </c>
      <c r="G1507" s="39" t="s">
        <v>7381</v>
      </c>
      <c r="H1507" s="4" t="s">
        <v>1814</v>
      </c>
      <c r="I1507" s="5" t="s">
        <v>2412</v>
      </c>
      <c r="J1507" s="5" t="s">
        <v>24</v>
      </c>
      <c r="K1507" s="5" t="s">
        <v>24</v>
      </c>
      <c r="L1507" s="5" t="s">
        <v>75</v>
      </c>
      <c r="M1507" s="5" t="s">
        <v>24</v>
      </c>
      <c r="N1507" s="5" t="s">
        <v>24</v>
      </c>
      <c r="O1507" s="5" t="s">
        <v>75</v>
      </c>
      <c r="P1507" s="5" t="s">
        <v>2413</v>
      </c>
      <c r="Q1507" s="33">
        <v>46044</v>
      </c>
      <c r="V1507" s="1">
        <f t="shared" si="23"/>
        <v>1</v>
      </c>
      <c r="W1507" s="1" t="s">
        <v>7385</v>
      </c>
    </row>
    <row r="1508" spans="1:23">
      <c r="A1508" s="2">
        <v>46037</v>
      </c>
      <c r="B1508" s="1" t="s">
        <v>7386</v>
      </c>
      <c r="C1508" s="1" t="s">
        <v>7387</v>
      </c>
      <c r="D1508" s="1" t="s">
        <v>2570</v>
      </c>
      <c r="E1508" s="1">
        <v>85396</v>
      </c>
      <c r="F1508" s="1" t="s">
        <v>7388</v>
      </c>
      <c r="G1508" s="39" t="s">
        <v>7381</v>
      </c>
      <c r="H1508" s="4" t="s">
        <v>1816</v>
      </c>
      <c r="I1508" s="5" t="s">
        <v>2988</v>
      </c>
      <c r="J1508" s="5" t="s">
        <v>24</v>
      </c>
      <c r="K1508" s="5" t="s">
        <v>24</v>
      </c>
      <c r="L1508" s="5" t="s">
        <v>7158</v>
      </c>
      <c r="M1508" s="5" t="s">
        <v>24</v>
      </c>
      <c r="N1508" s="5" t="s">
        <v>24</v>
      </c>
      <c r="O1508" s="5" t="s">
        <v>75</v>
      </c>
      <c r="P1508" s="5" t="s">
        <v>2413</v>
      </c>
      <c r="Q1508" s="33">
        <v>46044</v>
      </c>
      <c r="V1508" s="1">
        <f t="shared" si="23"/>
        <v>1</v>
      </c>
      <c r="W1508" s="1" t="s">
        <v>7389</v>
      </c>
    </row>
    <row r="1509" spans="1:23">
      <c r="A1509" s="2">
        <v>46037</v>
      </c>
      <c r="B1509" s="1" t="s">
        <v>7390</v>
      </c>
      <c r="C1509" s="1" t="s">
        <v>3003</v>
      </c>
      <c r="D1509" s="1" t="s">
        <v>2605</v>
      </c>
      <c r="E1509" s="1">
        <v>85383</v>
      </c>
      <c r="F1509" s="1" t="s">
        <v>7391</v>
      </c>
      <c r="G1509" s="39" t="s">
        <v>7381</v>
      </c>
      <c r="H1509" s="4" t="s">
        <v>1818</v>
      </c>
      <c r="I1509" s="5" t="s">
        <v>4163</v>
      </c>
      <c r="J1509" s="5" t="s">
        <v>24</v>
      </c>
      <c r="K1509" s="5" t="s">
        <v>24</v>
      </c>
      <c r="L1509" s="5" t="s">
        <v>7158</v>
      </c>
      <c r="M1509" s="5" t="s">
        <v>24</v>
      </c>
      <c r="N1509" s="5" t="s">
        <v>24</v>
      </c>
      <c r="O1509" s="5" t="s">
        <v>75</v>
      </c>
      <c r="P1509" s="5" t="s">
        <v>2413</v>
      </c>
      <c r="Q1509" s="33">
        <v>46044</v>
      </c>
      <c r="V1509" s="1">
        <f t="shared" si="23"/>
        <v>1</v>
      </c>
      <c r="W1509" s="1" t="s">
        <v>7392</v>
      </c>
    </row>
    <row r="1510" spans="1:23">
      <c r="A1510" s="2">
        <v>46037</v>
      </c>
      <c r="B1510" s="1" t="s">
        <v>2635</v>
      </c>
      <c r="C1510" s="1" t="s">
        <v>5964</v>
      </c>
      <c r="D1510" s="1" t="s">
        <v>3211</v>
      </c>
      <c r="E1510" s="1">
        <v>86326</v>
      </c>
      <c r="F1510" s="1" t="s">
        <v>7393</v>
      </c>
      <c r="G1510" s="39" t="s">
        <v>7381</v>
      </c>
      <c r="H1510" s="4" t="s">
        <v>2401</v>
      </c>
      <c r="Q1510" s="18"/>
      <c r="V1510" s="1">
        <f t="shared" si="23"/>
        <v>1</v>
      </c>
      <c r="W1510" s="1" t="s">
        <v>7394</v>
      </c>
    </row>
    <row r="1511" spans="1:23">
      <c r="A1511" s="2">
        <v>46037</v>
      </c>
      <c r="B1511" s="1" t="s">
        <v>3309</v>
      </c>
      <c r="C1511" s="1" t="s">
        <v>2878</v>
      </c>
      <c r="D1511" s="1" t="s">
        <v>2564</v>
      </c>
      <c r="E1511" s="1">
        <v>85338</v>
      </c>
      <c r="F1511" s="1" t="s">
        <v>7395</v>
      </c>
      <c r="G1511" s="39" t="s">
        <v>7381</v>
      </c>
      <c r="H1511" s="4" t="s">
        <v>915</v>
      </c>
      <c r="I1511" s="5" t="s">
        <v>2659</v>
      </c>
      <c r="J1511" s="5" t="s">
        <v>24</v>
      </c>
      <c r="K1511" s="5" t="s">
        <v>24</v>
      </c>
      <c r="L1511" s="5" t="s">
        <v>75</v>
      </c>
      <c r="M1511" s="5" t="s">
        <v>24</v>
      </c>
      <c r="N1511" s="5" t="s">
        <v>24</v>
      </c>
      <c r="O1511" s="5" t="s">
        <v>75</v>
      </c>
      <c r="P1511" s="5" t="s">
        <v>2413</v>
      </c>
      <c r="Q1511" s="33">
        <v>46044</v>
      </c>
      <c r="V1511" s="1">
        <f t="shared" si="23"/>
        <v>1</v>
      </c>
      <c r="W1511" s="1" t="s">
        <v>7396</v>
      </c>
    </row>
    <row r="1512" spans="1:23">
      <c r="A1512" s="2">
        <v>46037</v>
      </c>
      <c r="B1512" s="1" t="s">
        <v>7397</v>
      </c>
      <c r="C1512" s="1" t="s">
        <v>4568</v>
      </c>
      <c r="D1512" s="1" t="s">
        <v>7398</v>
      </c>
      <c r="E1512" s="1">
        <v>86332</v>
      </c>
      <c r="F1512" s="1" t="s">
        <v>7399</v>
      </c>
      <c r="G1512" s="39" t="s">
        <v>7381</v>
      </c>
      <c r="H1512" s="4" t="s">
        <v>1821</v>
      </c>
      <c r="I1512" s="5" t="s">
        <v>2451</v>
      </c>
      <c r="J1512" s="5" t="s">
        <v>24</v>
      </c>
      <c r="K1512" s="5" t="s">
        <v>24</v>
      </c>
      <c r="L1512" s="5" t="s">
        <v>75</v>
      </c>
      <c r="M1512" s="5" t="s">
        <v>24</v>
      </c>
      <c r="N1512" s="5" t="s">
        <v>24</v>
      </c>
      <c r="O1512" s="5" t="s">
        <v>75</v>
      </c>
      <c r="P1512" s="5" t="s">
        <v>2413</v>
      </c>
      <c r="Q1512" s="33">
        <v>45679</v>
      </c>
      <c r="V1512" s="1">
        <f t="shared" si="23"/>
        <v>1</v>
      </c>
      <c r="W1512" s="1" t="s">
        <v>7400</v>
      </c>
    </row>
    <row r="1513" spans="1:23">
      <c r="A1513" s="2">
        <v>46037</v>
      </c>
      <c r="B1513" s="1" t="s">
        <v>7401</v>
      </c>
      <c r="C1513" s="1" t="s">
        <v>2656</v>
      </c>
      <c r="D1513" s="1" t="s">
        <v>2605</v>
      </c>
      <c r="E1513" s="1">
        <v>85383</v>
      </c>
      <c r="F1513" s="1" t="s">
        <v>7402</v>
      </c>
      <c r="G1513" s="39" t="s">
        <v>7381</v>
      </c>
      <c r="H1513" s="4" t="s">
        <v>1823</v>
      </c>
      <c r="I1513" s="5" t="s">
        <v>2420</v>
      </c>
      <c r="J1513" s="5" t="s">
        <v>24</v>
      </c>
      <c r="K1513" s="5" t="s">
        <v>24</v>
      </c>
      <c r="L1513" s="5" t="s">
        <v>75</v>
      </c>
      <c r="M1513" s="5" t="s">
        <v>24</v>
      </c>
      <c r="N1513" s="5" t="s">
        <v>24</v>
      </c>
      <c r="O1513" s="5" t="s">
        <v>75</v>
      </c>
      <c r="P1513" s="5" t="s">
        <v>2413</v>
      </c>
      <c r="Q1513" s="33">
        <v>45679</v>
      </c>
      <c r="V1513" s="1">
        <f t="shared" si="23"/>
        <v>1</v>
      </c>
      <c r="W1513" s="1" t="s">
        <v>7403</v>
      </c>
    </row>
    <row r="1514" spans="1:23">
      <c r="A1514" s="2">
        <v>46037</v>
      </c>
      <c r="B1514" s="1" t="s">
        <v>5308</v>
      </c>
      <c r="C1514" s="1" t="s">
        <v>4561</v>
      </c>
      <c r="D1514" s="1" t="s">
        <v>2498</v>
      </c>
      <c r="E1514" s="1">
        <v>85387</v>
      </c>
      <c r="F1514" s="1" t="s">
        <v>7404</v>
      </c>
      <c r="G1514" s="39" t="s">
        <v>7381</v>
      </c>
      <c r="H1514" s="4" t="s">
        <v>498</v>
      </c>
      <c r="I1514" s="5" t="s">
        <v>2514</v>
      </c>
      <c r="J1514" s="5" t="s">
        <v>24</v>
      </c>
      <c r="K1514" s="5" t="s">
        <v>24</v>
      </c>
      <c r="L1514" s="5" t="s">
        <v>7405</v>
      </c>
      <c r="M1514" s="5" t="s">
        <v>24</v>
      </c>
      <c r="N1514" s="5" t="s">
        <v>24</v>
      </c>
      <c r="O1514" s="5" t="s">
        <v>75</v>
      </c>
      <c r="P1514" s="5" t="s">
        <v>2413</v>
      </c>
      <c r="Q1514" s="33">
        <v>46044</v>
      </c>
      <c r="V1514" s="1">
        <f t="shared" si="23"/>
        <v>1</v>
      </c>
      <c r="W1514" s="1" t="s">
        <v>7406</v>
      </c>
    </row>
    <row r="1515" spans="1:23">
      <c r="A1515" s="2">
        <v>46037</v>
      </c>
      <c r="B1515" s="1" t="s">
        <v>7407</v>
      </c>
      <c r="C1515" s="1" t="s">
        <v>6253</v>
      </c>
      <c r="D1515" s="1" t="s">
        <v>2498</v>
      </c>
      <c r="E1515" s="1">
        <v>85387</v>
      </c>
      <c r="F1515" s="1" t="s">
        <v>7408</v>
      </c>
      <c r="G1515" s="39" t="s">
        <v>7381</v>
      </c>
      <c r="H1515" s="4" t="s">
        <v>1581</v>
      </c>
      <c r="I1515" s="5" t="s">
        <v>2412</v>
      </c>
      <c r="J1515" s="5" t="s">
        <v>24</v>
      </c>
      <c r="K1515" s="5" t="s">
        <v>24</v>
      </c>
      <c r="L1515" s="5" t="s">
        <v>75</v>
      </c>
      <c r="M1515" s="5" t="s">
        <v>24</v>
      </c>
      <c r="N1515" s="5" t="s">
        <v>24</v>
      </c>
      <c r="O1515" s="5" t="s">
        <v>75</v>
      </c>
      <c r="P1515" s="5" t="s">
        <v>2413</v>
      </c>
      <c r="Q1515" s="33">
        <v>46044</v>
      </c>
      <c r="V1515" s="1">
        <f t="shared" si="23"/>
        <v>1</v>
      </c>
      <c r="W1515" s="1" t="s">
        <v>7409</v>
      </c>
    </row>
    <row r="1516" spans="1:23">
      <c r="A1516" s="2">
        <v>46037</v>
      </c>
      <c r="B1516" s="1" t="s">
        <v>7410</v>
      </c>
      <c r="C1516" s="1" t="s">
        <v>2699</v>
      </c>
      <c r="D1516" s="1" t="s">
        <v>2605</v>
      </c>
      <c r="E1516" s="1">
        <v>85383</v>
      </c>
      <c r="F1516" s="1" t="s">
        <v>7411</v>
      </c>
      <c r="G1516" s="39" t="s">
        <v>7381</v>
      </c>
      <c r="H1516" s="4" t="s">
        <v>690</v>
      </c>
      <c r="I1516" s="5" t="s">
        <v>2412</v>
      </c>
      <c r="J1516" s="5" t="s">
        <v>24</v>
      </c>
      <c r="K1516" s="5" t="s">
        <v>24</v>
      </c>
      <c r="L1516" s="5" t="s">
        <v>75</v>
      </c>
      <c r="M1516" s="5" t="s">
        <v>75</v>
      </c>
      <c r="N1516" s="13">
        <v>811.15</v>
      </c>
      <c r="O1516" s="5" t="s">
        <v>75</v>
      </c>
      <c r="Q1516" s="41">
        <v>46044</v>
      </c>
      <c r="R1516" s="1" t="s">
        <v>7373</v>
      </c>
      <c r="V1516" s="1">
        <f t="shared" si="23"/>
        <v>1</v>
      </c>
      <c r="W1516" s="1" t="s">
        <v>7412</v>
      </c>
    </row>
    <row r="1517" spans="1:23">
      <c r="A1517" s="2">
        <v>46037</v>
      </c>
      <c r="B1517" s="1" t="s">
        <v>7413</v>
      </c>
      <c r="C1517" s="1" t="s">
        <v>3165</v>
      </c>
      <c r="D1517" s="1" t="s">
        <v>2439</v>
      </c>
      <c r="E1517" s="1">
        <v>85083</v>
      </c>
      <c r="F1517" s="1" t="s">
        <v>7414</v>
      </c>
      <c r="G1517" s="39" t="s">
        <v>7381</v>
      </c>
      <c r="H1517" s="4" t="s">
        <v>1826</v>
      </c>
      <c r="I1517" s="5" t="s">
        <v>2412</v>
      </c>
      <c r="J1517" s="5" t="s">
        <v>24</v>
      </c>
      <c r="K1517" s="5" t="s">
        <v>24</v>
      </c>
      <c r="L1517" s="5" t="s">
        <v>75</v>
      </c>
      <c r="M1517" s="5" t="s">
        <v>24</v>
      </c>
      <c r="N1517" s="5" t="s">
        <v>24</v>
      </c>
      <c r="O1517" s="5" t="s">
        <v>75</v>
      </c>
      <c r="P1517" s="5" t="s">
        <v>2413</v>
      </c>
      <c r="Q1517" s="33">
        <v>46044</v>
      </c>
      <c r="R1517" s="1" t="s">
        <v>7368</v>
      </c>
      <c r="V1517" s="1">
        <f t="shared" si="23"/>
        <v>1</v>
      </c>
      <c r="W1517" s="1" t="s">
        <v>7415</v>
      </c>
    </row>
    <row r="1518" spans="1:23">
      <c r="A1518" s="2">
        <v>46038</v>
      </c>
      <c r="B1518" s="1" t="s">
        <v>7416</v>
      </c>
      <c r="C1518" s="1" t="s">
        <v>2485</v>
      </c>
      <c r="D1518" s="1" t="s">
        <v>2498</v>
      </c>
      <c r="E1518" s="1">
        <v>85374</v>
      </c>
      <c r="F1518" s="1" t="s">
        <v>7417</v>
      </c>
      <c r="G1518" s="39" t="s">
        <v>7418</v>
      </c>
      <c r="H1518" s="4" t="s">
        <v>500</v>
      </c>
      <c r="I1518" s="5" t="s">
        <v>2597</v>
      </c>
      <c r="J1518" s="5" t="s">
        <v>24</v>
      </c>
      <c r="K1518" s="5" t="s">
        <v>24</v>
      </c>
      <c r="L1518" s="5" t="s">
        <v>7419</v>
      </c>
      <c r="M1518" s="5" t="s">
        <v>24</v>
      </c>
      <c r="N1518" s="5" t="s">
        <v>24</v>
      </c>
      <c r="O1518" s="5" t="s">
        <v>75</v>
      </c>
      <c r="Q1518" s="41">
        <v>46044</v>
      </c>
      <c r="R1518" s="1" t="s">
        <v>7066</v>
      </c>
      <c r="V1518" s="1">
        <f t="shared" si="23"/>
        <v>1</v>
      </c>
      <c r="W1518" s="1" t="s">
        <v>7420</v>
      </c>
    </row>
    <row r="1519" spans="1:23">
      <c r="A1519" s="2">
        <v>46038</v>
      </c>
      <c r="B1519" s="1" t="s">
        <v>7165</v>
      </c>
      <c r="C1519" s="1" t="s">
        <v>5652</v>
      </c>
      <c r="D1519" s="1" t="s">
        <v>2439</v>
      </c>
      <c r="E1519" s="1">
        <v>85028</v>
      </c>
      <c r="F1519" s="1" t="s">
        <v>7421</v>
      </c>
      <c r="G1519" s="39" t="s">
        <v>7418</v>
      </c>
      <c r="H1519" s="4" t="s">
        <v>502</v>
      </c>
      <c r="I1519" s="5" t="s">
        <v>2597</v>
      </c>
      <c r="J1519" s="5" t="s">
        <v>24</v>
      </c>
      <c r="K1519" s="5" t="s">
        <v>24</v>
      </c>
      <c r="L1519" s="5" t="s">
        <v>7422</v>
      </c>
      <c r="M1519" s="5" t="s">
        <v>24</v>
      </c>
      <c r="N1519" s="5" t="s">
        <v>24</v>
      </c>
      <c r="O1519" s="5" t="s">
        <v>75</v>
      </c>
      <c r="Q1519" s="41">
        <v>46044</v>
      </c>
      <c r="R1519" s="1" t="s">
        <v>7066</v>
      </c>
      <c r="V1519" s="1">
        <f t="shared" si="23"/>
        <v>1</v>
      </c>
      <c r="W1519" s="1" t="s">
        <v>7423</v>
      </c>
    </row>
    <row r="1520" spans="1:23">
      <c r="A1520" s="2">
        <v>46038</v>
      </c>
      <c r="B1520" s="1" t="s">
        <v>7278</v>
      </c>
      <c r="C1520" s="1" t="s">
        <v>4295</v>
      </c>
      <c r="D1520" s="1" t="s">
        <v>2513</v>
      </c>
      <c r="E1520" s="1">
        <v>85266</v>
      </c>
      <c r="F1520" s="1" t="s">
        <v>7424</v>
      </c>
      <c r="G1520" s="39" t="s">
        <v>7418</v>
      </c>
      <c r="H1520" s="4" t="s">
        <v>1828</v>
      </c>
      <c r="I1520" s="5" t="s">
        <v>2988</v>
      </c>
      <c r="J1520" s="5" t="s">
        <v>24</v>
      </c>
      <c r="K1520" s="5" t="s">
        <v>24</v>
      </c>
      <c r="L1520" s="5" t="s">
        <v>7158</v>
      </c>
      <c r="M1520" s="5" t="s">
        <v>24</v>
      </c>
      <c r="N1520" s="5" t="s">
        <v>24</v>
      </c>
      <c r="O1520" s="5" t="s">
        <v>75</v>
      </c>
      <c r="P1520" s="5" t="s">
        <v>2413</v>
      </c>
      <c r="Q1520" s="33">
        <v>46044</v>
      </c>
      <c r="R1520" s="1" t="s">
        <v>7425</v>
      </c>
      <c r="V1520" s="1">
        <f t="shared" si="23"/>
        <v>1</v>
      </c>
      <c r="W1520" s="1" t="s">
        <v>7426</v>
      </c>
    </row>
    <row r="1521" spans="1:23">
      <c r="A1521" s="2">
        <v>46038</v>
      </c>
      <c r="B1521" s="1" t="s">
        <v>7427</v>
      </c>
      <c r="C1521" s="1" t="s">
        <v>7428</v>
      </c>
      <c r="D1521" s="1" t="s">
        <v>2439</v>
      </c>
      <c r="E1521" s="1">
        <v>85020</v>
      </c>
      <c r="F1521" s="1" t="s">
        <v>7429</v>
      </c>
      <c r="G1521" s="39" t="s">
        <v>7418</v>
      </c>
      <c r="H1521" s="4" t="s">
        <v>2401</v>
      </c>
      <c r="Q1521" s="18"/>
      <c r="V1521" s="1">
        <f t="shared" si="23"/>
        <v>1</v>
      </c>
      <c r="W1521" s="131" t="s">
        <v>7430</v>
      </c>
    </row>
    <row r="1522" spans="1:23">
      <c r="A1522" s="2">
        <v>46038</v>
      </c>
      <c r="B1522" s="1" t="s">
        <v>5983</v>
      </c>
      <c r="C1522" s="1" t="s">
        <v>2997</v>
      </c>
      <c r="D1522" s="1" t="s">
        <v>2564</v>
      </c>
      <c r="E1522" s="1">
        <v>85338</v>
      </c>
      <c r="F1522" s="1" t="s">
        <v>7431</v>
      </c>
      <c r="G1522" s="39" t="s">
        <v>7418</v>
      </c>
      <c r="H1522" s="4" t="s">
        <v>1512</v>
      </c>
      <c r="I1522" s="5" t="s">
        <v>2659</v>
      </c>
      <c r="J1522" s="5" t="s">
        <v>24</v>
      </c>
      <c r="K1522" s="5" t="s">
        <v>24</v>
      </c>
      <c r="L1522" s="5" t="s">
        <v>75</v>
      </c>
      <c r="M1522" s="5" t="s">
        <v>24</v>
      </c>
      <c r="N1522" s="5" t="s">
        <v>24</v>
      </c>
      <c r="O1522" s="5" t="s">
        <v>75</v>
      </c>
      <c r="P1522" s="5" t="s">
        <v>2413</v>
      </c>
      <c r="Q1522" s="33">
        <v>46044</v>
      </c>
      <c r="V1522" s="1">
        <f t="shared" si="23"/>
        <v>1</v>
      </c>
      <c r="W1522" s="1" t="s">
        <v>7432</v>
      </c>
    </row>
    <row r="1523" spans="1:23">
      <c r="A1523" s="2">
        <v>46038</v>
      </c>
      <c r="B1523" s="1" t="s">
        <v>7433</v>
      </c>
      <c r="C1523" s="1" t="s">
        <v>3047</v>
      </c>
      <c r="D1523" s="1" t="s">
        <v>2513</v>
      </c>
      <c r="E1523" s="1">
        <v>85259</v>
      </c>
      <c r="F1523" s="1" t="s">
        <v>7434</v>
      </c>
      <c r="G1523" s="39" t="s">
        <v>7418</v>
      </c>
      <c r="H1523" s="4" t="s">
        <v>1831</v>
      </c>
      <c r="I1523" s="5" t="s">
        <v>2514</v>
      </c>
      <c r="J1523" s="5" t="s">
        <v>24</v>
      </c>
      <c r="K1523" s="5" t="s">
        <v>24</v>
      </c>
      <c r="L1523" s="5" t="s">
        <v>75</v>
      </c>
      <c r="M1523" s="5" t="s">
        <v>24</v>
      </c>
      <c r="N1523" s="5" t="s">
        <v>24</v>
      </c>
      <c r="O1523" s="5" t="s">
        <v>75</v>
      </c>
      <c r="P1523" s="5" t="s">
        <v>2413</v>
      </c>
      <c r="Q1523" s="33">
        <v>46044</v>
      </c>
      <c r="V1523" s="1">
        <f t="shared" si="23"/>
        <v>1</v>
      </c>
      <c r="W1523" s="1" t="s">
        <v>7435</v>
      </c>
    </row>
    <row r="1524" spans="1:23">
      <c r="A1524" s="2">
        <v>46038</v>
      </c>
      <c r="B1524" s="1" t="s">
        <v>7436</v>
      </c>
      <c r="C1524" s="1" t="s">
        <v>7437</v>
      </c>
      <c r="D1524" s="1" t="s">
        <v>3166</v>
      </c>
      <c r="E1524" s="1">
        <v>85375</v>
      </c>
      <c r="F1524" s="1" t="s">
        <v>7438</v>
      </c>
      <c r="G1524" s="39" t="s">
        <v>7418</v>
      </c>
      <c r="H1524" s="4" t="s">
        <v>1833</v>
      </c>
      <c r="I1524" s="5" t="s">
        <v>2988</v>
      </c>
      <c r="J1524" s="5" t="s">
        <v>24</v>
      </c>
      <c r="K1524" s="5" t="s">
        <v>24</v>
      </c>
      <c r="L1524" s="5" t="s">
        <v>7158</v>
      </c>
      <c r="M1524" s="5" t="s">
        <v>24</v>
      </c>
      <c r="N1524" s="5" t="s">
        <v>24</v>
      </c>
      <c r="O1524" s="5" t="s">
        <v>75</v>
      </c>
      <c r="P1524" s="5" t="s">
        <v>2413</v>
      </c>
      <c r="Q1524" s="33">
        <v>46044</v>
      </c>
      <c r="V1524" s="1">
        <f t="shared" si="23"/>
        <v>1</v>
      </c>
      <c r="W1524" s="1" t="s">
        <v>7439</v>
      </c>
    </row>
    <row r="1525" spans="1:23">
      <c r="A1525" s="2">
        <v>46042</v>
      </c>
      <c r="B1525" s="1" t="s">
        <v>7440</v>
      </c>
      <c r="C1525" s="1" t="s">
        <v>7441</v>
      </c>
      <c r="D1525" s="1" t="s">
        <v>2439</v>
      </c>
      <c r="E1525" s="1">
        <v>85050</v>
      </c>
      <c r="F1525" s="1" t="s">
        <v>7442</v>
      </c>
      <c r="G1525" s="39" t="s">
        <v>7443</v>
      </c>
      <c r="H1525" s="4" t="s">
        <v>2471</v>
      </c>
      <c r="Q1525" s="18"/>
      <c r="V1525" s="1">
        <f t="shared" si="23"/>
        <v>1</v>
      </c>
      <c r="W1525" s="1" t="s">
        <v>7444</v>
      </c>
    </row>
    <row r="1526" spans="1:23">
      <c r="A1526" s="2">
        <v>46042</v>
      </c>
      <c r="B1526" s="1" t="s">
        <v>7445</v>
      </c>
      <c r="C1526" s="1" t="s">
        <v>2699</v>
      </c>
      <c r="D1526" s="1" t="s">
        <v>2439</v>
      </c>
      <c r="E1526" s="1">
        <v>85032</v>
      </c>
      <c r="F1526" s="1" t="s">
        <v>7446</v>
      </c>
      <c r="G1526" s="39" t="s">
        <v>7443</v>
      </c>
      <c r="H1526" s="4" t="s">
        <v>1835</v>
      </c>
      <c r="I1526" s="5" t="s">
        <v>2420</v>
      </c>
      <c r="J1526" s="5" t="s">
        <v>24</v>
      </c>
      <c r="K1526" s="5" t="s">
        <v>24</v>
      </c>
      <c r="L1526" s="5" t="s">
        <v>75</v>
      </c>
      <c r="M1526" s="5" t="s">
        <v>24</v>
      </c>
      <c r="N1526" s="5" t="s">
        <v>24</v>
      </c>
      <c r="O1526" s="5" t="s">
        <v>75</v>
      </c>
      <c r="P1526" s="5" t="s">
        <v>2413</v>
      </c>
      <c r="Q1526" s="33">
        <v>46044</v>
      </c>
      <c r="V1526" s="1">
        <f t="shared" si="23"/>
        <v>1</v>
      </c>
      <c r="W1526" s="1" t="s">
        <v>7447</v>
      </c>
    </row>
    <row r="1527" spans="1:23">
      <c r="A1527" s="2">
        <v>46042</v>
      </c>
      <c r="B1527" s="1" t="s">
        <v>7448</v>
      </c>
      <c r="C1527" s="1" t="s">
        <v>2532</v>
      </c>
      <c r="D1527" s="1" t="s">
        <v>2439</v>
      </c>
      <c r="E1527" s="1">
        <v>85013</v>
      </c>
      <c r="F1527" s="1" t="s">
        <v>7449</v>
      </c>
      <c r="G1527" s="39" t="s">
        <v>7443</v>
      </c>
      <c r="H1527" s="4" t="s">
        <v>504</v>
      </c>
      <c r="I1527" s="5" t="s">
        <v>2432</v>
      </c>
      <c r="J1527" s="5" t="s">
        <v>24</v>
      </c>
      <c r="K1527" s="5" t="s">
        <v>24</v>
      </c>
      <c r="L1527" s="5" t="s">
        <v>7450</v>
      </c>
      <c r="M1527" s="5" t="s">
        <v>24</v>
      </c>
      <c r="N1527" s="5" t="s">
        <v>24</v>
      </c>
      <c r="O1527" s="5" t="s">
        <v>75</v>
      </c>
      <c r="Q1527" s="41">
        <v>46044</v>
      </c>
      <c r="R1527" s="1" t="s">
        <v>7066</v>
      </c>
      <c r="V1527" s="1">
        <f t="shared" si="23"/>
        <v>1</v>
      </c>
      <c r="W1527" s="1" t="s">
        <v>7451</v>
      </c>
    </row>
    <row r="1528" spans="1:23">
      <c r="A1528" s="2">
        <v>46042</v>
      </c>
      <c r="B1528" s="1" t="s">
        <v>7452</v>
      </c>
      <c r="C1528" s="1" t="s">
        <v>2924</v>
      </c>
      <c r="D1528" s="1" t="s">
        <v>2439</v>
      </c>
      <c r="E1528" s="1">
        <v>85085</v>
      </c>
      <c r="F1528" s="1" t="s">
        <v>7453</v>
      </c>
      <c r="G1528" s="39" t="s">
        <v>7443</v>
      </c>
      <c r="H1528" s="4" t="s">
        <v>1837</v>
      </c>
      <c r="I1528" s="5" t="s">
        <v>2420</v>
      </c>
      <c r="J1528" s="5" t="s">
        <v>24</v>
      </c>
      <c r="K1528" s="5" t="s">
        <v>24</v>
      </c>
      <c r="L1528" s="5" t="s">
        <v>75</v>
      </c>
      <c r="M1528" s="5" t="s">
        <v>24</v>
      </c>
      <c r="N1528" s="5" t="s">
        <v>24</v>
      </c>
      <c r="O1528" s="5" t="s">
        <v>75</v>
      </c>
      <c r="P1528" s="5" t="s">
        <v>2413</v>
      </c>
      <c r="Q1528" s="33">
        <v>46044</v>
      </c>
      <c r="V1528" s="1">
        <f t="shared" si="23"/>
        <v>1</v>
      </c>
      <c r="W1528" s="1" t="s">
        <v>7454</v>
      </c>
    </row>
    <row r="1529" spans="1:23">
      <c r="A1529" s="2">
        <v>46042</v>
      </c>
      <c r="B1529" s="1" t="s">
        <v>7455</v>
      </c>
      <c r="C1529" s="1" t="s">
        <v>2875</v>
      </c>
      <c r="D1529" s="1" t="s">
        <v>2564</v>
      </c>
      <c r="E1529" s="1">
        <v>85395</v>
      </c>
      <c r="F1529" s="1" t="s">
        <v>7456</v>
      </c>
      <c r="G1529" s="39" t="s">
        <v>7457</v>
      </c>
      <c r="H1529" s="4" t="s">
        <v>1839</v>
      </c>
      <c r="I1529" s="5" t="s">
        <v>4163</v>
      </c>
      <c r="J1529" s="5" t="s">
        <v>24</v>
      </c>
      <c r="K1529" s="5" t="s">
        <v>24</v>
      </c>
      <c r="L1529" s="5" t="s">
        <v>7158</v>
      </c>
      <c r="M1529" s="5" t="s">
        <v>24</v>
      </c>
      <c r="N1529" s="5" t="s">
        <v>24</v>
      </c>
      <c r="O1529" s="5" t="s">
        <v>75</v>
      </c>
      <c r="P1529" s="5" t="s">
        <v>2413</v>
      </c>
      <c r="Q1529" s="18" t="s">
        <v>7458</v>
      </c>
      <c r="V1529" s="1">
        <f t="shared" si="23"/>
        <v>1</v>
      </c>
      <c r="W1529" s="1" t="s">
        <v>7459</v>
      </c>
    </row>
    <row r="1530" spans="1:23">
      <c r="A1530" s="2">
        <v>46043</v>
      </c>
      <c r="B1530" s="1" t="s">
        <v>7460</v>
      </c>
      <c r="C1530" s="1" t="s">
        <v>6800</v>
      </c>
      <c r="D1530" s="1" t="s">
        <v>2570</v>
      </c>
      <c r="E1530" s="1">
        <v>85326</v>
      </c>
      <c r="F1530" s="1" t="s">
        <v>7461</v>
      </c>
      <c r="G1530" s="39" t="s">
        <v>7462</v>
      </c>
      <c r="H1530" s="4" t="s">
        <v>1841</v>
      </c>
      <c r="I1530" s="5" t="s">
        <v>7340</v>
      </c>
      <c r="J1530" s="5" t="s">
        <v>24</v>
      </c>
      <c r="K1530" s="5" t="s">
        <v>24</v>
      </c>
      <c r="L1530" s="5" t="s">
        <v>7158</v>
      </c>
      <c r="M1530" s="5" t="s">
        <v>24</v>
      </c>
      <c r="N1530" s="5" t="s">
        <v>24</v>
      </c>
      <c r="O1530" s="5" t="s">
        <v>75</v>
      </c>
      <c r="P1530" s="5" t="s">
        <v>2413</v>
      </c>
      <c r="Q1530" s="33">
        <v>46049</v>
      </c>
      <c r="V1530" s="1">
        <f t="shared" si="23"/>
        <v>1</v>
      </c>
      <c r="W1530" s="1" t="s">
        <v>7463</v>
      </c>
    </row>
    <row r="1531" spans="1:23">
      <c r="A1531" s="2">
        <v>46043</v>
      </c>
      <c r="B1531" s="1" t="s">
        <v>7464</v>
      </c>
      <c r="C1531" s="1" t="s">
        <v>7465</v>
      </c>
      <c r="D1531" s="1" t="s">
        <v>2564</v>
      </c>
      <c r="E1531" s="1">
        <v>85338</v>
      </c>
      <c r="F1531" s="1" t="s">
        <v>7466</v>
      </c>
      <c r="G1531" s="39" t="s">
        <v>7462</v>
      </c>
      <c r="H1531" s="4" t="s">
        <v>77</v>
      </c>
      <c r="I1531" s="5" t="s">
        <v>7467</v>
      </c>
      <c r="J1531" s="5" t="s">
        <v>75</v>
      </c>
      <c r="K1531" s="5" t="s">
        <v>24</v>
      </c>
      <c r="L1531" s="5" t="s">
        <v>7468</v>
      </c>
      <c r="M1531" s="5" t="s">
        <v>75</v>
      </c>
      <c r="N1531" s="13">
        <v>681.89</v>
      </c>
      <c r="O1531" s="5" t="s">
        <v>75</v>
      </c>
      <c r="Q1531" s="41">
        <v>46049</v>
      </c>
      <c r="R1531" s="1" t="s">
        <v>7469</v>
      </c>
      <c r="V1531" s="1">
        <f t="shared" si="23"/>
        <v>1</v>
      </c>
      <c r="W1531" s="1" t="s">
        <v>7470</v>
      </c>
    </row>
    <row r="1532" spans="1:23">
      <c r="A1532" s="2">
        <v>46043</v>
      </c>
      <c r="B1532" s="1" t="s">
        <v>3569</v>
      </c>
      <c r="C1532" s="1" t="s">
        <v>7471</v>
      </c>
      <c r="D1532" s="1" t="s">
        <v>2439</v>
      </c>
      <c r="E1532" s="1">
        <v>85032</v>
      </c>
      <c r="F1532" s="1" t="s">
        <v>7472</v>
      </c>
      <c r="G1532" s="39" t="s">
        <v>7462</v>
      </c>
      <c r="H1532" s="4" t="s">
        <v>1843</v>
      </c>
      <c r="I1532" s="5" t="s">
        <v>2412</v>
      </c>
      <c r="J1532" s="5" t="s">
        <v>75</v>
      </c>
      <c r="K1532" s="5" t="s">
        <v>24</v>
      </c>
      <c r="L1532" s="5" t="s">
        <v>75</v>
      </c>
      <c r="M1532" s="5" t="s">
        <v>24</v>
      </c>
      <c r="N1532" s="5" t="s">
        <v>24</v>
      </c>
      <c r="O1532" s="5" t="s">
        <v>75</v>
      </c>
      <c r="P1532" s="5" t="s">
        <v>2413</v>
      </c>
      <c r="Q1532" s="33">
        <v>46049</v>
      </c>
      <c r="R1532" s="1" t="s">
        <v>7473</v>
      </c>
      <c r="V1532" s="1">
        <f t="shared" si="23"/>
        <v>1</v>
      </c>
      <c r="W1532" s="1" t="s">
        <v>7474</v>
      </c>
    </row>
    <row r="1533" spans="1:23">
      <c r="A1533" s="2">
        <v>46043</v>
      </c>
      <c r="B1533" s="1" t="s">
        <v>7475</v>
      </c>
      <c r="C1533" s="1" t="s">
        <v>6382</v>
      </c>
      <c r="D1533" s="1" t="s">
        <v>2398</v>
      </c>
      <c r="E1533" s="1">
        <v>85308</v>
      </c>
      <c r="F1533" s="1" t="s">
        <v>7476</v>
      </c>
      <c r="G1533" s="39" t="s">
        <v>7462</v>
      </c>
      <c r="H1533" s="4" t="s">
        <v>1845</v>
      </c>
      <c r="I1533" s="5" t="s">
        <v>2514</v>
      </c>
      <c r="J1533" s="5" t="s">
        <v>24</v>
      </c>
      <c r="K1533" s="5" t="s">
        <v>24</v>
      </c>
      <c r="L1533" s="5" t="s">
        <v>75</v>
      </c>
      <c r="M1533" s="5" t="s">
        <v>24</v>
      </c>
      <c r="N1533" s="5" t="s">
        <v>24</v>
      </c>
      <c r="O1533" s="5" t="s">
        <v>75</v>
      </c>
      <c r="P1533" s="5" t="s">
        <v>2413</v>
      </c>
      <c r="Q1533" s="33">
        <v>46049</v>
      </c>
      <c r="R1533" s="1" t="s">
        <v>7477</v>
      </c>
      <c r="V1533" s="1">
        <f t="shared" si="23"/>
        <v>1</v>
      </c>
      <c r="W1533" s="1" t="s">
        <v>7478</v>
      </c>
    </row>
    <row r="1534" spans="1:23">
      <c r="A1534" s="2">
        <v>46043</v>
      </c>
      <c r="B1534" s="1" t="s">
        <v>7479</v>
      </c>
      <c r="C1534" s="1" t="s">
        <v>7480</v>
      </c>
      <c r="D1534" s="1" t="s">
        <v>2605</v>
      </c>
      <c r="E1534" s="1">
        <v>85383</v>
      </c>
      <c r="F1534" s="1" t="s">
        <v>7481</v>
      </c>
      <c r="G1534" s="39" t="s">
        <v>7462</v>
      </c>
      <c r="H1534" s="4" t="s">
        <v>2401</v>
      </c>
      <c r="Q1534" s="18"/>
      <c r="V1534" s="1">
        <f t="shared" si="23"/>
        <v>1</v>
      </c>
      <c r="W1534" s="1" t="s">
        <v>7482</v>
      </c>
    </row>
    <row r="1535" spans="1:23">
      <c r="A1535" s="2">
        <v>46043</v>
      </c>
      <c r="B1535" s="1" t="s">
        <v>3839</v>
      </c>
      <c r="C1535" s="1" t="s">
        <v>5815</v>
      </c>
      <c r="D1535" s="1" t="s">
        <v>2513</v>
      </c>
      <c r="E1535" s="1">
        <v>85254</v>
      </c>
      <c r="F1535" s="1" t="s">
        <v>7483</v>
      </c>
      <c r="G1535" s="39" t="s">
        <v>7462</v>
      </c>
      <c r="H1535" s="4" t="s">
        <v>1847</v>
      </c>
      <c r="I1535" s="5" t="s">
        <v>2412</v>
      </c>
      <c r="J1535" s="5" t="s">
        <v>24</v>
      </c>
      <c r="K1535" s="5" t="s">
        <v>24</v>
      </c>
      <c r="L1535" s="5" t="s">
        <v>75</v>
      </c>
      <c r="M1535" s="5" t="s">
        <v>24</v>
      </c>
      <c r="N1535" s="5" t="s">
        <v>24</v>
      </c>
      <c r="O1535" s="5" t="s">
        <v>75</v>
      </c>
      <c r="P1535" s="5" t="s">
        <v>2413</v>
      </c>
      <c r="Q1535" s="33">
        <v>46049</v>
      </c>
      <c r="V1535" s="1">
        <f t="shared" si="23"/>
        <v>1</v>
      </c>
      <c r="W1535" s="1" t="s">
        <v>7484</v>
      </c>
    </row>
    <row r="1536" spans="1:23">
      <c r="A1536" s="2">
        <v>46043</v>
      </c>
      <c r="B1536" s="1" t="s">
        <v>7485</v>
      </c>
      <c r="C1536" s="1" t="s">
        <v>7486</v>
      </c>
      <c r="D1536" s="1" t="s">
        <v>2513</v>
      </c>
      <c r="E1536" s="1">
        <v>85254</v>
      </c>
      <c r="F1536" s="1" t="s">
        <v>7487</v>
      </c>
      <c r="G1536" s="39" t="s">
        <v>7462</v>
      </c>
      <c r="H1536" s="4" t="s">
        <v>1849</v>
      </c>
      <c r="I1536" s="5" t="s">
        <v>6911</v>
      </c>
      <c r="J1536" s="5" t="s">
        <v>24</v>
      </c>
      <c r="K1536" s="5" t="s">
        <v>24</v>
      </c>
      <c r="L1536" s="5" t="s">
        <v>7158</v>
      </c>
      <c r="M1536" s="5" t="s">
        <v>24</v>
      </c>
      <c r="N1536" s="5" t="s">
        <v>24</v>
      </c>
      <c r="O1536" s="5" t="s">
        <v>75</v>
      </c>
      <c r="P1536" s="5" t="s">
        <v>2413</v>
      </c>
      <c r="Q1536" s="33">
        <v>46049</v>
      </c>
      <c r="V1536" s="1">
        <f t="shared" si="23"/>
        <v>1</v>
      </c>
      <c r="W1536" s="1" t="s">
        <v>7488</v>
      </c>
    </row>
    <row r="1537" spans="1:23">
      <c r="A1537" s="2">
        <v>46043</v>
      </c>
      <c r="B1537" s="1" t="s">
        <v>7489</v>
      </c>
      <c r="C1537" s="1" t="s">
        <v>3530</v>
      </c>
      <c r="D1537" s="1" t="s">
        <v>5481</v>
      </c>
      <c r="E1537" s="1">
        <v>85087</v>
      </c>
      <c r="F1537" s="1" t="s">
        <v>7490</v>
      </c>
      <c r="G1537" s="39" t="s">
        <v>7462</v>
      </c>
      <c r="H1537" s="4" t="s">
        <v>1851</v>
      </c>
      <c r="I1537" s="5" t="s">
        <v>2412</v>
      </c>
      <c r="J1537" s="5" t="s">
        <v>24</v>
      </c>
      <c r="K1537" s="5" t="s">
        <v>24</v>
      </c>
      <c r="L1537" s="5" t="s">
        <v>75</v>
      </c>
      <c r="M1537" s="5" t="s">
        <v>24</v>
      </c>
      <c r="N1537" s="5" t="s">
        <v>24</v>
      </c>
      <c r="O1537" s="5" t="s">
        <v>75</v>
      </c>
      <c r="P1537" s="5" t="s">
        <v>2413</v>
      </c>
      <c r="Q1537" s="33">
        <v>46049</v>
      </c>
      <c r="V1537" s="1">
        <f t="shared" si="23"/>
        <v>1</v>
      </c>
      <c r="W1537" s="1" t="s">
        <v>7491</v>
      </c>
    </row>
    <row r="1538" spans="1:23">
      <c r="A1538" s="2">
        <v>46043</v>
      </c>
      <c r="B1538" s="1" t="s">
        <v>7492</v>
      </c>
      <c r="C1538" s="1" t="s">
        <v>6260</v>
      </c>
      <c r="D1538" s="1" t="s">
        <v>2439</v>
      </c>
      <c r="E1538" s="1">
        <v>85013</v>
      </c>
      <c r="F1538" s="1" t="s">
        <v>7493</v>
      </c>
      <c r="G1538" s="39" t="s">
        <v>7462</v>
      </c>
      <c r="H1538" s="4" t="s">
        <v>1853</v>
      </c>
      <c r="I1538" s="5" t="s">
        <v>7467</v>
      </c>
      <c r="J1538" s="5" t="s">
        <v>24</v>
      </c>
      <c r="K1538" s="5" t="s">
        <v>24</v>
      </c>
      <c r="L1538" s="5" t="s">
        <v>75</v>
      </c>
      <c r="M1538" s="5" t="s">
        <v>24</v>
      </c>
      <c r="N1538" s="5" t="s">
        <v>24</v>
      </c>
      <c r="O1538" s="5" t="s">
        <v>75</v>
      </c>
      <c r="P1538" s="5" t="s">
        <v>2413</v>
      </c>
      <c r="Q1538" s="33">
        <v>46049</v>
      </c>
      <c r="V1538" s="1">
        <f t="shared" ref="V1538:V1601" si="24">IF(OR(ISNUMBER(SEARCH("unable to locate acct",G1538)),ISNUMBER(SEARCH("unknown",G1538)),ISNUMBER(SEARCH("inactive",G1538)),H1538=""),0,1)</f>
        <v>1</v>
      </c>
      <c r="W1538" s="1" t="s">
        <v>7494</v>
      </c>
    </row>
    <row r="1539" spans="1:23">
      <c r="A1539" s="2">
        <v>46043</v>
      </c>
      <c r="B1539" s="1" t="s">
        <v>7495</v>
      </c>
      <c r="C1539" s="1" t="s">
        <v>3382</v>
      </c>
      <c r="D1539" s="1" t="s">
        <v>5252</v>
      </c>
      <c r="E1539" s="1">
        <v>85132</v>
      </c>
      <c r="F1539" s="1" t="s">
        <v>7496</v>
      </c>
      <c r="G1539" s="39" t="s">
        <v>7462</v>
      </c>
      <c r="H1539" s="4" t="s">
        <v>1855</v>
      </c>
      <c r="I1539" s="5" t="s">
        <v>2412</v>
      </c>
      <c r="J1539" s="5" t="s">
        <v>24</v>
      </c>
      <c r="K1539" s="5" t="s">
        <v>24</v>
      </c>
      <c r="L1539" s="5" t="s">
        <v>75</v>
      </c>
      <c r="M1539" s="5" t="s">
        <v>24</v>
      </c>
      <c r="N1539" s="5" t="s">
        <v>24</v>
      </c>
      <c r="O1539" s="5" t="s">
        <v>75</v>
      </c>
      <c r="P1539" s="5" t="s">
        <v>2413</v>
      </c>
      <c r="Q1539" s="33">
        <v>46049</v>
      </c>
      <c r="V1539" s="1">
        <f t="shared" si="24"/>
        <v>1</v>
      </c>
      <c r="W1539" s="1" t="s">
        <v>7497</v>
      </c>
    </row>
    <row r="1540" spans="1:23">
      <c r="A1540" s="2">
        <v>46043</v>
      </c>
      <c r="B1540" s="1" t="s">
        <v>7498</v>
      </c>
      <c r="C1540" s="1" t="s">
        <v>7499</v>
      </c>
      <c r="D1540" s="1" t="s">
        <v>2498</v>
      </c>
      <c r="E1540" s="1">
        <v>85374</v>
      </c>
      <c r="F1540" s="1" t="s">
        <v>7500</v>
      </c>
      <c r="G1540" s="39" t="s">
        <v>7462</v>
      </c>
      <c r="H1540" s="4" t="s">
        <v>1857</v>
      </c>
      <c r="I1540" s="5" t="s">
        <v>2412</v>
      </c>
      <c r="J1540" s="5" t="s">
        <v>24</v>
      </c>
      <c r="K1540" s="5" t="s">
        <v>24</v>
      </c>
      <c r="L1540" s="5" t="s">
        <v>75</v>
      </c>
      <c r="M1540" s="5" t="s">
        <v>24</v>
      </c>
      <c r="N1540" s="5" t="s">
        <v>24</v>
      </c>
      <c r="O1540" s="5" t="s">
        <v>75</v>
      </c>
      <c r="P1540" s="5" t="s">
        <v>2413</v>
      </c>
      <c r="Q1540" s="33">
        <v>46049</v>
      </c>
      <c r="V1540" s="1">
        <f t="shared" si="24"/>
        <v>1</v>
      </c>
      <c r="W1540" s="1" t="s">
        <v>7501</v>
      </c>
    </row>
    <row r="1541" spans="1:23">
      <c r="A1541" s="2">
        <v>46043</v>
      </c>
      <c r="B1541" s="1" t="s">
        <v>7502</v>
      </c>
      <c r="C1541" s="1" t="s">
        <v>7503</v>
      </c>
      <c r="D1541" s="1" t="s">
        <v>2674</v>
      </c>
      <c r="E1541" s="1">
        <v>86314</v>
      </c>
      <c r="F1541" s="1" t="s">
        <v>7504</v>
      </c>
      <c r="G1541" s="39" t="s">
        <v>7462</v>
      </c>
      <c r="H1541" s="4" t="s">
        <v>1859</v>
      </c>
      <c r="I1541" s="5" t="s">
        <v>2451</v>
      </c>
      <c r="J1541" s="5" t="s">
        <v>24</v>
      </c>
      <c r="K1541" s="5" t="s">
        <v>24</v>
      </c>
      <c r="L1541" s="5" t="s">
        <v>75</v>
      </c>
      <c r="M1541" s="5" t="s">
        <v>24</v>
      </c>
      <c r="N1541" s="5" t="s">
        <v>24</v>
      </c>
      <c r="O1541" s="5" t="s">
        <v>75</v>
      </c>
      <c r="P1541" s="5" t="s">
        <v>2413</v>
      </c>
      <c r="Q1541" s="33">
        <v>46049</v>
      </c>
      <c r="V1541" s="1">
        <f t="shared" si="24"/>
        <v>1</v>
      </c>
      <c r="W1541" s="1" t="s">
        <v>7505</v>
      </c>
    </row>
    <row r="1542" spans="1:23">
      <c r="A1542" s="2">
        <v>46043</v>
      </c>
      <c r="B1542" s="1" t="s">
        <v>7506</v>
      </c>
      <c r="C1542" s="1" t="s">
        <v>3956</v>
      </c>
      <c r="D1542" s="1" t="s">
        <v>5252</v>
      </c>
      <c r="E1542" s="1">
        <v>85132</v>
      </c>
      <c r="F1542" s="1" t="s">
        <v>7507</v>
      </c>
      <c r="G1542" s="39" t="s">
        <v>7462</v>
      </c>
      <c r="H1542" s="4" t="s">
        <v>1861</v>
      </c>
      <c r="I1542" s="5" t="s">
        <v>2412</v>
      </c>
      <c r="J1542" s="5" t="s">
        <v>24</v>
      </c>
      <c r="K1542" s="5" t="s">
        <v>24</v>
      </c>
      <c r="L1542" s="5" t="s">
        <v>75</v>
      </c>
      <c r="M1542" s="5" t="s">
        <v>24</v>
      </c>
      <c r="N1542" s="5" t="s">
        <v>24</v>
      </c>
      <c r="O1542" s="5" t="s">
        <v>75</v>
      </c>
      <c r="P1542" s="5" t="s">
        <v>2413</v>
      </c>
      <c r="Q1542" s="33">
        <v>46049</v>
      </c>
      <c r="V1542" s="1">
        <f t="shared" si="24"/>
        <v>1</v>
      </c>
      <c r="W1542" s="1" t="s">
        <v>7508</v>
      </c>
    </row>
    <row r="1543" spans="1:23">
      <c r="A1543" s="2">
        <v>46043</v>
      </c>
      <c r="B1543" s="1" t="s">
        <v>7509</v>
      </c>
      <c r="C1543" s="1" t="s">
        <v>7510</v>
      </c>
      <c r="D1543" s="1" t="s">
        <v>2439</v>
      </c>
      <c r="E1543" s="1">
        <v>85023</v>
      </c>
      <c r="F1543" s="1" t="s">
        <v>6754</v>
      </c>
      <c r="G1543" s="39" t="s">
        <v>7462</v>
      </c>
      <c r="H1543" s="4" t="s">
        <v>1863</v>
      </c>
      <c r="I1543" s="5" t="s">
        <v>2451</v>
      </c>
      <c r="J1543" s="5" t="s">
        <v>24</v>
      </c>
      <c r="K1543" s="5" t="s">
        <v>24</v>
      </c>
      <c r="L1543" s="5" t="s">
        <v>75</v>
      </c>
      <c r="M1543" s="5" t="s">
        <v>24</v>
      </c>
      <c r="N1543" s="5" t="s">
        <v>24</v>
      </c>
      <c r="O1543" s="5" t="s">
        <v>75</v>
      </c>
      <c r="P1543" s="5" t="s">
        <v>2413</v>
      </c>
      <c r="Q1543" s="33">
        <v>46049</v>
      </c>
      <c r="V1543" s="1">
        <f t="shared" si="24"/>
        <v>1</v>
      </c>
      <c r="W1543" s="1" t="s">
        <v>7511</v>
      </c>
    </row>
    <row r="1544" spans="1:23">
      <c r="A1544" s="2">
        <v>46043</v>
      </c>
      <c r="B1544" s="1" t="s">
        <v>7512</v>
      </c>
      <c r="C1544" s="1" t="s">
        <v>7513</v>
      </c>
      <c r="D1544" s="1" t="s">
        <v>2439</v>
      </c>
      <c r="E1544" s="1">
        <v>85353</v>
      </c>
      <c r="F1544" s="1" t="s">
        <v>7466</v>
      </c>
      <c r="G1544" s="39" t="s">
        <v>7462</v>
      </c>
      <c r="H1544" s="4" t="s">
        <v>2401</v>
      </c>
      <c r="Q1544" s="18"/>
      <c r="V1544" s="1">
        <f t="shared" si="24"/>
        <v>1</v>
      </c>
      <c r="W1544" s="1" t="s">
        <v>7514</v>
      </c>
    </row>
    <row r="1545" spans="1:23">
      <c r="A1545" s="2">
        <v>46043</v>
      </c>
      <c r="B1545" s="1" t="s">
        <v>7515</v>
      </c>
      <c r="C1545" s="1" t="s">
        <v>3221</v>
      </c>
      <c r="D1545" s="1" t="s">
        <v>2445</v>
      </c>
      <c r="E1545" s="1">
        <v>85331</v>
      </c>
      <c r="F1545" s="1" t="s">
        <v>7516</v>
      </c>
      <c r="G1545" s="39" t="s">
        <v>7462</v>
      </c>
      <c r="H1545" s="4" t="s">
        <v>1865</v>
      </c>
      <c r="I1545" s="5" t="s">
        <v>2412</v>
      </c>
      <c r="J1545" s="5" t="s">
        <v>24</v>
      </c>
      <c r="K1545" s="5" t="s">
        <v>24</v>
      </c>
      <c r="L1545" s="5" t="s">
        <v>75</v>
      </c>
      <c r="M1545" s="5" t="s">
        <v>24</v>
      </c>
      <c r="N1545" s="5" t="s">
        <v>24</v>
      </c>
      <c r="O1545" s="5" t="s">
        <v>75</v>
      </c>
      <c r="P1545" s="5" t="s">
        <v>2413</v>
      </c>
      <c r="Q1545" s="33">
        <v>46049</v>
      </c>
      <c r="V1545" s="1">
        <f t="shared" si="24"/>
        <v>1</v>
      </c>
      <c r="W1545" s="1" t="s">
        <v>7517</v>
      </c>
    </row>
    <row r="1546" spans="1:23">
      <c r="A1546" s="2">
        <v>46043</v>
      </c>
      <c r="B1546" s="1" t="s">
        <v>7518</v>
      </c>
      <c r="C1546" s="1" t="s">
        <v>6767</v>
      </c>
      <c r="D1546" s="1" t="s">
        <v>2564</v>
      </c>
      <c r="E1546" s="1">
        <v>85338</v>
      </c>
      <c r="F1546" s="1" t="s">
        <v>7519</v>
      </c>
      <c r="G1546" s="39" t="s">
        <v>7462</v>
      </c>
      <c r="H1546" s="4" t="s">
        <v>506</v>
      </c>
      <c r="I1546" s="5" t="s">
        <v>2597</v>
      </c>
      <c r="J1546" s="5" t="s">
        <v>24</v>
      </c>
      <c r="K1546" s="5" t="s">
        <v>24</v>
      </c>
      <c r="L1546" s="5" t="s">
        <v>7520</v>
      </c>
      <c r="M1546" s="5" t="s">
        <v>24</v>
      </c>
      <c r="N1546" s="5" t="s">
        <v>24</v>
      </c>
      <c r="O1546" s="5" t="s">
        <v>75</v>
      </c>
      <c r="Q1546" s="41">
        <v>46049</v>
      </c>
      <c r="R1546" s="1" t="s">
        <v>7066</v>
      </c>
      <c r="V1546" s="1">
        <f t="shared" si="24"/>
        <v>1</v>
      </c>
      <c r="W1546" s="1" t="s">
        <v>7521</v>
      </c>
    </row>
    <row r="1547" spans="1:23">
      <c r="A1547" s="2">
        <v>46043</v>
      </c>
      <c r="B1547" s="1" t="s">
        <v>4975</v>
      </c>
      <c r="C1547" s="1" t="s">
        <v>2677</v>
      </c>
      <c r="D1547" s="1" t="s">
        <v>2950</v>
      </c>
      <c r="E1547" s="1">
        <v>86004</v>
      </c>
      <c r="F1547" s="1" t="s">
        <v>7522</v>
      </c>
      <c r="G1547" s="39" t="s">
        <v>7462</v>
      </c>
      <c r="H1547" s="4" t="s">
        <v>2471</v>
      </c>
      <c r="Q1547" s="18"/>
      <c r="V1547" s="1">
        <f t="shared" si="24"/>
        <v>1</v>
      </c>
      <c r="W1547" s="1" t="s">
        <v>7523</v>
      </c>
    </row>
    <row r="1548" spans="1:23">
      <c r="A1548" s="2">
        <v>46043</v>
      </c>
      <c r="B1548" s="1" t="s">
        <v>7524</v>
      </c>
      <c r="C1548" s="1" t="s">
        <v>7525</v>
      </c>
      <c r="D1548" s="1" t="s">
        <v>2439</v>
      </c>
      <c r="E1548" s="1">
        <v>85021</v>
      </c>
      <c r="F1548" s="1" t="s">
        <v>7526</v>
      </c>
      <c r="G1548" s="39" t="s">
        <v>7462</v>
      </c>
      <c r="H1548" s="4" t="s">
        <v>2471</v>
      </c>
      <c r="Q1548" s="18"/>
      <c r="V1548" s="1">
        <f t="shared" si="24"/>
        <v>1</v>
      </c>
      <c r="W1548" s="1" t="s">
        <v>7527</v>
      </c>
    </row>
    <row r="1549" spans="1:23">
      <c r="A1549" s="2">
        <v>46043</v>
      </c>
      <c r="B1549" s="1" t="s">
        <v>7528</v>
      </c>
      <c r="C1549" s="1" t="s">
        <v>4568</v>
      </c>
      <c r="D1549" s="1" t="s">
        <v>2439</v>
      </c>
      <c r="E1549" s="1">
        <v>85013</v>
      </c>
      <c r="F1549" s="1" t="s">
        <v>7529</v>
      </c>
      <c r="G1549" s="39" t="s">
        <v>7462</v>
      </c>
      <c r="H1549" s="4" t="s">
        <v>1867</v>
      </c>
      <c r="I1549" s="5" t="s">
        <v>2451</v>
      </c>
      <c r="J1549" s="5" t="s">
        <v>24</v>
      </c>
      <c r="K1549" s="5" t="s">
        <v>24</v>
      </c>
      <c r="L1549" s="5" t="s">
        <v>75</v>
      </c>
      <c r="M1549" s="5" t="s">
        <v>24</v>
      </c>
      <c r="N1549" s="5" t="s">
        <v>24</v>
      </c>
      <c r="O1549" s="5" t="s">
        <v>75</v>
      </c>
      <c r="P1549" s="5" t="s">
        <v>2413</v>
      </c>
      <c r="Q1549" s="33">
        <v>46049</v>
      </c>
      <c r="V1549" s="1">
        <f t="shared" si="24"/>
        <v>1</v>
      </c>
      <c r="W1549" s="1" t="s">
        <v>7530</v>
      </c>
    </row>
    <row r="1550" spans="1:23">
      <c r="A1550" s="2">
        <v>46043</v>
      </c>
      <c r="B1550" s="1" t="s">
        <v>7531</v>
      </c>
      <c r="C1550" s="1" t="s">
        <v>6673</v>
      </c>
      <c r="D1550" s="1" t="s">
        <v>2439</v>
      </c>
      <c r="E1550" s="1">
        <v>85027</v>
      </c>
      <c r="F1550" s="1" t="s">
        <v>7532</v>
      </c>
      <c r="G1550" s="39" t="s">
        <v>7462</v>
      </c>
      <c r="H1550" s="4" t="s">
        <v>508</v>
      </c>
      <c r="I1550" s="5" t="s">
        <v>2432</v>
      </c>
      <c r="J1550" s="5" t="s">
        <v>24</v>
      </c>
      <c r="K1550" s="5" t="s">
        <v>24</v>
      </c>
      <c r="L1550" s="5" t="s">
        <v>7533</v>
      </c>
      <c r="M1550" s="5" t="s">
        <v>24</v>
      </c>
      <c r="N1550" s="5" t="s">
        <v>24</v>
      </c>
      <c r="O1550" s="5" t="s">
        <v>75</v>
      </c>
      <c r="Q1550" s="41">
        <v>46049</v>
      </c>
      <c r="R1550" s="1" t="s">
        <v>7066</v>
      </c>
      <c r="V1550" s="1">
        <f t="shared" si="24"/>
        <v>1</v>
      </c>
      <c r="W1550" s="1" t="s">
        <v>7534</v>
      </c>
    </row>
    <row r="1551" spans="1:23">
      <c r="A1551" s="2">
        <v>46043</v>
      </c>
      <c r="B1551" s="1" t="s">
        <v>7535</v>
      </c>
      <c r="C1551" s="1" t="s">
        <v>2459</v>
      </c>
      <c r="D1551" s="1" t="s">
        <v>2398</v>
      </c>
      <c r="E1551" s="1">
        <v>85301</v>
      </c>
      <c r="F1551" s="1" t="s">
        <v>7536</v>
      </c>
      <c r="G1551" s="39" t="s">
        <v>7462</v>
      </c>
      <c r="H1551" s="4" t="s">
        <v>79</v>
      </c>
      <c r="I1551" s="5" t="s">
        <v>2514</v>
      </c>
      <c r="J1551" s="5" t="s">
        <v>24</v>
      </c>
      <c r="K1551" s="5" t="s">
        <v>24</v>
      </c>
      <c r="L1551" s="5" t="s">
        <v>7537</v>
      </c>
      <c r="M1551" s="5" t="s">
        <v>75</v>
      </c>
      <c r="N1551" s="5">
        <v>43.34</v>
      </c>
      <c r="O1551" s="5" t="s">
        <v>75</v>
      </c>
      <c r="P1551" s="5" t="s">
        <v>2413</v>
      </c>
      <c r="Q1551" s="33">
        <v>45684</v>
      </c>
      <c r="V1551" s="1">
        <f t="shared" si="24"/>
        <v>1</v>
      </c>
      <c r="W1551" s="1" t="s">
        <v>7538</v>
      </c>
    </row>
    <row r="1552" spans="1:23">
      <c r="A1552" s="2">
        <v>46043</v>
      </c>
      <c r="B1552" s="1" t="s">
        <v>7539</v>
      </c>
      <c r="C1552" s="1" t="s">
        <v>2662</v>
      </c>
      <c r="D1552" s="1" t="s">
        <v>2439</v>
      </c>
      <c r="E1552" s="1">
        <v>85013</v>
      </c>
      <c r="F1552" s="1" t="s">
        <v>7540</v>
      </c>
      <c r="G1552" s="39" t="s">
        <v>7462</v>
      </c>
      <c r="H1552" s="4" t="s">
        <v>1869</v>
      </c>
      <c r="I1552" s="5" t="s">
        <v>2451</v>
      </c>
      <c r="J1552" s="5" t="s">
        <v>24</v>
      </c>
      <c r="K1552" s="5" t="s">
        <v>24</v>
      </c>
      <c r="L1552" s="5" t="s">
        <v>75</v>
      </c>
      <c r="M1552" s="5" t="s">
        <v>24</v>
      </c>
      <c r="N1552" s="5" t="s">
        <v>24</v>
      </c>
      <c r="O1552" s="5" t="s">
        <v>75</v>
      </c>
      <c r="P1552" s="5" t="s">
        <v>2413</v>
      </c>
      <c r="Q1552" s="33">
        <v>46049</v>
      </c>
      <c r="V1552" s="1">
        <f t="shared" si="24"/>
        <v>1</v>
      </c>
      <c r="W1552" s="1" t="s">
        <v>7541</v>
      </c>
    </row>
    <row r="1553" spans="1:23">
      <c r="A1553" s="2">
        <v>46043</v>
      </c>
      <c r="B1553" s="1" t="s">
        <v>7542</v>
      </c>
      <c r="C1553" s="1" t="s">
        <v>2662</v>
      </c>
      <c r="D1553" s="1" t="s">
        <v>2605</v>
      </c>
      <c r="E1553" s="1">
        <v>85345</v>
      </c>
      <c r="F1553" s="1" t="s">
        <v>7543</v>
      </c>
      <c r="G1553" s="39" t="s">
        <v>7462</v>
      </c>
      <c r="H1553" s="4" t="s">
        <v>2401</v>
      </c>
      <c r="Q1553" s="18"/>
      <c r="V1553" s="1">
        <f t="shared" si="24"/>
        <v>1</v>
      </c>
      <c r="W1553" s="1" t="s">
        <v>7544</v>
      </c>
    </row>
    <row r="1554" spans="1:23">
      <c r="A1554" s="2">
        <v>46043</v>
      </c>
      <c r="B1554" s="1" t="s">
        <v>2453</v>
      </c>
      <c r="C1554" s="1" t="s">
        <v>7545</v>
      </c>
      <c r="D1554" s="1" t="s">
        <v>2605</v>
      </c>
      <c r="E1554" s="1">
        <v>85383</v>
      </c>
      <c r="F1554" s="1" t="s">
        <v>7546</v>
      </c>
      <c r="G1554" s="39" t="s">
        <v>7547</v>
      </c>
      <c r="H1554" s="4" t="s">
        <v>1871</v>
      </c>
      <c r="I1554" s="5" t="s">
        <v>3596</v>
      </c>
      <c r="J1554" s="5" t="s">
        <v>24</v>
      </c>
      <c r="K1554" s="5" t="s">
        <v>24</v>
      </c>
      <c r="L1554" s="5" t="s">
        <v>75</v>
      </c>
      <c r="M1554" s="5" t="s">
        <v>24</v>
      </c>
      <c r="N1554" s="5" t="s">
        <v>24</v>
      </c>
      <c r="O1554" s="5" t="s">
        <v>75</v>
      </c>
      <c r="P1554" s="5" t="s">
        <v>2413</v>
      </c>
      <c r="Q1554" s="33">
        <v>46049</v>
      </c>
      <c r="R1554" s="1" t="s">
        <v>7473</v>
      </c>
      <c r="V1554" s="1">
        <f t="shared" si="24"/>
        <v>1</v>
      </c>
      <c r="W1554" s="1" t="s">
        <v>7548</v>
      </c>
    </row>
    <row r="1555" spans="1:23">
      <c r="A1555" s="2">
        <v>46043</v>
      </c>
      <c r="B1555" s="1" t="s">
        <v>7549</v>
      </c>
      <c r="C1555" s="1" t="s">
        <v>3233</v>
      </c>
      <c r="D1555" s="1" t="s">
        <v>2564</v>
      </c>
      <c r="E1555" s="1">
        <v>85395</v>
      </c>
      <c r="F1555" s="1" t="s">
        <v>7550</v>
      </c>
      <c r="G1555" s="39" t="s">
        <v>7547</v>
      </c>
      <c r="H1555" s="4" t="s">
        <v>1873</v>
      </c>
      <c r="I1555" s="5" t="s">
        <v>2659</v>
      </c>
      <c r="J1555" s="5" t="s">
        <v>24</v>
      </c>
      <c r="K1555" s="5" t="s">
        <v>24</v>
      </c>
      <c r="L1555" s="5" t="s">
        <v>75</v>
      </c>
      <c r="M1555" s="5" t="s">
        <v>24</v>
      </c>
      <c r="N1555" s="5" t="s">
        <v>24</v>
      </c>
      <c r="O1555" s="5" t="s">
        <v>75</v>
      </c>
      <c r="P1555" s="5" t="s">
        <v>2413</v>
      </c>
      <c r="Q1555" s="33">
        <v>46049</v>
      </c>
      <c r="V1555" s="1">
        <f t="shared" si="24"/>
        <v>1</v>
      </c>
      <c r="W1555" s="1" t="s">
        <v>7551</v>
      </c>
    </row>
    <row r="1556" spans="1:23">
      <c r="A1556" s="2">
        <v>46043</v>
      </c>
      <c r="B1556" s="1" t="s">
        <v>6324</v>
      </c>
      <c r="C1556" s="1" t="s">
        <v>7552</v>
      </c>
      <c r="D1556" s="1" t="s">
        <v>2498</v>
      </c>
      <c r="E1556" s="1">
        <v>85379</v>
      </c>
      <c r="F1556" s="1" t="s">
        <v>7553</v>
      </c>
      <c r="G1556" s="39" t="s">
        <v>7547</v>
      </c>
      <c r="H1556" s="4" t="s">
        <v>1875</v>
      </c>
      <c r="I1556" s="5" t="s">
        <v>2412</v>
      </c>
      <c r="J1556" s="5" t="s">
        <v>24</v>
      </c>
      <c r="K1556" s="5" t="s">
        <v>24</v>
      </c>
      <c r="L1556" s="5" t="s">
        <v>75</v>
      </c>
      <c r="M1556" s="5" t="s">
        <v>24</v>
      </c>
      <c r="N1556" s="5" t="s">
        <v>24</v>
      </c>
      <c r="O1556" s="5" t="s">
        <v>75</v>
      </c>
      <c r="P1556" s="5" t="s">
        <v>2413</v>
      </c>
      <c r="Q1556" s="33">
        <v>46049</v>
      </c>
      <c r="V1556" s="1">
        <f t="shared" si="24"/>
        <v>1</v>
      </c>
      <c r="W1556" s="1" t="s">
        <v>7554</v>
      </c>
    </row>
    <row r="1557" spans="1:23">
      <c r="A1557" s="2">
        <v>46043</v>
      </c>
      <c r="B1557" s="1" t="s">
        <v>2511</v>
      </c>
      <c r="C1557" s="1" t="s">
        <v>2512</v>
      </c>
      <c r="D1557" s="1" t="s">
        <v>2513</v>
      </c>
      <c r="E1557" s="1">
        <v>85254</v>
      </c>
      <c r="F1557" s="1" t="s">
        <v>7555</v>
      </c>
      <c r="G1557" s="39" t="s">
        <v>7547</v>
      </c>
      <c r="H1557" s="4" t="s">
        <v>728</v>
      </c>
      <c r="I1557" s="5" t="s">
        <v>2514</v>
      </c>
      <c r="J1557" s="5" t="s">
        <v>24</v>
      </c>
      <c r="K1557" s="5" t="s">
        <v>24</v>
      </c>
      <c r="L1557" s="5" t="s">
        <v>75</v>
      </c>
      <c r="M1557" s="5" t="s">
        <v>24</v>
      </c>
      <c r="N1557" s="5" t="s">
        <v>24</v>
      </c>
      <c r="O1557" s="5" t="s">
        <v>75</v>
      </c>
      <c r="P1557" s="5" t="s">
        <v>2413</v>
      </c>
      <c r="Q1557" s="33">
        <v>46049</v>
      </c>
      <c r="V1557" s="1">
        <f t="shared" si="24"/>
        <v>1</v>
      </c>
      <c r="W1557" s="1" t="s">
        <v>7556</v>
      </c>
    </row>
    <row r="1558" spans="1:23">
      <c r="A1558" s="2">
        <v>46043</v>
      </c>
      <c r="B1558" s="1" t="s">
        <v>6422</v>
      </c>
      <c r="C1558" s="1" t="s">
        <v>2792</v>
      </c>
      <c r="D1558" s="1" t="s">
        <v>2439</v>
      </c>
      <c r="E1558" s="1">
        <v>85022</v>
      </c>
      <c r="F1558" s="1" t="s">
        <v>7557</v>
      </c>
      <c r="G1558" s="39" t="s">
        <v>7547</v>
      </c>
      <c r="H1558" s="4" t="s">
        <v>510</v>
      </c>
      <c r="I1558" s="5" t="s">
        <v>2514</v>
      </c>
      <c r="J1558" s="5" t="s">
        <v>24</v>
      </c>
      <c r="K1558" s="5" t="s">
        <v>24</v>
      </c>
      <c r="L1558" s="5" t="s">
        <v>7558</v>
      </c>
      <c r="M1558" s="5" t="s">
        <v>24</v>
      </c>
      <c r="N1558" s="5" t="s">
        <v>24</v>
      </c>
      <c r="O1558" s="5" t="s">
        <v>75</v>
      </c>
      <c r="P1558" s="5" t="s">
        <v>2413</v>
      </c>
      <c r="Q1558" s="33">
        <v>46049</v>
      </c>
      <c r="V1558" s="1">
        <f t="shared" si="24"/>
        <v>1</v>
      </c>
      <c r="W1558" s="1" t="s">
        <v>7559</v>
      </c>
    </row>
    <row r="1559" spans="1:23">
      <c r="A1559" s="2">
        <v>46043</v>
      </c>
      <c r="B1559" s="1" t="s">
        <v>7560</v>
      </c>
      <c r="C1559" s="1" t="s">
        <v>20</v>
      </c>
      <c r="D1559" s="1" t="s">
        <v>2498</v>
      </c>
      <c r="E1559" s="1">
        <v>85374</v>
      </c>
      <c r="F1559" s="1" t="s">
        <v>7561</v>
      </c>
      <c r="G1559" s="39" t="s">
        <v>7547</v>
      </c>
      <c r="H1559" s="4" t="s">
        <v>2401</v>
      </c>
      <c r="Q1559" s="18"/>
      <c r="V1559" s="1">
        <f t="shared" si="24"/>
        <v>1</v>
      </c>
      <c r="W1559" s="1" t="s">
        <v>7562</v>
      </c>
    </row>
    <row r="1560" spans="1:23">
      <c r="A1560" s="2">
        <v>46043</v>
      </c>
      <c r="B1560" s="1" t="s">
        <v>7563</v>
      </c>
      <c r="C1560" s="1" t="s">
        <v>7564</v>
      </c>
      <c r="D1560" s="1" t="s">
        <v>2498</v>
      </c>
      <c r="E1560" s="1">
        <v>85379</v>
      </c>
      <c r="F1560" s="1" t="s">
        <v>7565</v>
      </c>
      <c r="G1560" s="39" t="s">
        <v>7547</v>
      </c>
      <c r="H1560" s="4" t="s">
        <v>1877</v>
      </c>
      <c r="I1560" s="5" t="s">
        <v>7467</v>
      </c>
      <c r="J1560" s="5" t="s">
        <v>24</v>
      </c>
      <c r="K1560" s="5" t="s">
        <v>24</v>
      </c>
      <c r="L1560" s="5" t="s">
        <v>75</v>
      </c>
      <c r="M1560" s="5" t="s">
        <v>24</v>
      </c>
      <c r="N1560" s="5" t="s">
        <v>24</v>
      </c>
      <c r="O1560" s="5" t="s">
        <v>75</v>
      </c>
      <c r="P1560" s="5" t="s">
        <v>2413</v>
      </c>
      <c r="Q1560" s="33">
        <v>46049</v>
      </c>
      <c r="V1560" s="1">
        <f t="shared" si="24"/>
        <v>1</v>
      </c>
      <c r="W1560" s="1" t="s">
        <v>7566</v>
      </c>
    </row>
    <row r="1561" spans="1:23">
      <c r="A1561" s="2">
        <v>46043</v>
      </c>
      <c r="B1561" s="1" t="s">
        <v>7567</v>
      </c>
      <c r="C1561" s="1" t="s">
        <v>7568</v>
      </c>
      <c r="D1561" s="1" t="s">
        <v>2439</v>
      </c>
      <c r="E1561" s="1">
        <v>85006</v>
      </c>
      <c r="F1561" s="1" t="s">
        <v>7569</v>
      </c>
      <c r="G1561" s="39" t="s">
        <v>7547</v>
      </c>
      <c r="H1561" s="4" t="s">
        <v>2401</v>
      </c>
      <c r="Q1561" s="18"/>
      <c r="V1561" s="1">
        <f t="shared" si="24"/>
        <v>1</v>
      </c>
      <c r="W1561" s="1" t="s">
        <v>7570</v>
      </c>
    </row>
    <row r="1562" spans="1:23">
      <c r="A1562" s="2">
        <v>46043</v>
      </c>
      <c r="B1562" s="1" t="s">
        <v>7571</v>
      </c>
      <c r="C1562" s="1" t="s">
        <v>7572</v>
      </c>
      <c r="D1562" s="1" t="s">
        <v>2398</v>
      </c>
      <c r="E1562" s="1">
        <v>85308</v>
      </c>
      <c r="F1562" s="1" t="s">
        <v>7573</v>
      </c>
      <c r="G1562" s="39" t="s">
        <v>7547</v>
      </c>
      <c r="H1562" s="4" t="s">
        <v>2401</v>
      </c>
      <c r="Q1562" s="18"/>
      <c r="V1562" s="1">
        <f t="shared" si="24"/>
        <v>1</v>
      </c>
      <c r="W1562" s="1" t="s">
        <v>7574</v>
      </c>
    </row>
    <row r="1563" spans="1:23">
      <c r="A1563" s="2">
        <v>46043</v>
      </c>
      <c r="B1563" s="1" t="s">
        <v>7575</v>
      </c>
      <c r="C1563" s="1" t="s">
        <v>7576</v>
      </c>
      <c r="D1563" s="1" t="s">
        <v>2498</v>
      </c>
      <c r="E1563" s="1">
        <v>85379</v>
      </c>
      <c r="F1563" s="1" t="s">
        <v>7577</v>
      </c>
      <c r="G1563" s="39" t="s">
        <v>7547</v>
      </c>
      <c r="H1563" s="4" t="s">
        <v>1879</v>
      </c>
      <c r="I1563" s="5" t="s">
        <v>2412</v>
      </c>
      <c r="J1563" s="5" t="s">
        <v>24</v>
      </c>
      <c r="K1563" s="5" t="s">
        <v>24</v>
      </c>
      <c r="L1563" s="5" t="s">
        <v>75</v>
      </c>
      <c r="M1563" s="5" t="s">
        <v>24</v>
      </c>
      <c r="N1563" s="5" t="s">
        <v>24</v>
      </c>
      <c r="O1563" s="5" t="s">
        <v>75</v>
      </c>
      <c r="P1563" s="5" t="s">
        <v>2413</v>
      </c>
      <c r="Q1563" s="33">
        <v>46049</v>
      </c>
      <c r="V1563" s="1">
        <f t="shared" si="24"/>
        <v>1</v>
      </c>
      <c r="W1563" s="1" t="s">
        <v>7578</v>
      </c>
    </row>
    <row r="1564" spans="1:23">
      <c r="A1564" s="2">
        <v>46043</v>
      </c>
      <c r="B1564" s="1" t="s">
        <v>7579</v>
      </c>
      <c r="C1564" s="1" t="s">
        <v>2912</v>
      </c>
      <c r="D1564" s="1" t="s">
        <v>5252</v>
      </c>
      <c r="E1564" s="1">
        <v>85132</v>
      </c>
      <c r="F1564" s="1" t="s">
        <v>7580</v>
      </c>
      <c r="G1564" s="39" t="s">
        <v>7547</v>
      </c>
      <c r="H1564" s="4" t="s">
        <v>1881</v>
      </c>
      <c r="I1564" s="5" t="s">
        <v>7467</v>
      </c>
      <c r="J1564" s="5" t="s">
        <v>24</v>
      </c>
      <c r="K1564" s="5" t="s">
        <v>24</v>
      </c>
      <c r="L1564" s="5" t="s">
        <v>75</v>
      </c>
      <c r="M1564" s="5" t="s">
        <v>24</v>
      </c>
      <c r="N1564" s="5" t="s">
        <v>24</v>
      </c>
      <c r="O1564" s="5" t="s">
        <v>75</v>
      </c>
      <c r="P1564" s="5" t="s">
        <v>2413</v>
      </c>
      <c r="Q1564" s="33">
        <v>46049</v>
      </c>
      <c r="V1564" s="1">
        <f t="shared" si="24"/>
        <v>1</v>
      </c>
      <c r="W1564" s="1" t="s">
        <v>7581</v>
      </c>
    </row>
    <row r="1565" spans="1:23">
      <c r="A1565" s="2">
        <v>46043</v>
      </c>
      <c r="B1565" s="1" t="s">
        <v>7582</v>
      </c>
      <c r="C1565" s="1" t="s">
        <v>6673</v>
      </c>
      <c r="D1565" s="1" t="s">
        <v>3090</v>
      </c>
      <c r="E1565" s="1">
        <v>85281</v>
      </c>
      <c r="F1565" s="1" t="s">
        <v>7583</v>
      </c>
      <c r="G1565" s="39" t="s">
        <v>7547</v>
      </c>
      <c r="H1565" s="4" t="s">
        <v>512</v>
      </c>
      <c r="I1565" s="5" t="s">
        <v>2432</v>
      </c>
      <c r="J1565" s="5" t="s">
        <v>75</v>
      </c>
      <c r="K1565" s="5" t="s">
        <v>24</v>
      </c>
      <c r="L1565" s="5" t="s">
        <v>7584</v>
      </c>
      <c r="M1565" s="5" t="s">
        <v>24</v>
      </c>
      <c r="N1565" s="5" t="s">
        <v>24</v>
      </c>
      <c r="O1565" s="5" t="s">
        <v>75</v>
      </c>
      <c r="P1565" s="5" t="s">
        <v>2413</v>
      </c>
      <c r="Q1565" s="33">
        <v>46049</v>
      </c>
      <c r="V1565" s="1">
        <f t="shared" si="24"/>
        <v>1</v>
      </c>
      <c r="W1565" s="1" t="s">
        <v>7585</v>
      </c>
    </row>
    <row r="1566" spans="1:23">
      <c r="A1566" s="2">
        <v>46043</v>
      </c>
      <c r="B1566" s="1" t="s">
        <v>7586</v>
      </c>
      <c r="C1566" s="1" t="s">
        <v>7587</v>
      </c>
      <c r="D1566" s="1" t="s">
        <v>2439</v>
      </c>
      <c r="E1566" s="1">
        <v>85027</v>
      </c>
      <c r="F1566" s="1" t="s">
        <v>7588</v>
      </c>
      <c r="G1566" s="39" t="s">
        <v>7547</v>
      </c>
      <c r="H1566" s="4" t="s">
        <v>1883</v>
      </c>
      <c r="I1566" s="5" t="s">
        <v>6911</v>
      </c>
      <c r="J1566" s="5" t="s">
        <v>24</v>
      </c>
      <c r="K1566" s="5" t="s">
        <v>24</v>
      </c>
      <c r="L1566" s="5" t="s">
        <v>75</v>
      </c>
      <c r="M1566" s="5" t="s">
        <v>24</v>
      </c>
      <c r="N1566" s="5" t="s">
        <v>24</v>
      </c>
      <c r="O1566" s="5" t="s">
        <v>75</v>
      </c>
      <c r="P1566" s="5" t="s">
        <v>2413</v>
      </c>
      <c r="Q1566" s="33">
        <v>46049</v>
      </c>
      <c r="V1566" s="1">
        <f t="shared" si="24"/>
        <v>1</v>
      </c>
      <c r="W1566" s="1" t="s">
        <v>7589</v>
      </c>
    </row>
    <row r="1567" spans="1:23">
      <c r="A1567" s="2">
        <v>46043</v>
      </c>
      <c r="B1567" s="1" t="s">
        <v>7590</v>
      </c>
      <c r="C1567" s="1" t="s">
        <v>7591</v>
      </c>
      <c r="D1567" s="1" t="s">
        <v>2439</v>
      </c>
      <c r="E1567" s="1">
        <v>85003</v>
      </c>
      <c r="F1567" s="1" t="s">
        <v>7592</v>
      </c>
      <c r="G1567" s="39" t="s">
        <v>7547</v>
      </c>
      <c r="H1567" s="4" t="s">
        <v>1885</v>
      </c>
      <c r="I1567" s="5" t="s">
        <v>2412</v>
      </c>
      <c r="J1567" s="5" t="s">
        <v>24</v>
      </c>
      <c r="K1567" s="5" t="s">
        <v>24</v>
      </c>
      <c r="L1567" s="5" t="s">
        <v>75</v>
      </c>
      <c r="M1567" s="5" t="s">
        <v>24</v>
      </c>
      <c r="N1567" s="5" t="s">
        <v>24</v>
      </c>
      <c r="O1567" s="5" t="s">
        <v>75</v>
      </c>
      <c r="P1567" s="5" t="s">
        <v>2413</v>
      </c>
      <c r="Q1567" s="33">
        <v>46050</v>
      </c>
      <c r="V1567" s="1">
        <f t="shared" si="24"/>
        <v>1</v>
      </c>
      <c r="W1567" s="1" t="s">
        <v>7593</v>
      </c>
    </row>
    <row r="1568" spans="1:23">
      <c r="A1568" s="2">
        <v>46043</v>
      </c>
      <c r="B1568" s="1" t="s">
        <v>7594</v>
      </c>
      <c r="C1568" s="1" t="s">
        <v>3105</v>
      </c>
      <c r="D1568" s="1" t="s">
        <v>7273</v>
      </c>
      <c r="E1568" s="1">
        <v>85013</v>
      </c>
      <c r="F1568" s="1" t="s">
        <v>7466</v>
      </c>
      <c r="G1568" s="39" t="s">
        <v>7547</v>
      </c>
      <c r="H1568" s="4" t="s">
        <v>514</v>
      </c>
      <c r="I1568" s="5" t="s">
        <v>2597</v>
      </c>
      <c r="J1568" s="5" t="s">
        <v>24</v>
      </c>
      <c r="K1568" s="5" t="s">
        <v>24</v>
      </c>
      <c r="L1568" s="5" t="s">
        <v>7595</v>
      </c>
      <c r="M1568" s="5" t="s">
        <v>24</v>
      </c>
      <c r="N1568" s="5" t="s">
        <v>24</v>
      </c>
      <c r="O1568" s="5" t="s">
        <v>75</v>
      </c>
      <c r="Q1568" s="41">
        <v>46050</v>
      </c>
      <c r="R1568" s="1" t="s">
        <v>7469</v>
      </c>
      <c r="V1568" s="1">
        <f t="shared" si="24"/>
        <v>1</v>
      </c>
      <c r="W1568" s="1" t="s">
        <v>7596</v>
      </c>
    </row>
    <row r="1569" spans="1:23">
      <c r="A1569" s="2">
        <v>46043</v>
      </c>
      <c r="B1569" s="1" t="s">
        <v>7597</v>
      </c>
      <c r="C1569" s="1" t="s">
        <v>7598</v>
      </c>
      <c r="D1569" s="1" t="s">
        <v>2498</v>
      </c>
      <c r="E1569" s="1">
        <v>85379</v>
      </c>
      <c r="F1569" s="1" t="s">
        <v>7599</v>
      </c>
      <c r="G1569" s="39" t="s">
        <v>7547</v>
      </c>
      <c r="H1569" s="4" t="s">
        <v>2401</v>
      </c>
      <c r="Q1569" s="18"/>
      <c r="V1569" s="1">
        <f t="shared" si="24"/>
        <v>1</v>
      </c>
      <c r="W1569" s="1" t="s">
        <v>7600</v>
      </c>
    </row>
    <row r="1570" spans="1:23">
      <c r="A1570" s="2">
        <v>46043</v>
      </c>
      <c r="B1570" s="1" t="s">
        <v>7601</v>
      </c>
      <c r="C1570" s="1" t="s">
        <v>7602</v>
      </c>
      <c r="D1570" s="1" t="s">
        <v>2564</v>
      </c>
      <c r="E1570" s="1">
        <v>85338</v>
      </c>
      <c r="F1570" s="1" t="s">
        <v>7555</v>
      </c>
      <c r="G1570" s="39" t="s">
        <v>7547</v>
      </c>
      <c r="H1570" s="4" t="s">
        <v>1887</v>
      </c>
      <c r="I1570" s="5" t="s">
        <v>2597</v>
      </c>
      <c r="J1570" s="5" t="s">
        <v>24</v>
      </c>
      <c r="K1570" s="5" t="s">
        <v>24</v>
      </c>
      <c r="L1570" s="5" t="s">
        <v>75</v>
      </c>
      <c r="M1570" s="5" t="s">
        <v>24</v>
      </c>
      <c r="N1570" s="5" t="s">
        <v>24</v>
      </c>
      <c r="O1570" s="5" t="s">
        <v>75</v>
      </c>
      <c r="P1570" s="5" t="s">
        <v>2413</v>
      </c>
      <c r="Q1570" s="33">
        <v>46050</v>
      </c>
      <c r="V1570" s="1">
        <f t="shared" si="24"/>
        <v>1</v>
      </c>
      <c r="W1570" s="1" t="s">
        <v>7603</v>
      </c>
    </row>
    <row r="1571" spans="1:23">
      <c r="A1571" s="2">
        <v>46043</v>
      </c>
      <c r="B1571" s="1" t="s">
        <v>5160</v>
      </c>
      <c r="C1571" s="1" t="s">
        <v>4637</v>
      </c>
      <c r="D1571" s="1" t="s">
        <v>2439</v>
      </c>
      <c r="E1571" s="1">
        <v>85014</v>
      </c>
      <c r="F1571" s="1" t="s">
        <v>7466</v>
      </c>
      <c r="G1571" s="39" t="s">
        <v>7547</v>
      </c>
      <c r="H1571" s="4" t="s">
        <v>2471</v>
      </c>
      <c r="Q1571" s="18"/>
      <c r="V1571" s="1">
        <f t="shared" si="24"/>
        <v>1</v>
      </c>
      <c r="W1571" s="1" t="s">
        <v>7604</v>
      </c>
    </row>
    <row r="1572" spans="1:23">
      <c r="A1572" s="2">
        <v>46043</v>
      </c>
      <c r="B1572" s="1" t="s">
        <v>7605</v>
      </c>
      <c r="C1572" s="1" t="s">
        <v>7606</v>
      </c>
      <c r="D1572" s="1" t="s">
        <v>2498</v>
      </c>
      <c r="E1572" s="1">
        <v>85387</v>
      </c>
      <c r="F1572" s="1" t="s">
        <v>7607</v>
      </c>
      <c r="G1572" s="39" t="s">
        <v>7547</v>
      </c>
      <c r="H1572" s="4" t="s">
        <v>516</v>
      </c>
      <c r="I1572" s="5" t="s">
        <v>2597</v>
      </c>
      <c r="J1572" s="5" t="s">
        <v>24</v>
      </c>
      <c r="K1572" s="5" t="s">
        <v>24</v>
      </c>
      <c r="L1572" s="5" t="s">
        <v>7608</v>
      </c>
      <c r="M1572" s="5" t="s">
        <v>24</v>
      </c>
      <c r="N1572" s="5" t="s">
        <v>24</v>
      </c>
      <c r="O1572" s="5" t="s">
        <v>75</v>
      </c>
      <c r="P1572" s="5" t="s">
        <v>2413</v>
      </c>
      <c r="Q1572" s="33">
        <v>46050</v>
      </c>
      <c r="V1572" s="1">
        <f t="shared" si="24"/>
        <v>1</v>
      </c>
      <c r="W1572" s="1" t="s">
        <v>7609</v>
      </c>
    </row>
    <row r="1573" spans="1:23">
      <c r="A1573" s="2">
        <v>46043</v>
      </c>
      <c r="B1573" s="1" t="s">
        <v>7610</v>
      </c>
      <c r="C1573" s="1" t="s">
        <v>7611</v>
      </c>
      <c r="D1573" s="1" t="s">
        <v>2605</v>
      </c>
      <c r="E1573" s="1">
        <v>85383</v>
      </c>
      <c r="F1573" s="1" t="s">
        <v>7612</v>
      </c>
      <c r="G1573" s="39" t="s">
        <v>7547</v>
      </c>
      <c r="H1573" s="4" t="s">
        <v>2401</v>
      </c>
      <c r="Q1573" s="18"/>
      <c r="V1573" s="1">
        <f t="shared" si="24"/>
        <v>1</v>
      </c>
      <c r="W1573" s="1" t="s">
        <v>7613</v>
      </c>
    </row>
    <row r="1574" spans="1:23">
      <c r="A1574" s="2">
        <v>46043</v>
      </c>
      <c r="B1574" s="1" t="s">
        <v>7610</v>
      </c>
      <c r="C1574" s="1" t="s">
        <v>7614</v>
      </c>
      <c r="D1574" s="1" t="s">
        <v>2475</v>
      </c>
      <c r="E1574" s="1">
        <v>85351</v>
      </c>
      <c r="F1574" s="1" t="s">
        <v>7615</v>
      </c>
      <c r="G1574" s="39" t="s">
        <v>7547</v>
      </c>
      <c r="H1574" s="4" t="s">
        <v>518</v>
      </c>
      <c r="I1574" s="5" t="s">
        <v>2597</v>
      </c>
      <c r="J1574" s="5" t="s">
        <v>75</v>
      </c>
      <c r="K1574" s="5" t="s">
        <v>24</v>
      </c>
      <c r="L1574" s="5" t="s">
        <v>7616</v>
      </c>
      <c r="M1574" s="5" t="s">
        <v>24</v>
      </c>
      <c r="N1574" s="5" t="s">
        <v>24</v>
      </c>
      <c r="O1574" s="5" t="s">
        <v>75</v>
      </c>
      <c r="Q1574" s="41">
        <v>46050</v>
      </c>
      <c r="R1574" s="1" t="s">
        <v>7469</v>
      </c>
      <c r="V1574" s="1">
        <f t="shared" si="24"/>
        <v>1</v>
      </c>
      <c r="W1574" s="1" t="s">
        <v>7617</v>
      </c>
    </row>
    <row r="1575" spans="1:23">
      <c r="A1575" s="2">
        <v>46043</v>
      </c>
      <c r="B1575" s="1" t="s">
        <v>4510</v>
      </c>
      <c r="C1575" s="1" t="s">
        <v>3434</v>
      </c>
      <c r="D1575" s="1" t="s">
        <v>2398</v>
      </c>
      <c r="E1575" s="1">
        <v>85308</v>
      </c>
      <c r="F1575" s="1" t="s">
        <v>7618</v>
      </c>
      <c r="G1575" s="39" t="s">
        <v>7547</v>
      </c>
      <c r="H1575" s="4" t="s">
        <v>520</v>
      </c>
      <c r="I1575" s="5" t="s">
        <v>2514</v>
      </c>
      <c r="J1575" s="5" t="s">
        <v>24</v>
      </c>
      <c r="K1575" s="5" t="s">
        <v>24</v>
      </c>
      <c r="L1575" s="5" t="s">
        <v>7619</v>
      </c>
      <c r="M1575" s="5" t="s">
        <v>24</v>
      </c>
      <c r="N1575" s="5" t="s">
        <v>24</v>
      </c>
      <c r="O1575" s="5" t="s">
        <v>75</v>
      </c>
      <c r="P1575" s="5" t="s">
        <v>2413</v>
      </c>
      <c r="Q1575" s="33">
        <v>46050</v>
      </c>
      <c r="R1575" s="1" t="s">
        <v>7620</v>
      </c>
      <c r="V1575" s="1">
        <f t="shared" si="24"/>
        <v>1</v>
      </c>
      <c r="W1575" s="1" t="s">
        <v>7621</v>
      </c>
    </row>
    <row r="1576" spans="1:23">
      <c r="A1576" s="2">
        <v>46043</v>
      </c>
      <c r="B1576" s="1" t="s">
        <v>3763</v>
      </c>
      <c r="C1576" s="1" t="s">
        <v>7622</v>
      </c>
      <c r="D1576" s="1" t="s">
        <v>2498</v>
      </c>
      <c r="E1576" s="1">
        <v>85374</v>
      </c>
      <c r="F1576" s="1" t="s">
        <v>7623</v>
      </c>
      <c r="G1576" s="39" t="s">
        <v>7547</v>
      </c>
      <c r="H1576" s="4" t="s">
        <v>2401</v>
      </c>
      <c r="Q1576" s="18"/>
      <c r="V1576" s="1">
        <f t="shared" si="24"/>
        <v>1</v>
      </c>
      <c r="W1576" s="1" t="s">
        <v>7624</v>
      </c>
    </row>
    <row r="1577" spans="1:23">
      <c r="A1577" s="2">
        <v>46043</v>
      </c>
      <c r="B1577" s="1" t="s">
        <v>7625</v>
      </c>
      <c r="C1577" s="1" t="s">
        <v>4505</v>
      </c>
      <c r="D1577" s="1" t="s">
        <v>5252</v>
      </c>
      <c r="E1577" s="1">
        <v>85132</v>
      </c>
      <c r="F1577" s="1" t="s">
        <v>7626</v>
      </c>
      <c r="G1577" s="39" t="s">
        <v>7547</v>
      </c>
      <c r="H1577" s="4" t="s">
        <v>2401</v>
      </c>
      <c r="Q1577" s="18"/>
      <c r="V1577" s="1">
        <f t="shared" si="24"/>
        <v>1</v>
      </c>
      <c r="W1577" s="1" t="s">
        <v>7627</v>
      </c>
    </row>
    <row r="1578" spans="1:23">
      <c r="A1578" s="2">
        <v>46043</v>
      </c>
      <c r="B1578" s="1" t="s">
        <v>7628</v>
      </c>
      <c r="C1578" s="1" t="s">
        <v>7629</v>
      </c>
      <c r="D1578" s="1" t="s">
        <v>2513</v>
      </c>
      <c r="E1578" s="1">
        <v>85254</v>
      </c>
      <c r="F1578" s="1" t="s">
        <v>7630</v>
      </c>
      <c r="G1578" s="39" t="s">
        <v>7547</v>
      </c>
      <c r="H1578" s="4" t="s">
        <v>522</v>
      </c>
      <c r="I1578" s="5" t="s">
        <v>2597</v>
      </c>
      <c r="J1578" s="5" t="s">
        <v>24</v>
      </c>
      <c r="K1578" s="5" t="s">
        <v>24</v>
      </c>
      <c r="L1578" s="5" t="s">
        <v>7631</v>
      </c>
      <c r="M1578" s="5" t="s">
        <v>24</v>
      </c>
      <c r="N1578" s="5" t="s">
        <v>24</v>
      </c>
      <c r="O1578" s="5" t="s">
        <v>75</v>
      </c>
      <c r="Q1578" s="41">
        <v>46050</v>
      </c>
      <c r="R1578" s="1" t="s">
        <v>7066</v>
      </c>
      <c r="V1578" s="1">
        <f t="shared" si="24"/>
        <v>1</v>
      </c>
      <c r="W1578" s="1" t="s">
        <v>7632</v>
      </c>
    </row>
    <row r="1579" spans="1:23">
      <c r="A1579" s="2">
        <v>46043</v>
      </c>
      <c r="B1579" s="1" t="s">
        <v>7633</v>
      </c>
      <c r="C1579" s="1" t="s">
        <v>7634</v>
      </c>
      <c r="D1579" s="1" t="s">
        <v>2439</v>
      </c>
      <c r="E1579" s="1">
        <v>85013</v>
      </c>
      <c r="F1579" s="1" t="s">
        <v>7635</v>
      </c>
      <c r="G1579" s="39" t="s">
        <v>7547</v>
      </c>
      <c r="H1579" s="4" t="s">
        <v>524</v>
      </c>
      <c r="I1579" s="5" t="s">
        <v>2597</v>
      </c>
      <c r="J1579" s="5" t="s">
        <v>24</v>
      </c>
      <c r="K1579" s="5" t="s">
        <v>24</v>
      </c>
      <c r="L1579" s="5" t="s">
        <v>7636</v>
      </c>
      <c r="M1579" s="5" t="s">
        <v>24</v>
      </c>
      <c r="N1579" s="5" t="s">
        <v>24</v>
      </c>
      <c r="O1579" s="5" t="s">
        <v>75</v>
      </c>
      <c r="Q1579" s="41">
        <v>46050</v>
      </c>
      <c r="R1579" s="1" t="s">
        <v>7066</v>
      </c>
      <c r="V1579" s="1">
        <f t="shared" si="24"/>
        <v>1</v>
      </c>
      <c r="W1579" s="1" t="s">
        <v>7637</v>
      </c>
    </row>
    <row r="1580" spans="1:23">
      <c r="A1580" s="2">
        <v>46043</v>
      </c>
      <c r="B1580" s="1" t="s">
        <v>7638</v>
      </c>
      <c r="C1580" s="1" t="s">
        <v>2812</v>
      </c>
      <c r="D1580" s="1" t="s">
        <v>2439</v>
      </c>
      <c r="E1580" s="1">
        <v>85032</v>
      </c>
      <c r="F1580" s="1" t="s">
        <v>7639</v>
      </c>
      <c r="G1580" s="39" t="s">
        <v>7547</v>
      </c>
      <c r="H1580" s="4" t="s">
        <v>1889</v>
      </c>
      <c r="I1580" s="5" t="s">
        <v>2597</v>
      </c>
      <c r="J1580" s="5" t="s">
        <v>24</v>
      </c>
      <c r="K1580" s="5" t="s">
        <v>24</v>
      </c>
      <c r="L1580" s="5" t="s">
        <v>75</v>
      </c>
      <c r="M1580" s="5" t="s">
        <v>24</v>
      </c>
      <c r="N1580" s="5" t="s">
        <v>24</v>
      </c>
      <c r="O1580" s="5" t="s">
        <v>75</v>
      </c>
      <c r="P1580" s="5" t="s">
        <v>2413</v>
      </c>
      <c r="Q1580" s="33">
        <v>46050</v>
      </c>
      <c r="V1580" s="1">
        <f t="shared" si="24"/>
        <v>1</v>
      </c>
      <c r="W1580" s="1" t="s">
        <v>7640</v>
      </c>
    </row>
    <row r="1581" spans="1:23">
      <c r="A1581" s="2">
        <v>46043</v>
      </c>
      <c r="B1581" s="1" t="s">
        <v>7641</v>
      </c>
      <c r="C1581" s="1" t="s">
        <v>2745</v>
      </c>
      <c r="D1581" s="1" t="s">
        <v>2513</v>
      </c>
      <c r="E1581" s="1">
        <v>85254</v>
      </c>
      <c r="F1581" s="1" t="s">
        <v>7642</v>
      </c>
      <c r="G1581" s="39" t="s">
        <v>7547</v>
      </c>
      <c r="H1581" s="4" t="s">
        <v>526</v>
      </c>
      <c r="I1581" s="5" t="s">
        <v>2412</v>
      </c>
      <c r="J1581" s="5" t="s">
        <v>24</v>
      </c>
      <c r="K1581" s="5" t="s">
        <v>24</v>
      </c>
      <c r="L1581" s="5" t="s">
        <v>7643</v>
      </c>
      <c r="M1581" s="5" t="s">
        <v>24</v>
      </c>
      <c r="N1581" s="5" t="s">
        <v>24</v>
      </c>
      <c r="O1581" s="5" t="s">
        <v>75</v>
      </c>
      <c r="Q1581" s="41">
        <v>46050</v>
      </c>
      <c r="R1581" s="1" t="s">
        <v>7644</v>
      </c>
      <c r="V1581" s="1">
        <f t="shared" si="24"/>
        <v>1</v>
      </c>
      <c r="W1581" s="1" t="s">
        <v>7645</v>
      </c>
    </row>
    <row r="1582" spans="1:23">
      <c r="A1582" s="2">
        <v>46043</v>
      </c>
      <c r="B1582" s="1" t="s">
        <v>7646</v>
      </c>
      <c r="C1582" s="1" t="s">
        <v>2521</v>
      </c>
      <c r="D1582" s="1" t="s">
        <v>2439</v>
      </c>
      <c r="E1582" s="1">
        <v>85024</v>
      </c>
      <c r="F1582" s="1" t="s">
        <v>7647</v>
      </c>
      <c r="G1582" s="39" t="s">
        <v>7547</v>
      </c>
      <c r="H1582" s="4" t="s">
        <v>1891</v>
      </c>
      <c r="I1582" s="5" t="s">
        <v>2451</v>
      </c>
      <c r="J1582" s="5" t="s">
        <v>24</v>
      </c>
      <c r="K1582" s="5" t="s">
        <v>24</v>
      </c>
      <c r="L1582" s="5" t="s">
        <v>75</v>
      </c>
      <c r="M1582" s="5" t="s">
        <v>24</v>
      </c>
      <c r="N1582" s="5" t="s">
        <v>24</v>
      </c>
      <c r="O1582" s="5" t="s">
        <v>75</v>
      </c>
      <c r="P1582" s="5" t="s">
        <v>2413</v>
      </c>
      <c r="Q1582" s="33">
        <v>46050</v>
      </c>
      <c r="V1582" s="1">
        <f t="shared" si="24"/>
        <v>1</v>
      </c>
      <c r="W1582" s="1" t="s">
        <v>7648</v>
      </c>
    </row>
    <row r="1583" spans="1:23">
      <c r="A1583" s="2">
        <v>46043</v>
      </c>
      <c r="B1583" s="1" t="s">
        <v>7649</v>
      </c>
      <c r="C1583" s="1" t="s">
        <v>7650</v>
      </c>
      <c r="D1583" s="1" t="s">
        <v>2439</v>
      </c>
      <c r="E1583" s="1">
        <v>85029</v>
      </c>
      <c r="F1583" s="1" t="s">
        <v>7651</v>
      </c>
      <c r="G1583" s="39" t="s">
        <v>7547</v>
      </c>
      <c r="H1583" s="4" t="s">
        <v>528</v>
      </c>
      <c r="I1583" s="5" t="s">
        <v>2412</v>
      </c>
      <c r="J1583" s="5" t="s">
        <v>75</v>
      </c>
      <c r="K1583" s="5" t="s">
        <v>24</v>
      </c>
      <c r="L1583" s="5" t="s">
        <v>7652</v>
      </c>
      <c r="M1583" s="5" t="s">
        <v>24</v>
      </c>
      <c r="N1583" s="5" t="s">
        <v>24</v>
      </c>
      <c r="O1583" s="5" t="s">
        <v>75</v>
      </c>
      <c r="P1583" s="5" t="s">
        <v>2413</v>
      </c>
      <c r="Q1583" s="33">
        <v>46050</v>
      </c>
      <c r="V1583" s="1">
        <f t="shared" si="24"/>
        <v>1</v>
      </c>
      <c r="W1583" s="1" t="s">
        <v>7653</v>
      </c>
    </row>
    <row r="1584" spans="1:23">
      <c r="A1584" s="2">
        <v>46043</v>
      </c>
      <c r="B1584" s="1" t="s">
        <v>2562</v>
      </c>
      <c r="C1584" s="1" t="s">
        <v>7654</v>
      </c>
      <c r="D1584" s="1" t="s">
        <v>2498</v>
      </c>
      <c r="E1584" s="1">
        <v>85388</v>
      </c>
      <c r="F1584" s="1" t="s">
        <v>7655</v>
      </c>
      <c r="G1584" s="39" t="s">
        <v>7547</v>
      </c>
      <c r="H1584" s="4" t="s">
        <v>2401</v>
      </c>
      <c r="Q1584" s="18"/>
      <c r="V1584" s="1">
        <f t="shared" si="24"/>
        <v>1</v>
      </c>
      <c r="W1584" s="1" t="s">
        <v>7656</v>
      </c>
    </row>
    <row r="1585" spans="1:23">
      <c r="A1585" s="2">
        <v>46043</v>
      </c>
      <c r="B1585" s="1" t="s">
        <v>7657</v>
      </c>
      <c r="C1585" s="1" t="s">
        <v>7658</v>
      </c>
      <c r="D1585" s="1" t="s">
        <v>2439</v>
      </c>
      <c r="E1585" s="1">
        <v>85014</v>
      </c>
      <c r="F1585" s="1" t="s">
        <v>7659</v>
      </c>
      <c r="G1585" s="39" t="s">
        <v>7547</v>
      </c>
      <c r="H1585" s="4" t="s">
        <v>1893</v>
      </c>
      <c r="I1585" s="5" t="s">
        <v>2451</v>
      </c>
      <c r="J1585" s="5" t="s">
        <v>24</v>
      </c>
      <c r="K1585" s="5" t="s">
        <v>24</v>
      </c>
      <c r="L1585" s="5" t="s">
        <v>75</v>
      </c>
      <c r="M1585" s="5" t="s">
        <v>24</v>
      </c>
      <c r="N1585" s="5" t="s">
        <v>24</v>
      </c>
      <c r="O1585" s="5" t="s">
        <v>75</v>
      </c>
      <c r="P1585" s="5" t="s">
        <v>2413</v>
      </c>
      <c r="Q1585" s="33">
        <v>46050</v>
      </c>
      <c r="V1585" s="1">
        <f t="shared" si="24"/>
        <v>1</v>
      </c>
      <c r="W1585" s="1" t="s">
        <v>7660</v>
      </c>
    </row>
    <row r="1586" spans="1:23">
      <c r="A1586" s="2">
        <v>46043</v>
      </c>
      <c r="B1586" s="1" t="s">
        <v>7661</v>
      </c>
      <c r="C1586" s="1" t="s">
        <v>7662</v>
      </c>
      <c r="D1586" s="1" t="s">
        <v>3166</v>
      </c>
      <c r="E1586" s="1">
        <v>85375</v>
      </c>
      <c r="F1586" s="1" t="s">
        <v>7663</v>
      </c>
      <c r="G1586" s="39" t="s">
        <v>7547</v>
      </c>
      <c r="H1586" s="4" t="s">
        <v>1895</v>
      </c>
      <c r="I1586" s="5" t="s">
        <v>2451</v>
      </c>
      <c r="J1586" s="5" t="s">
        <v>24</v>
      </c>
      <c r="K1586" s="5" t="s">
        <v>24</v>
      </c>
      <c r="L1586" s="5" t="s">
        <v>75</v>
      </c>
      <c r="M1586" s="5" t="s">
        <v>24</v>
      </c>
      <c r="N1586" s="5" t="s">
        <v>24</v>
      </c>
      <c r="O1586" s="5" t="s">
        <v>75</v>
      </c>
      <c r="P1586" s="5" t="s">
        <v>2413</v>
      </c>
      <c r="Q1586" s="33">
        <v>46050</v>
      </c>
      <c r="V1586" s="1">
        <f t="shared" si="24"/>
        <v>1</v>
      </c>
      <c r="W1586" s="1" t="s">
        <v>7664</v>
      </c>
    </row>
    <row r="1587" spans="1:23">
      <c r="A1587" s="2">
        <v>46043</v>
      </c>
      <c r="B1587" s="1" t="s">
        <v>7665</v>
      </c>
      <c r="C1587" s="1" t="s">
        <v>7666</v>
      </c>
      <c r="D1587" s="1" t="s">
        <v>2439</v>
      </c>
      <c r="E1587" s="1">
        <v>85028</v>
      </c>
      <c r="F1587" s="1" t="s">
        <v>7667</v>
      </c>
      <c r="G1587" s="39" t="s">
        <v>7547</v>
      </c>
      <c r="H1587" s="4" t="s">
        <v>1897</v>
      </c>
      <c r="I1587" s="5" t="s">
        <v>2597</v>
      </c>
      <c r="J1587" s="5" t="s">
        <v>24</v>
      </c>
      <c r="K1587" s="5" t="s">
        <v>24</v>
      </c>
      <c r="L1587" s="5" t="s">
        <v>75</v>
      </c>
      <c r="M1587" s="5" t="s">
        <v>24</v>
      </c>
      <c r="N1587" s="5" t="s">
        <v>24</v>
      </c>
      <c r="O1587" s="5" t="s">
        <v>75</v>
      </c>
      <c r="P1587" s="5" t="s">
        <v>2413</v>
      </c>
      <c r="Q1587" s="33">
        <v>46050</v>
      </c>
      <c r="V1587" s="1">
        <f t="shared" si="24"/>
        <v>1</v>
      </c>
      <c r="W1587" s="1" t="s">
        <v>7668</v>
      </c>
    </row>
    <row r="1588" spans="1:23">
      <c r="A1588" s="2">
        <v>46043</v>
      </c>
      <c r="B1588" s="1" t="s">
        <v>7669</v>
      </c>
      <c r="C1588" s="1" t="s">
        <v>7670</v>
      </c>
      <c r="D1588" s="1" t="s">
        <v>2398</v>
      </c>
      <c r="E1588" s="1">
        <v>85308</v>
      </c>
      <c r="F1588" s="1" t="s">
        <v>7671</v>
      </c>
      <c r="G1588" s="39" t="s">
        <v>7547</v>
      </c>
      <c r="H1588" s="4" t="s">
        <v>1899</v>
      </c>
      <c r="I1588" s="5" t="s">
        <v>2420</v>
      </c>
      <c r="J1588" s="5" t="s">
        <v>24</v>
      </c>
      <c r="K1588" s="5" t="s">
        <v>24</v>
      </c>
      <c r="L1588" s="5" t="s">
        <v>75</v>
      </c>
      <c r="M1588" s="5" t="s">
        <v>24</v>
      </c>
      <c r="N1588" s="5" t="s">
        <v>24</v>
      </c>
      <c r="O1588" s="5" t="s">
        <v>75</v>
      </c>
      <c r="P1588" s="5" t="s">
        <v>2413</v>
      </c>
      <c r="Q1588" s="33">
        <v>46050</v>
      </c>
      <c r="V1588" s="1">
        <f t="shared" si="24"/>
        <v>1</v>
      </c>
      <c r="W1588" s="1" t="s">
        <v>7672</v>
      </c>
    </row>
    <row r="1589" spans="1:23">
      <c r="A1589" s="2">
        <v>46043</v>
      </c>
      <c r="B1589" s="1" t="s">
        <v>7673</v>
      </c>
      <c r="C1589" s="1" t="s">
        <v>5071</v>
      </c>
      <c r="D1589" s="1" t="s">
        <v>2475</v>
      </c>
      <c r="E1589" s="1">
        <v>85351</v>
      </c>
      <c r="F1589" s="1" t="s">
        <v>7674</v>
      </c>
      <c r="G1589" s="39" t="s">
        <v>7547</v>
      </c>
      <c r="H1589" s="4" t="s">
        <v>530</v>
      </c>
      <c r="I1589" s="5" t="s">
        <v>2597</v>
      </c>
      <c r="J1589" s="5" t="s">
        <v>24</v>
      </c>
      <c r="K1589" s="5" t="s">
        <v>24</v>
      </c>
      <c r="L1589" s="5" t="s">
        <v>7675</v>
      </c>
      <c r="M1589" s="5" t="s">
        <v>24</v>
      </c>
      <c r="N1589" s="5" t="s">
        <v>24</v>
      </c>
      <c r="O1589" s="5" t="s">
        <v>75</v>
      </c>
      <c r="Q1589" s="41">
        <v>46050</v>
      </c>
      <c r="R1589" s="1" t="s">
        <v>7066</v>
      </c>
      <c r="V1589" s="1">
        <f t="shared" si="24"/>
        <v>1</v>
      </c>
      <c r="W1589" s="1" t="s">
        <v>7676</v>
      </c>
    </row>
    <row r="1590" spans="1:23">
      <c r="A1590" s="2">
        <v>46043</v>
      </c>
      <c r="B1590" s="1" t="s">
        <v>7677</v>
      </c>
      <c r="C1590" s="1" t="s">
        <v>3207</v>
      </c>
      <c r="D1590" s="1" t="s">
        <v>2475</v>
      </c>
      <c r="E1590" s="1">
        <v>85373</v>
      </c>
      <c r="F1590" s="1" t="s">
        <v>7678</v>
      </c>
      <c r="G1590" s="39" t="s">
        <v>7547</v>
      </c>
      <c r="H1590" s="4" t="s">
        <v>1901</v>
      </c>
      <c r="I1590" s="5" t="s">
        <v>7340</v>
      </c>
      <c r="J1590" s="5" t="s">
        <v>24</v>
      </c>
      <c r="K1590" s="5" t="s">
        <v>24</v>
      </c>
      <c r="L1590" s="5" t="s">
        <v>2819</v>
      </c>
      <c r="M1590" s="5" t="s">
        <v>24</v>
      </c>
      <c r="N1590" s="5" t="s">
        <v>24</v>
      </c>
      <c r="O1590" s="5" t="s">
        <v>75</v>
      </c>
      <c r="P1590" s="5" t="s">
        <v>2413</v>
      </c>
      <c r="Q1590" s="33">
        <v>46050</v>
      </c>
      <c r="V1590" s="1">
        <f t="shared" si="24"/>
        <v>1</v>
      </c>
      <c r="W1590" s="1" t="s">
        <v>7679</v>
      </c>
    </row>
    <row r="1591" spans="1:23">
      <c r="A1591" s="2">
        <v>46043</v>
      </c>
      <c r="B1591" s="1" t="s">
        <v>3815</v>
      </c>
      <c r="C1591" s="1" t="s">
        <v>3974</v>
      </c>
      <c r="D1591" s="1" t="s">
        <v>5252</v>
      </c>
      <c r="E1591" s="1">
        <v>85132</v>
      </c>
      <c r="F1591" s="1" t="s">
        <v>7466</v>
      </c>
      <c r="G1591" s="39" t="s">
        <v>7547</v>
      </c>
      <c r="H1591" s="4" t="s">
        <v>1903</v>
      </c>
      <c r="I1591" s="5" t="s">
        <v>7467</v>
      </c>
      <c r="J1591" s="5" t="s">
        <v>24</v>
      </c>
      <c r="K1591" s="5" t="s">
        <v>24</v>
      </c>
      <c r="L1591" s="5" t="s">
        <v>75</v>
      </c>
      <c r="M1591" s="5" t="s">
        <v>24</v>
      </c>
      <c r="N1591" s="5" t="s">
        <v>24</v>
      </c>
      <c r="O1591" s="5" t="s">
        <v>75</v>
      </c>
      <c r="P1591" s="5" t="s">
        <v>2413</v>
      </c>
      <c r="Q1591" s="33">
        <v>46050</v>
      </c>
      <c r="V1591" s="1">
        <f t="shared" si="24"/>
        <v>1</v>
      </c>
      <c r="W1591" s="1" t="s">
        <v>7680</v>
      </c>
    </row>
    <row r="1592" spans="1:23">
      <c r="A1592" s="2">
        <v>46043</v>
      </c>
      <c r="B1592" s="1" t="s">
        <v>7681</v>
      </c>
      <c r="C1592" s="1" t="s">
        <v>7682</v>
      </c>
      <c r="D1592" s="1" t="s">
        <v>4826</v>
      </c>
      <c r="E1592" s="1">
        <v>86333</v>
      </c>
      <c r="F1592" s="1" t="s">
        <v>7683</v>
      </c>
      <c r="G1592" s="39" t="s">
        <v>7547</v>
      </c>
      <c r="H1592" s="4" t="s">
        <v>2401</v>
      </c>
      <c r="Q1592" s="18"/>
      <c r="V1592" s="1">
        <f t="shared" si="24"/>
        <v>1</v>
      </c>
      <c r="W1592" s="1" t="s">
        <v>7684</v>
      </c>
    </row>
    <row r="1593" spans="1:23">
      <c r="A1593" s="2">
        <v>46043</v>
      </c>
      <c r="B1593" s="1" t="s">
        <v>7685</v>
      </c>
      <c r="C1593" s="1" t="s">
        <v>2454</v>
      </c>
      <c r="D1593" s="1" t="s">
        <v>2475</v>
      </c>
      <c r="E1593" s="1">
        <v>85351</v>
      </c>
      <c r="F1593" s="1" t="s">
        <v>7686</v>
      </c>
      <c r="G1593" s="39" t="s">
        <v>7547</v>
      </c>
      <c r="H1593" s="4" t="s">
        <v>2401</v>
      </c>
      <c r="Q1593" s="18"/>
      <c r="V1593" s="1">
        <f t="shared" si="24"/>
        <v>1</v>
      </c>
      <c r="W1593" s="1" t="s">
        <v>7687</v>
      </c>
    </row>
    <row r="1594" spans="1:23">
      <c r="A1594" s="2">
        <v>46043</v>
      </c>
      <c r="B1594" s="1" t="s">
        <v>4891</v>
      </c>
      <c r="C1594" s="1" t="s">
        <v>3221</v>
      </c>
      <c r="D1594" s="1" t="s">
        <v>4892</v>
      </c>
      <c r="E1594" s="1">
        <v>86327</v>
      </c>
      <c r="F1594" s="1" t="s">
        <v>7688</v>
      </c>
      <c r="G1594" s="39" t="s">
        <v>7547</v>
      </c>
      <c r="H1594" s="4" t="s">
        <v>532</v>
      </c>
      <c r="I1594" s="5" t="s">
        <v>2514</v>
      </c>
      <c r="J1594" s="5" t="s">
        <v>24</v>
      </c>
      <c r="K1594" s="5" t="s">
        <v>24</v>
      </c>
      <c r="L1594" s="5" t="s">
        <v>7689</v>
      </c>
      <c r="M1594" s="5" t="s">
        <v>24</v>
      </c>
      <c r="N1594" s="5" t="s">
        <v>24</v>
      </c>
      <c r="O1594" s="5" t="s">
        <v>75</v>
      </c>
      <c r="P1594" s="5" t="s">
        <v>2413</v>
      </c>
      <c r="Q1594" s="33">
        <v>46050</v>
      </c>
      <c r="V1594" s="1">
        <f t="shared" si="24"/>
        <v>1</v>
      </c>
      <c r="W1594" s="1" t="s">
        <v>7690</v>
      </c>
    </row>
    <row r="1595" spans="1:23">
      <c r="A1595" s="2">
        <v>46043</v>
      </c>
      <c r="B1595" s="1" t="s">
        <v>7691</v>
      </c>
      <c r="C1595" s="1" t="s">
        <v>6413</v>
      </c>
      <c r="D1595" s="1" t="s">
        <v>2439</v>
      </c>
      <c r="E1595" s="1">
        <v>85014</v>
      </c>
      <c r="F1595" s="1" t="s">
        <v>7692</v>
      </c>
      <c r="G1595" s="39" t="s">
        <v>7547</v>
      </c>
      <c r="H1595" s="4" t="s">
        <v>1905</v>
      </c>
      <c r="I1595" s="5" t="s">
        <v>6911</v>
      </c>
      <c r="J1595" s="5" t="s">
        <v>24</v>
      </c>
      <c r="K1595" s="5" t="s">
        <v>24</v>
      </c>
      <c r="L1595" s="5" t="s">
        <v>2819</v>
      </c>
      <c r="M1595" s="5" t="s">
        <v>24</v>
      </c>
      <c r="N1595" s="5" t="s">
        <v>24</v>
      </c>
      <c r="O1595" s="5" t="s">
        <v>75</v>
      </c>
      <c r="P1595" s="5" t="s">
        <v>2413</v>
      </c>
      <c r="Q1595" s="33">
        <v>46050</v>
      </c>
      <c r="V1595" s="1">
        <f t="shared" si="24"/>
        <v>1</v>
      </c>
      <c r="W1595" s="1" t="s">
        <v>7693</v>
      </c>
    </row>
    <row r="1596" spans="1:23">
      <c r="A1596" s="2">
        <v>46043</v>
      </c>
      <c r="B1596" s="1" t="s">
        <v>7694</v>
      </c>
      <c r="C1596" s="1" t="s">
        <v>2754</v>
      </c>
      <c r="D1596" s="1" t="s">
        <v>2498</v>
      </c>
      <c r="E1596" s="1">
        <v>85379</v>
      </c>
      <c r="F1596" s="1" t="s">
        <v>7695</v>
      </c>
      <c r="G1596" s="39" t="s">
        <v>7547</v>
      </c>
      <c r="H1596" s="4" t="s">
        <v>1907</v>
      </c>
      <c r="I1596" s="5" t="s">
        <v>2412</v>
      </c>
      <c r="J1596" s="5" t="s">
        <v>75</v>
      </c>
      <c r="K1596" s="5" t="s">
        <v>24</v>
      </c>
      <c r="L1596" s="5" t="s">
        <v>75</v>
      </c>
      <c r="M1596" s="5" t="s">
        <v>24</v>
      </c>
      <c r="N1596" s="5" t="s">
        <v>24</v>
      </c>
      <c r="O1596" s="5" t="s">
        <v>75</v>
      </c>
      <c r="P1596" s="5" t="s">
        <v>2413</v>
      </c>
      <c r="Q1596" s="33">
        <v>46050</v>
      </c>
      <c r="V1596" s="1">
        <f t="shared" si="24"/>
        <v>1</v>
      </c>
      <c r="W1596" s="1" t="s">
        <v>7696</v>
      </c>
    </row>
    <row r="1597" spans="1:23">
      <c r="A1597" s="2">
        <v>46043</v>
      </c>
      <c r="B1597" s="1" t="s">
        <v>7697</v>
      </c>
      <c r="C1597" s="1" t="s">
        <v>2912</v>
      </c>
      <c r="D1597" s="1" t="s">
        <v>2439</v>
      </c>
      <c r="E1597" s="1">
        <v>85029</v>
      </c>
      <c r="F1597" s="1" t="s">
        <v>7698</v>
      </c>
      <c r="G1597" s="39" t="s">
        <v>7547</v>
      </c>
      <c r="H1597" s="4" t="s">
        <v>534</v>
      </c>
      <c r="I1597" s="5" t="s">
        <v>2597</v>
      </c>
      <c r="J1597" s="5" t="s">
        <v>75</v>
      </c>
      <c r="K1597" s="5" t="s">
        <v>24</v>
      </c>
      <c r="L1597" s="5" t="s">
        <v>7699</v>
      </c>
      <c r="M1597" s="5" t="s">
        <v>24</v>
      </c>
      <c r="N1597" s="5" t="s">
        <v>24</v>
      </c>
      <c r="O1597" s="5" t="s">
        <v>75</v>
      </c>
      <c r="P1597" s="5" t="s">
        <v>2413</v>
      </c>
      <c r="Q1597" s="33">
        <v>46050</v>
      </c>
      <c r="V1597" s="1">
        <f t="shared" si="24"/>
        <v>1</v>
      </c>
      <c r="W1597" s="1" t="s">
        <v>7700</v>
      </c>
    </row>
    <row r="1598" spans="1:23">
      <c r="A1598" s="2">
        <v>46044</v>
      </c>
      <c r="B1598" s="1" t="s">
        <v>5064</v>
      </c>
      <c r="C1598" s="1" t="s">
        <v>3851</v>
      </c>
      <c r="D1598" s="1" t="s">
        <v>2498</v>
      </c>
      <c r="E1598" s="1">
        <v>85387</v>
      </c>
      <c r="F1598" s="1" t="s">
        <v>7701</v>
      </c>
      <c r="G1598" s="39" t="s">
        <v>7702</v>
      </c>
      <c r="H1598" s="4" t="s">
        <v>2401</v>
      </c>
      <c r="Q1598" s="18"/>
      <c r="V1598" s="1">
        <f t="shared" si="24"/>
        <v>1</v>
      </c>
      <c r="W1598" s="1" t="s">
        <v>7703</v>
      </c>
    </row>
    <row r="1599" spans="1:23">
      <c r="A1599" s="2">
        <v>46044</v>
      </c>
      <c r="B1599" s="1" t="s">
        <v>7704</v>
      </c>
      <c r="C1599" s="1" t="s">
        <v>4566</v>
      </c>
      <c r="D1599" s="1" t="s">
        <v>3090</v>
      </c>
      <c r="E1599" s="1">
        <v>85281</v>
      </c>
      <c r="F1599" s="1" t="s">
        <v>7705</v>
      </c>
      <c r="G1599" s="39" t="s">
        <v>7702</v>
      </c>
      <c r="H1599" s="4" t="s">
        <v>1909</v>
      </c>
      <c r="I1599" s="5" t="s">
        <v>2412</v>
      </c>
      <c r="J1599" s="5" t="s">
        <v>24</v>
      </c>
      <c r="K1599" s="5" t="s">
        <v>24</v>
      </c>
      <c r="L1599" s="5" t="s">
        <v>75</v>
      </c>
      <c r="M1599" s="5" t="s">
        <v>24</v>
      </c>
      <c r="N1599" s="5" t="s">
        <v>24</v>
      </c>
      <c r="O1599" s="5" t="s">
        <v>75</v>
      </c>
      <c r="P1599" s="5" t="s">
        <v>2413</v>
      </c>
      <c r="Q1599" s="33">
        <v>46050</v>
      </c>
      <c r="V1599" s="1">
        <f t="shared" si="24"/>
        <v>1</v>
      </c>
      <c r="W1599" s="1" t="s">
        <v>7706</v>
      </c>
    </row>
    <row r="1600" spans="1:23">
      <c r="A1600" s="2">
        <v>46044</v>
      </c>
      <c r="B1600" s="1" t="s">
        <v>3461</v>
      </c>
      <c r="C1600" s="1" t="s">
        <v>2733</v>
      </c>
      <c r="D1600" s="1" t="s">
        <v>2650</v>
      </c>
      <c r="E1600" s="1">
        <v>85340</v>
      </c>
      <c r="F1600" s="1" t="s">
        <v>7707</v>
      </c>
      <c r="G1600" s="39" t="s">
        <v>7702</v>
      </c>
      <c r="H1600" s="4" t="s">
        <v>2401</v>
      </c>
      <c r="Q1600" s="18"/>
      <c r="V1600" s="1">
        <f t="shared" si="24"/>
        <v>1</v>
      </c>
      <c r="W1600" s="1" t="s">
        <v>7708</v>
      </c>
    </row>
    <row r="1601" spans="1:23">
      <c r="A1601" s="2">
        <v>46044</v>
      </c>
      <c r="B1601" s="1" t="s">
        <v>7709</v>
      </c>
      <c r="C1601" s="1" t="s">
        <v>5422</v>
      </c>
      <c r="D1601" s="1" t="s">
        <v>2513</v>
      </c>
      <c r="E1601" s="1">
        <v>85254</v>
      </c>
      <c r="F1601" s="1" t="s">
        <v>7710</v>
      </c>
      <c r="G1601" s="39" t="s">
        <v>7702</v>
      </c>
      <c r="H1601" s="4" t="s">
        <v>1911</v>
      </c>
      <c r="I1601" s="5" t="s">
        <v>7340</v>
      </c>
      <c r="J1601" s="5" t="s">
        <v>24</v>
      </c>
      <c r="K1601" s="5" t="s">
        <v>24</v>
      </c>
      <c r="L1601" s="5" t="s">
        <v>2819</v>
      </c>
      <c r="M1601" s="5" t="s">
        <v>24</v>
      </c>
      <c r="N1601" s="5" t="s">
        <v>24</v>
      </c>
      <c r="O1601" s="5" t="s">
        <v>75</v>
      </c>
      <c r="P1601" s="5" t="s">
        <v>2413</v>
      </c>
      <c r="Q1601" s="33">
        <v>46050</v>
      </c>
      <c r="V1601" s="1">
        <f t="shared" si="24"/>
        <v>1</v>
      </c>
      <c r="W1601" s="1" t="s">
        <v>7711</v>
      </c>
    </row>
    <row r="1602" spans="1:23">
      <c r="A1602" s="2">
        <v>46045</v>
      </c>
      <c r="B1602" s="1" t="s">
        <v>7712</v>
      </c>
      <c r="C1602" s="1" t="s">
        <v>2878</v>
      </c>
      <c r="D1602" s="1" t="s">
        <v>2465</v>
      </c>
      <c r="E1602" s="1">
        <v>86323</v>
      </c>
      <c r="F1602" s="1" t="s">
        <v>7713</v>
      </c>
      <c r="G1602" s="39" t="s">
        <v>7714</v>
      </c>
      <c r="H1602" s="4" t="s">
        <v>2401</v>
      </c>
      <c r="Q1602" s="18"/>
      <c r="V1602" s="1">
        <f t="shared" ref="V1602:V1665" si="25">IF(OR(ISNUMBER(SEARCH("unable to locate acct",G1602)),ISNUMBER(SEARCH("unknown",G1602)),ISNUMBER(SEARCH("inactive",G1602)),H1602=""),0,1)</f>
        <v>1</v>
      </c>
      <c r="W1602" s="1" t="s">
        <v>7715</v>
      </c>
    </row>
    <row r="1603" spans="1:23">
      <c r="A1603" s="2">
        <v>46045</v>
      </c>
      <c r="B1603" s="1" t="s">
        <v>7716</v>
      </c>
      <c r="C1603" s="1" t="s">
        <v>2924</v>
      </c>
      <c r="D1603" s="1" t="s">
        <v>4826</v>
      </c>
      <c r="E1603" s="1">
        <v>86333</v>
      </c>
      <c r="F1603" s="1" t="s">
        <v>7717</v>
      </c>
      <c r="G1603" s="39" t="s">
        <v>7714</v>
      </c>
      <c r="H1603" s="4" t="s">
        <v>1913</v>
      </c>
      <c r="I1603" s="5" t="s">
        <v>2451</v>
      </c>
      <c r="J1603" s="5" t="s">
        <v>24</v>
      </c>
      <c r="K1603" s="5" t="s">
        <v>24</v>
      </c>
      <c r="L1603" s="5" t="s">
        <v>75</v>
      </c>
      <c r="M1603" s="5" t="s">
        <v>24</v>
      </c>
      <c r="N1603" s="5" t="s">
        <v>24</v>
      </c>
      <c r="O1603" s="5" t="s">
        <v>75</v>
      </c>
      <c r="P1603" s="5" t="s">
        <v>2413</v>
      </c>
      <c r="Q1603" s="33">
        <v>46050</v>
      </c>
      <c r="V1603" s="1">
        <f t="shared" si="25"/>
        <v>1</v>
      </c>
      <c r="W1603" s="1" t="s">
        <v>7718</v>
      </c>
    </row>
    <row r="1604" spans="1:23">
      <c r="A1604" s="2">
        <v>46045</v>
      </c>
      <c r="B1604" s="1" t="s">
        <v>7719</v>
      </c>
      <c r="C1604" s="1" t="s">
        <v>2699</v>
      </c>
      <c r="D1604" s="1" t="s">
        <v>3090</v>
      </c>
      <c r="E1604" s="1">
        <v>85282</v>
      </c>
      <c r="F1604" s="1" t="s">
        <v>7720</v>
      </c>
      <c r="G1604" s="39" t="s">
        <v>7714</v>
      </c>
      <c r="H1604" s="4" t="s">
        <v>2401</v>
      </c>
      <c r="Q1604" s="18"/>
      <c r="V1604" s="1">
        <f t="shared" si="25"/>
        <v>1</v>
      </c>
      <c r="W1604" s="1" t="s">
        <v>7721</v>
      </c>
    </row>
    <row r="1605" spans="1:23">
      <c r="A1605" s="2">
        <v>46045</v>
      </c>
      <c r="B1605" s="1" t="s">
        <v>7722</v>
      </c>
      <c r="C1605" s="1" t="s">
        <v>4215</v>
      </c>
      <c r="D1605" s="1" t="s">
        <v>4826</v>
      </c>
      <c r="E1605" s="1">
        <v>86333</v>
      </c>
      <c r="F1605" s="1" t="s">
        <v>7717</v>
      </c>
      <c r="G1605" s="39" t="s">
        <v>7714</v>
      </c>
      <c r="H1605" s="4" t="s">
        <v>1913</v>
      </c>
      <c r="I1605" s="5" t="s">
        <v>2451</v>
      </c>
      <c r="J1605" s="5" t="s">
        <v>24</v>
      </c>
      <c r="K1605" s="5" t="s">
        <v>24</v>
      </c>
      <c r="L1605" s="5" t="s">
        <v>75</v>
      </c>
      <c r="M1605" s="5" t="s">
        <v>24</v>
      </c>
      <c r="N1605" s="5" t="s">
        <v>24</v>
      </c>
      <c r="O1605" s="5" t="s">
        <v>75</v>
      </c>
      <c r="P1605" s="5" t="s">
        <v>2413</v>
      </c>
      <c r="Q1605" s="33">
        <v>46050</v>
      </c>
      <c r="V1605" s="1">
        <f t="shared" si="25"/>
        <v>1</v>
      </c>
      <c r="W1605" s="1" t="s">
        <v>7723</v>
      </c>
    </row>
    <row r="1606" spans="1:23">
      <c r="A1606" s="2">
        <v>46045</v>
      </c>
      <c r="B1606" s="1" t="s">
        <v>7724</v>
      </c>
      <c r="C1606" s="1" t="s">
        <v>2524</v>
      </c>
      <c r="D1606" s="1" t="s">
        <v>5481</v>
      </c>
      <c r="E1606" s="1">
        <v>85087</v>
      </c>
      <c r="F1606" s="1" t="s">
        <v>7725</v>
      </c>
      <c r="G1606" s="39" t="s">
        <v>7726</v>
      </c>
      <c r="H1606" s="4" t="s">
        <v>1915</v>
      </c>
      <c r="I1606" s="5" t="s">
        <v>2988</v>
      </c>
      <c r="J1606" s="5" t="s">
        <v>24</v>
      </c>
      <c r="K1606" s="5" t="s">
        <v>24</v>
      </c>
      <c r="L1606" s="5" t="s">
        <v>2819</v>
      </c>
      <c r="M1606" s="5" t="s">
        <v>24</v>
      </c>
      <c r="N1606" s="5" t="s">
        <v>24</v>
      </c>
      <c r="O1606" s="5" t="s">
        <v>75</v>
      </c>
      <c r="P1606" s="5" t="s">
        <v>2413</v>
      </c>
      <c r="Q1606" s="33">
        <v>46050</v>
      </c>
      <c r="V1606" s="1">
        <f t="shared" si="25"/>
        <v>1</v>
      </c>
      <c r="W1606" s="1" t="s">
        <v>7727</v>
      </c>
    </row>
    <row r="1607" spans="1:23">
      <c r="A1607" s="2">
        <v>46045</v>
      </c>
      <c r="B1607" s="1" t="s">
        <v>7728</v>
      </c>
      <c r="C1607" s="1" t="s">
        <v>7729</v>
      </c>
      <c r="D1607" s="1" t="s">
        <v>2439</v>
      </c>
      <c r="E1607" s="1">
        <v>85027</v>
      </c>
      <c r="F1607" s="1" t="s">
        <v>7730</v>
      </c>
      <c r="G1607" s="39" t="s">
        <v>7731</v>
      </c>
      <c r="H1607" s="4" t="s">
        <v>1917</v>
      </c>
      <c r="I1607" s="5" t="s">
        <v>2988</v>
      </c>
      <c r="J1607" s="5" t="s">
        <v>75</v>
      </c>
      <c r="K1607" s="5" t="s">
        <v>24</v>
      </c>
      <c r="L1607" s="5" t="s">
        <v>2819</v>
      </c>
      <c r="M1607" s="5" t="s">
        <v>24</v>
      </c>
      <c r="N1607" s="5" t="s">
        <v>24</v>
      </c>
      <c r="O1607" s="5" t="s">
        <v>75</v>
      </c>
      <c r="P1607" s="5" t="s">
        <v>2413</v>
      </c>
      <c r="Q1607" s="33">
        <v>46050</v>
      </c>
      <c r="V1607" s="1">
        <f t="shared" si="25"/>
        <v>1</v>
      </c>
      <c r="W1607" s="1" t="s">
        <v>7732</v>
      </c>
    </row>
    <row r="1608" spans="1:23">
      <c r="A1608" s="2">
        <v>46045</v>
      </c>
      <c r="B1608" s="1" t="s">
        <v>7733</v>
      </c>
      <c r="C1608" s="1" t="s">
        <v>2706</v>
      </c>
      <c r="D1608" s="1" t="s">
        <v>2513</v>
      </c>
      <c r="E1608" s="1">
        <v>85260</v>
      </c>
      <c r="F1608" s="1" t="s">
        <v>7734</v>
      </c>
      <c r="G1608" s="39" t="s">
        <v>7731</v>
      </c>
      <c r="H1608" s="4" t="s">
        <v>1919</v>
      </c>
      <c r="I1608" s="5" t="s">
        <v>2451</v>
      </c>
      <c r="J1608" s="5" t="s">
        <v>24</v>
      </c>
      <c r="K1608" s="5" t="s">
        <v>24</v>
      </c>
      <c r="L1608" s="5" t="s">
        <v>75</v>
      </c>
      <c r="M1608" s="5" t="s">
        <v>24</v>
      </c>
      <c r="N1608" s="5" t="s">
        <v>24</v>
      </c>
      <c r="O1608" s="5" t="s">
        <v>75</v>
      </c>
      <c r="P1608" s="5" t="s">
        <v>2413</v>
      </c>
      <c r="Q1608" s="33">
        <v>46050</v>
      </c>
      <c r="V1608" s="1">
        <f t="shared" si="25"/>
        <v>1</v>
      </c>
      <c r="W1608" s="1" t="s">
        <v>7735</v>
      </c>
    </row>
    <row r="1609" spans="1:23">
      <c r="A1609" s="2">
        <v>46048</v>
      </c>
      <c r="B1609" s="1" t="s">
        <v>7736</v>
      </c>
      <c r="C1609" s="1" t="s">
        <v>2935</v>
      </c>
      <c r="D1609" s="1" t="s">
        <v>2674</v>
      </c>
      <c r="E1609" s="1">
        <v>86312</v>
      </c>
      <c r="F1609" s="1" t="s">
        <v>7737</v>
      </c>
      <c r="G1609" s="39" t="s">
        <v>7738</v>
      </c>
      <c r="H1609" s="4" t="s">
        <v>2401</v>
      </c>
      <c r="Q1609" s="18"/>
      <c r="V1609" s="1">
        <f t="shared" si="25"/>
        <v>1</v>
      </c>
      <c r="W1609" s="1" t="s">
        <v>7739</v>
      </c>
    </row>
    <row r="1610" spans="1:23">
      <c r="A1610" s="2">
        <v>46048</v>
      </c>
      <c r="B1610" s="1" t="s">
        <v>7740</v>
      </c>
      <c r="C1610" s="1" t="s">
        <v>5909</v>
      </c>
      <c r="D1610" s="1" t="s">
        <v>3211</v>
      </c>
      <c r="E1610" s="1">
        <v>86326</v>
      </c>
      <c r="F1610" s="1" t="s">
        <v>7741</v>
      </c>
      <c r="G1610" s="39" t="s">
        <v>7738</v>
      </c>
      <c r="H1610" s="4" t="s">
        <v>536</v>
      </c>
      <c r="I1610" s="5" t="s">
        <v>2514</v>
      </c>
      <c r="J1610" s="5" t="s">
        <v>75</v>
      </c>
      <c r="K1610" s="5" t="s">
        <v>24</v>
      </c>
      <c r="L1610" s="5" t="s">
        <v>7742</v>
      </c>
      <c r="M1610" s="5" t="s">
        <v>24</v>
      </c>
      <c r="N1610" s="5" t="s">
        <v>24</v>
      </c>
      <c r="O1610" s="5" t="s">
        <v>75</v>
      </c>
      <c r="Q1610" s="18"/>
      <c r="V1610" s="1">
        <f t="shared" si="25"/>
        <v>1</v>
      </c>
      <c r="W1610" s="1" t="s">
        <v>7743</v>
      </c>
    </row>
    <row r="1611" spans="1:23">
      <c r="A1611" s="2">
        <v>46048</v>
      </c>
      <c r="B1611" s="1" t="s">
        <v>7744</v>
      </c>
      <c r="C1611" s="1" t="s">
        <v>3245</v>
      </c>
      <c r="D1611" s="1" t="s">
        <v>2800</v>
      </c>
      <c r="E1611" s="1">
        <v>85226</v>
      </c>
      <c r="F1611" s="1" t="s">
        <v>7745</v>
      </c>
      <c r="G1611" s="39" t="s">
        <v>7738</v>
      </c>
      <c r="H1611" s="4" t="s">
        <v>2401</v>
      </c>
      <c r="Q1611" s="18"/>
      <c r="V1611" s="1">
        <f t="shared" si="25"/>
        <v>1</v>
      </c>
      <c r="W1611" s="1" t="s">
        <v>7746</v>
      </c>
    </row>
    <row r="1612" spans="1:23">
      <c r="A1612" s="2">
        <v>46048</v>
      </c>
      <c r="B1612" s="1" t="s">
        <v>7747</v>
      </c>
      <c r="C1612" s="1" t="s">
        <v>7748</v>
      </c>
      <c r="D1612" s="1" t="s">
        <v>3303</v>
      </c>
      <c r="E1612" s="1">
        <v>86303</v>
      </c>
      <c r="F1612" s="1" t="s">
        <v>7749</v>
      </c>
      <c r="G1612" s="39" t="s">
        <v>7738</v>
      </c>
      <c r="H1612" s="4" t="s">
        <v>1921</v>
      </c>
      <c r="I1612" s="5" t="s">
        <v>2514</v>
      </c>
      <c r="J1612" s="5" t="s">
        <v>24</v>
      </c>
      <c r="K1612" s="5" t="s">
        <v>24</v>
      </c>
      <c r="L1612" s="5" t="s">
        <v>75</v>
      </c>
      <c r="M1612" s="5" t="s">
        <v>24</v>
      </c>
      <c r="N1612" s="5" t="s">
        <v>24</v>
      </c>
      <c r="O1612" s="5" t="s">
        <v>75</v>
      </c>
      <c r="P1612" s="5" t="s">
        <v>2413</v>
      </c>
      <c r="Q1612" s="33">
        <v>46050</v>
      </c>
      <c r="V1612" s="1">
        <f t="shared" si="25"/>
        <v>1</v>
      </c>
      <c r="W1612" s="1" t="s">
        <v>7750</v>
      </c>
    </row>
    <row r="1613" spans="1:23">
      <c r="A1613" s="2">
        <v>46048</v>
      </c>
      <c r="B1613" s="1" t="s">
        <v>4655</v>
      </c>
      <c r="C1613" s="1" t="s">
        <v>4656</v>
      </c>
      <c r="D1613" s="1" t="s">
        <v>2439</v>
      </c>
      <c r="E1613" s="1">
        <v>85024</v>
      </c>
      <c r="F1613" s="1" t="s">
        <v>7751</v>
      </c>
      <c r="G1613" s="39" t="s">
        <v>7738</v>
      </c>
      <c r="H1613" s="4" t="s">
        <v>1090</v>
      </c>
      <c r="I1613" s="5" t="s">
        <v>7467</v>
      </c>
      <c r="J1613" s="5" t="s">
        <v>24</v>
      </c>
      <c r="K1613" s="5" t="s">
        <v>24</v>
      </c>
      <c r="L1613" s="5" t="s">
        <v>75</v>
      </c>
      <c r="M1613" s="5" t="s">
        <v>24</v>
      </c>
      <c r="N1613" s="5" t="s">
        <v>24</v>
      </c>
      <c r="O1613" s="5" t="s">
        <v>75</v>
      </c>
      <c r="P1613" s="5" t="s">
        <v>2413</v>
      </c>
      <c r="Q1613" s="33">
        <v>46050</v>
      </c>
      <c r="V1613" s="1">
        <f t="shared" si="25"/>
        <v>1</v>
      </c>
      <c r="W1613" s="1" t="s">
        <v>7752</v>
      </c>
    </row>
    <row r="1614" spans="1:23">
      <c r="A1614" s="2">
        <v>46048</v>
      </c>
      <c r="B1614" s="1" t="s">
        <v>5596</v>
      </c>
      <c r="C1614" s="1" t="s">
        <v>3078</v>
      </c>
      <c r="D1614" s="1" t="s">
        <v>2398</v>
      </c>
      <c r="E1614" s="1">
        <v>85310</v>
      </c>
      <c r="F1614" s="1" t="s">
        <v>7753</v>
      </c>
      <c r="G1614" s="39" t="s">
        <v>7738</v>
      </c>
      <c r="H1614" s="4" t="s">
        <v>337</v>
      </c>
      <c r="I1614" s="5" t="s">
        <v>2412</v>
      </c>
      <c r="J1614" s="5" t="s">
        <v>24</v>
      </c>
      <c r="K1614" s="5" t="s">
        <v>24</v>
      </c>
      <c r="L1614" s="5" t="s">
        <v>75</v>
      </c>
      <c r="M1614" s="5" t="s">
        <v>24</v>
      </c>
      <c r="N1614" s="5" t="s">
        <v>24</v>
      </c>
      <c r="O1614" s="5" t="s">
        <v>75</v>
      </c>
      <c r="P1614" s="5" t="s">
        <v>2413</v>
      </c>
      <c r="Q1614" s="33">
        <v>46050</v>
      </c>
      <c r="V1614" s="1">
        <f t="shared" si="25"/>
        <v>1</v>
      </c>
      <c r="W1614" s="1" t="s">
        <v>7754</v>
      </c>
    </row>
    <row r="1615" spans="1:23">
      <c r="A1615" s="2">
        <v>46048</v>
      </c>
      <c r="B1615" s="1" t="s">
        <v>2796</v>
      </c>
      <c r="C1615" s="1" t="s">
        <v>7755</v>
      </c>
      <c r="D1615" s="1" t="s">
        <v>2439</v>
      </c>
      <c r="E1615" s="1">
        <v>85043</v>
      </c>
      <c r="F1615" s="1" t="s">
        <v>7756</v>
      </c>
      <c r="G1615" s="39" t="s">
        <v>7757</v>
      </c>
      <c r="H1615" s="4" t="s">
        <v>2401</v>
      </c>
      <c r="Q1615" s="18"/>
      <c r="V1615" s="1">
        <f t="shared" si="25"/>
        <v>1</v>
      </c>
      <c r="W1615" s="1" t="s">
        <v>7758</v>
      </c>
    </row>
    <row r="1616" spans="1:23">
      <c r="A1616" s="2">
        <v>46048</v>
      </c>
      <c r="B1616" s="1" t="s">
        <v>7759</v>
      </c>
      <c r="C1616" s="1" t="s">
        <v>3530</v>
      </c>
      <c r="D1616" s="1" t="s">
        <v>2445</v>
      </c>
      <c r="E1616" s="1">
        <v>85331</v>
      </c>
      <c r="F1616" s="1" t="s">
        <v>7760</v>
      </c>
      <c r="G1616" s="39" t="s">
        <v>7757</v>
      </c>
      <c r="H1616" s="4" t="s">
        <v>1925</v>
      </c>
      <c r="I1616" s="5" t="s">
        <v>2988</v>
      </c>
      <c r="J1616" s="5" t="s">
        <v>24</v>
      </c>
      <c r="K1616" s="5" t="s">
        <v>24</v>
      </c>
      <c r="L1616" s="5" t="s">
        <v>2819</v>
      </c>
      <c r="M1616" s="5" t="s">
        <v>24</v>
      </c>
      <c r="N1616" s="5" t="s">
        <v>24</v>
      </c>
      <c r="O1616" s="5" t="s">
        <v>75</v>
      </c>
      <c r="P1616" s="5" t="s">
        <v>2413</v>
      </c>
      <c r="Q1616" s="33">
        <v>46050</v>
      </c>
      <c r="V1616" s="1">
        <f t="shared" si="25"/>
        <v>1</v>
      </c>
      <c r="W1616" s="1" t="s">
        <v>7761</v>
      </c>
    </row>
    <row r="1617" spans="1:24">
      <c r="A1617" s="2">
        <v>46048</v>
      </c>
      <c r="B1617" s="1" t="s">
        <v>7762</v>
      </c>
      <c r="C1617" s="1" t="s">
        <v>2684</v>
      </c>
      <c r="D1617" s="1" t="s">
        <v>7273</v>
      </c>
      <c r="E1617" s="1">
        <v>85029</v>
      </c>
      <c r="F1617" s="1" t="s">
        <v>7763</v>
      </c>
      <c r="G1617" s="39" t="s">
        <v>7757</v>
      </c>
      <c r="H1617" s="4" t="s">
        <v>2303</v>
      </c>
      <c r="I1617" s="5" t="s">
        <v>2451</v>
      </c>
      <c r="J1617" s="5" t="s">
        <v>24</v>
      </c>
      <c r="K1617" s="5" t="s">
        <v>24</v>
      </c>
      <c r="L1617" s="5" t="s">
        <v>75</v>
      </c>
      <c r="M1617" s="5" t="s">
        <v>24</v>
      </c>
      <c r="N1617" s="5" t="s">
        <v>24</v>
      </c>
      <c r="O1617" s="5" t="s">
        <v>75</v>
      </c>
      <c r="P1617" s="5" t="s">
        <v>2413</v>
      </c>
      <c r="Q1617" s="33">
        <v>46050</v>
      </c>
      <c r="R1617" s="1" t="s">
        <v>7764</v>
      </c>
      <c r="V1617" s="1">
        <f t="shared" si="25"/>
        <v>1</v>
      </c>
      <c r="W1617" s="1" t="s">
        <v>7765</v>
      </c>
    </row>
    <row r="1618" spans="1:24">
      <c r="A1618" s="2">
        <v>46049</v>
      </c>
      <c r="B1618" s="1" t="s">
        <v>7766</v>
      </c>
      <c r="C1618" s="1" t="s">
        <v>2997</v>
      </c>
      <c r="D1618" s="1" t="s">
        <v>2439</v>
      </c>
      <c r="E1618" s="1">
        <v>85003</v>
      </c>
      <c r="F1618" s="1" t="s">
        <v>7767</v>
      </c>
      <c r="G1618" s="39" t="s">
        <v>7768</v>
      </c>
      <c r="H1618" s="4" t="s">
        <v>538</v>
      </c>
      <c r="I1618" s="5" t="s">
        <v>2597</v>
      </c>
      <c r="J1618" s="5" t="s">
        <v>24</v>
      </c>
      <c r="K1618" s="5" t="s">
        <v>24</v>
      </c>
      <c r="L1618" s="5" t="s">
        <v>7619</v>
      </c>
      <c r="M1618" s="5" t="s">
        <v>24</v>
      </c>
      <c r="N1618" s="5" t="s">
        <v>24</v>
      </c>
      <c r="O1618" s="5" t="s">
        <v>75</v>
      </c>
      <c r="P1618" s="5" t="s">
        <v>2413</v>
      </c>
      <c r="Q1618" s="33">
        <v>46050</v>
      </c>
      <c r="V1618" s="1">
        <f t="shared" si="25"/>
        <v>1</v>
      </c>
      <c r="W1618" s="1" t="s">
        <v>7769</v>
      </c>
    </row>
    <row r="1619" spans="1:24">
      <c r="A1619" s="2">
        <v>46049</v>
      </c>
      <c r="B1619" s="1" t="s">
        <v>7770</v>
      </c>
      <c r="C1619" s="1" t="s">
        <v>5422</v>
      </c>
      <c r="D1619" s="1" t="s">
        <v>5481</v>
      </c>
      <c r="E1619" s="1">
        <v>85087</v>
      </c>
      <c r="F1619" s="1" t="s">
        <v>7771</v>
      </c>
      <c r="G1619" s="39" t="s">
        <v>7768</v>
      </c>
      <c r="H1619" s="4" t="s">
        <v>7772</v>
      </c>
      <c r="I1619" s="5" t="s">
        <v>2451</v>
      </c>
      <c r="J1619" s="5" t="s">
        <v>24</v>
      </c>
      <c r="K1619" s="5" t="s">
        <v>24</v>
      </c>
      <c r="L1619" s="5" t="s">
        <v>75</v>
      </c>
      <c r="M1619" s="5" t="s">
        <v>24</v>
      </c>
      <c r="N1619" s="5" t="s">
        <v>24</v>
      </c>
      <c r="O1619" s="5" t="s">
        <v>75</v>
      </c>
      <c r="P1619" s="5" t="s">
        <v>2413</v>
      </c>
      <c r="Q1619" s="33">
        <v>46050</v>
      </c>
      <c r="V1619" s="1">
        <f t="shared" si="25"/>
        <v>1</v>
      </c>
      <c r="W1619" s="1" t="s">
        <v>7773</v>
      </c>
    </row>
    <row r="1620" spans="1:24">
      <c r="A1620" s="2">
        <v>46049</v>
      </c>
      <c r="B1620" s="1" t="s">
        <v>4818</v>
      </c>
      <c r="C1620" s="1" t="s">
        <v>4955</v>
      </c>
      <c r="D1620" s="1" t="s">
        <v>2674</v>
      </c>
      <c r="E1620" s="1">
        <v>86315</v>
      </c>
      <c r="F1620" s="1" t="s">
        <v>7774</v>
      </c>
      <c r="G1620" s="39" t="s">
        <v>7768</v>
      </c>
      <c r="H1620" s="4" t="s">
        <v>540</v>
      </c>
      <c r="I1620" s="5" t="s">
        <v>2432</v>
      </c>
      <c r="J1620" s="5" t="s">
        <v>24</v>
      </c>
      <c r="K1620" s="5" t="s">
        <v>24</v>
      </c>
      <c r="L1620" s="5" t="s">
        <v>7619</v>
      </c>
      <c r="M1620" s="5" t="s">
        <v>24</v>
      </c>
      <c r="N1620" s="5" t="s">
        <v>24</v>
      </c>
      <c r="O1620" s="5" t="s">
        <v>75</v>
      </c>
      <c r="P1620" s="5" t="s">
        <v>2413</v>
      </c>
      <c r="Q1620" s="41">
        <v>46050</v>
      </c>
      <c r="R1620" s="1" t="s">
        <v>7775</v>
      </c>
      <c r="V1620" s="1">
        <f t="shared" si="25"/>
        <v>1</v>
      </c>
      <c r="W1620" s="1" t="s">
        <v>7776</v>
      </c>
    </row>
    <row r="1621" spans="1:24">
      <c r="A1621" s="2">
        <v>46049</v>
      </c>
      <c r="B1621" s="1" t="s">
        <v>7777</v>
      </c>
      <c r="C1621" s="1" t="s">
        <v>4558</v>
      </c>
      <c r="D1621" s="1" t="s">
        <v>2439</v>
      </c>
      <c r="E1621" s="1">
        <v>85034</v>
      </c>
      <c r="F1621" s="1" t="s">
        <v>7778</v>
      </c>
      <c r="G1621" s="39" t="s">
        <v>7779</v>
      </c>
      <c r="H1621" s="4" t="s">
        <v>1927</v>
      </c>
      <c r="I1621" s="5" t="s">
        <v>2514</v>
      </c>
      <c r="J1621" s="5" t="s">
        <v>75</v>
      </c>
      <c r="K1621" s="5" t="s">
        <v>24</v>
      </c>
      <c r="L1621" s="5" t="s">
        <v>75</v>
      </c>
      <c r="M1621" s="5" t="s">
        <v>24</v>
      </c>
      <c r="N1621" s="5" t="s">
        <v>24</v>
      </c>
      <c r="O1621" s="5" t="s">
        <v>75</v>
      </c>
      <c r="Q1621" s="41">
        <v>46050</v>
      </c>
      <c r="R1621" s="1" t="s">
        <v>7780</v>
      </c>
      <c r="V1621" s="1">
        <f t="shared" si="25"/>
        <v>1</v>
      </c>
      <c r="W1621" s="1" t="s">
        <v>7781</v>
      </c>
    </row>
    <row r="1622" spans="1:24">
      <c r="A1622" s="2">
        <v>46049</v>
      </c>
      <c r="B1622" s="1" t="s">
        <v>6794</v>
      </c>
      <c r="C1622" s="1" t="s">
        <v>2639</v>
      </c>
      <c r="D1622" s="1" t="s">
        <v>2439</v>
      </c>
      <c r="E1622" s="1">
        <v>85029</v>
      </c>
      <c r="F1622" s="1" t="s">
        <v>7782</v>
      </c>
      <c r="G1622" s="39"/>
      <c r="H1622" s="4" t="s">
        <v>1698</v>
      </c>
      <c r="I1622" s="5" t="s">
        <v>2514</v>
      </c>
      <c r="J1622" s="5" t="s">
        <v>24</v>
      </c>
      <c r="K1622" s="5" t="s">
        <v>24</v>
      </c>
      <c r="L1622" s="5" t="s">
        <v>75</v>
      </c>
      <c r="M1622" s="5" t="s">
        <v>24</v>
      </c>
      <c r="N1622" s="5" t="s">
        <v>24</v>
      </c>
      <c r="O1622" s="5" t="s">
        <v>75</v>
      </c>
      <c r="P1622" s="5" t="s">
        <v>2413</v>
      </c>
      <c r="Q1622" s="33">
        <v>46050</v>
      </c>
      <c r="V1622" s="1">
        <f t="shared" si="25"/>
        <v>1</v>
      </c>
      <c r="W1622" s="1" t="s">
        <v>7783</v>
      </c>
    </row>
    <row r="1623" spans="1:24">
      <c r="A1623" s="2">
        <v>46049</v>
      </c>
      <c r="B1623" s="1" t="s">
        <v>4568</v>
      </c>
      <c r="C1623" s="1" t="s">
        <v>2550</v>
      </c>
      <c r="D1623" s="1" t="s">
        <v>2405</v>
      </c>
      <c r="E1623" s="1" t="s">
        <v>7784</v>
      </c>
      <c r="F1623" s="1" t="s">
        <v>7785</v>
      </c>
      <c r="G1623" s="39" t="s">
        <v>7786</v>
      </c>
      <c r="H1623" s="4" t="s">
        <v>2401</v>
      </c>
      <c r="Q1623" s="18"/>
      <c r="R1623" s="1" t="s">
        <v>7368</v>
      </c>
      <c r="V1623" s="1">
        <f t="shared" si="25"/>
        <v>1</v>
      </c>
      <c r="W1623" s="1" t="s">
        <v>7787</v>
      </c>
    </row>
    <row r="1624" spans="1:24">
      <c r="A1624" s="2">
        <v>46049</v>
      </c>
      <c r="B1624" s="1" t="s">
        <v>6466</v>
      </c>
      <c r="C1624" s="1" t="s">
        <v>2854</v>
      </c>
      <c r="D1624" s="1" t="s">
        <v>2405</v>
      </c>
      <c r="E1624" s="1" t="s">
        <v>7784</v>
      </c>
      <c r="F1624" s="1" t="s">
        <v>7785</v>
      </c>
      <c r="G1624" s="39" t="s">
        <v>7786</v>
      </c>
      <c r="H1624" s="4" t="s">
        <v>2401</v>
      </c>
      <c r="Q1624" s="18"/>
      <c r="R1624" s="1" t="s">
        <v>7368</v>
      </c>
      <c r="V1624" s="1">
        <f t="shared" si="25"/>
        <v>1</v>
      </c>
      <c r="W1624" s="1" t="s">
        <v>7788</v>
      </c>
    </row>
    <row r="1625" spans="1:24">
      <c r="A1625" s="2">
        <v>46050</v>
      </c>
      <c r="B1625" s="1" t="s">
        <v>3722</v>
      </c>
      <c r="C1625" s="1" t="s">
        <v>7789</v>
      </c>
      <c r="D1625" s="1" t="s">
        <v>2605</v>
      </c>
      <c r="E1625" s="1">
        <v>85345</v>
      </c>
      <c r="F1625" s="1" t="s">
        <v>7790</v>
      </c>
      <c r="G1625" s="39" t="s">
        <v>7791</v>
      </c>
      <c r="H1625" s="4" t="s">
        <v>542</v>
      </c>
      <c r="I1625" s="5" t="s">
        <v>2597</v>
      </c>
      <c r="J1625" s="5" t="s">
        <v>24</v>
      </c>
      <c r="K1625" s="5" t="s">
        <v>24</v>
      </c>
      <c r="L1625" s="5" t="s">
        <v>7792</v>
      </c>
      <c r="M1625" s="5" t="s">
        <v>24</v>
      </c>
      <c r="N1625" s="5" t="s">
        <v>24</v>
      </c>
      <c r="O1625" s="5" t="s">
        <v>75</v>
      </c>
      <c r="Q1625" s="41">
        <v>46051</v>
      </c>
      <c r="R1625" s="1" t="s">
        <v>7793</v>
      </c>
      <c r="V1625" s="1">
        <f t="shared" si="25"/>
        <v>1</v>
      </c>
      <c r="W1625" s="1" t="s">
        <v>7794</v>
      </c>
      <c r="X1625" s="32"/>
    </row>
    <row r="1626" spans="1:24">
      <c r="A1626" s="2">
        <v>46050</v>
      </c>
      <c r="B1626" s="1" t="s">
        <v>7795</v>
      </c>
      <c r="C1626" s="1" t="s">
        <v>5815</v>
      </c>
      <c r="D1626" s="1" t="s">
        <v>3073</v>
      </c>
      <c r="E1626" s="1">
        <v>85364</v>
      </c>
      <c r="F1626" s="1" t="s">
        <v>6885</v>
      </c>
      <c r="G1626" s="39" t="s">
        <v>7796</v>
      </c>
      <c r="H1626" s="4" t="s">
        <v>544</v>
      </c>
      <c r="I1626" s="5" t="s">
        <v>2597</v>
      </c>
      <c r="J1626" s="5" t="s">
        <v>24</v>
      </c>
      <c r="K1626" s="5" t="s">
        <v>24</v>
      </c>
      <c r="L1626" s="5" t="s">
        <v>7797</v>
      </c>
      <c r="M1626" s="5" t="s">
        <v>24</v>
      </c>
      <c r="N1626" s="5" t="s">
        <v>24</v>
      </c>
      <c r="O1626" s="5" t="s">
        <v>75</v>
      </c>
      <c r="Q1626" s="2">
        <v>46051</v>
      </c>
      <c r="V1626" s="1">
        <f t="shared" si="25"/>
        <v>1</v>
      </c>
      <c r="W1626" s="1" t="s">
        <v>7798</v>
      </c>
    </row>
    <row r="1627" spans="1:24">
      <c r="A1627" s="2">
        <v>46050</v>
      </c>
      <c r="B1627" s="1" t="s">
        <v>7407</v>
      </c>
      <c r="C1627" s="1" t="s">
        <v>2524</v>
      </c>
      <c r="D1627" s="1" t="s">
        <v>2405</v>
      </c>
      <c r="E1627" s="1" t="s">
        <v>2405</v>
      </c>
      <c r="F1627" s="1" t="s">
        <v>7799</v>
      </c>
      <c r="G1627" s="39" t="s">
        <v>7796</v>
      </c>
      <c r="H1627" s="4" t="s">
        <v>2401</v>
      </c>
      <c r="V1627" s="1">
        <f t="shared" si="25"/>
        <v>1</v>
      </c>
      <c r="W1627" s="1" t="s">
        <v>7800</v>
      </c>
    </row>
    <row r="1628" spans="1:24">
      <c r="A1628" s="2">
        <v>46050</v>
      </c>
      <c r="B1628" s="1" t="s">
        <v>7801</v>
      </c>
      <c r="C1628" s="1" t="s">
        <v>6413</v>
      </c>
      <c r="D1628" s="1" t="s">
        <v>3303</v>
      </c>
      <c r="E1628" s="1">
        <v>86301</v>
      </c>
      <c r="F1628" s="1" t="s">
        <v>7802</v>
      </c>
      <c r="G1628" s="39" t="s">
        <v>7803</v>
      </c>
      <c r="H1628" s="4" t="s">
        <v>1930</v>
      </c>
      <c r="I1628" s="5" t="s">
        <v>2451</v>
      </c>
      <c r="J1628" s="5" t="s">
        <v>24</v>
      </c>
      <c r="K1628" s="5" t="s">
        <v>24</v>
      </c>
      <c r="L1628" s="5" t="s">
        <v>75</v>
      </c>
      <c r="M1628" s="5" t="s">
        <v>24</v>
      </c>
      <c r="N1628" s="5" t="s">
        <v>24</v>
      </c>
      <c r="O1628" s="5" t="s">
        <v>75</v>
      </c>
      <c r="P1628" s="5" t="s">
        <v>2413</v>
      </c>
      <c r="Q1628" s="2">
        <v>46051</v>
      </c>
      <c r="R1628" s="1" t="s">
        <v>7764</v>
      </c>
      <c r="V1628" s="1">
        <f t="shared" si="25"/>
        <v>1</v>
      </c>
      <c r="W1628" s="1" t="s">
        <v>7804</v>
      </c>
    </row>
    <row r="1629" spans="1:24">
      <c r="A1629" s="2">
        <v>46050</v>
      </c>
      <c r="B1629" s="1" t="s">
        <v>7805</v>
      </c>
      <c r="C1629" s="1" t="s">
        <v>2524</v>
      </c>
      <c r="D1629" s="1" t="s">
        <v>3945</v>
      </c>
      <c r="E1629" s="1">
        <v>85390</v>
      </c>
      <c r="F1629" s="1" t="s">
        <v>7806</v>
      </c>
      <c r="G1629" s="39" t="s">
        <v>7803</v>
      </c>
      <c r="H1629" s="4" t="s">
        <v>1932</v>
      </c>
      <c r="I1629" s="5" t="s">
        <v>2451</v>
      </c>
      <c r="J1629" s="5" t="s">
        <v>24</v>
      </c>
      <c r="K1629" s="5" t="s">
        <v>24</v>
      </c>
      <c r="L1629" s="5" t="s">
        <v>75</v>
      </c>
      <c r="M1629" s="5" t="s">
        <v>24</v>
      </c>
      <c r="N1629" s="5" t="s">
        <v>24</v>
      </c>
      <c r="O1629" s="5" t="s">
        <v>75</v>
      </c>
      <c r="P1629" s="5" t="s">
        <v>2413</v>
      </c>
      <c r="Q1629" s="2">
        <v>46051</v>
      </c>
      <c r="V1629" s="1">
        <f t="shared" si="25"/>
        <v>1</v>
      </c>
      <c r="W1629" s="1" t="s">
        <v>7807</v>
      </c>
    </row>
    <row r="1630" spans="1:24">
      <c r="A1630" s="2">
        <v>46050</v>
      </c>
      <c r="B1630" s="1" t="s">
        <v>7808</v>
      </c>
      <c r="C1630" s="1" t="s">
        <v>2632</v>
      </c>
      <c r="D1630" s="1" t="s">
        <v>3945</v>
      </c>
      <c r="E1630" s="1">
        <v>85390</v>
      </c>
      <c r="F1630" s="1" t="s">
        <v>7809</v>
      </c>
      <c r="G1630" s="39" t="s">
        <v>7803</v>
      </c>
      <c r="H1630" s="4" t="s">
        <v>546</v>
      </c>
      <c r="I1630" s="5" t="s">
        <v>2597</v>
      </c>
      <c r="J1630" s="5" t="s">
        <v>24</v>
      </c>
      <c r="K1630" s="5" t="s">
        <v>24</v>
      </c>
      <c r="L1630" s="5" t="s">
        <v>7797</v>
      </c>
      <c r="M1630" s="5" t="s">
        <v>24</v>
      </c>
      <c r="N1630" s="5" t="s">
        <v>24</v>
      </c>
      <c r="O1630" s="5" t="s">
        <v>75</v>
      </c>
      <c r="P1630" s="5" t="s">
        <v>2413</v>
      </c>
      <c r="Q1630" s="2">
        <v>46051</v>
      </c>
      <c r="V1630" s="1">
        <f t="shared" si="25"/>
        <v>1</v>
      </c>
      <c r="W1630" s="1" t="s">
        <v>7810</v>
      </c>
    </row>
    <row r="1631" spans="1:24">
      <c r="A1631" s="2">
        <v>46050</v>
      </c>
      <c r="B1631" s="1" t="s">
        <v>7811</v>
      </c>
      <c r="C1631" s="1" t="s">
        <v>3331</v>
      </c>
      <c r="D1631" s="1" t="s">
        <v>2439</v>
      </c>
      <c r="E1631" s="1">
        <v>85040</v>
      </c>
      <c r="F1631" s="1" t="s">
        <v>7812</v>
      </c>
      <c r="G1631" s="39" t="s">
        <v>7803</v>
      </c>
      <c r="H1631" s="4" t="s">
        <v>2401</v>
      </c>
      <c r="V1631" s="1">
        <f t="shared" si="25"/>
        <v>1</v>
      </c>
      <c r="W1631" s="1" t="s">
        <v>7813</v>
      </c>
    </row>
    <row r="1632" spans="1:24">
      <c r="A1632" s="2">
        <v>46050</v>
      </c>
      <c r="B1632" s="1" t="s">
        <v>3447</v>
      </c>
      <c r="C1632" s="1" t="s">
        <v>7814</v>
      </c>
      <c r="D1632" s="1" t="s">
        <v>3166</v>
      </c>
      <c r="E1632" s="1">
        <v>85375</v>
      </c>
      <c r="F1632" s="1" t="s">
        <v>7815</v>
      </c>
      <c r="G1632" s="39" t="s">
        <v>7803</v>
      </c>
      <c r="H1632" s="4" t="s">
        <v>2401</v>
      </c>
      <c r="V1632" s="1">
        <f t="shared" si="25"/>
        <v>1</v>
      </c>
      <c r="W1632" s="1" t="s">
        <v>7816</v>
      </c>
    </row>
    <row r="1633" spans="1:24">
      <c r="A1633" s="2">
        <v>46050</v>
      </c>
      <c r="B1633" s="1" t="s">
        <v>3151</v>
      </c>
      <c r="C1633" s="1" t="s">
        <v>7817</v>
      </c>
      <c r="D1633" s="1" t="s">
        <v>3945</v>
      </c>
      <c r="E1633" s="1">
        <v>85390</v>
      </c>
      <c r="F1633" s="1" t="s">
        <v>7818</v>
      </c>
      <c r="G1633" s="39" t="s">
        <v>7803</v>
      </c>
      <c r="H1633" s="4" t="s">
        <v>1934</v>
      </c>
      <c r="I1633" s="5" t="s">
        <v>2412</v>
      </c>
      <c r="J1633" s="5" t="s">
        <v>24</v>
      </c>
      <c r="K1633" s="5" t="s">
        <v>24</v>
      </c>
      <c r="L1633" s="5" t="s">
        <v>75</v>
      </c>
      <c r="M1633" s="5" t="s">
        <v>24</v>
      </c>
      <c r="N1633" s="5" t="s">
        <v>24</v>
      </c>
      <c r="O1633" s="5" t="s">
        <v>75</v>
      </c>
      <c r="P1633" s="5" t="s">
        <v>2413</v>
      </c>
      <c r="Q1633" s="2">
        <v>46051</v>
      </c>
      <c r="V1633" s="1">
        <f t="shared" si="25"/>
        <v>1</v>
      </c>
      <c r="W1633" s="1" t="s">
        <v>7819</v>
      </c>
    </row>
    <row r="1634" spans="1:24">
      <c r="A1634" s="2">
        <v>46050</v>
      </c>
      <c r="B1634" s="1" t="s">
        <v>7820</v>
      </c>
      <c r="C1634" s="1" t="s">
        <v>2924</v>
      </c>
      <c r="D1634" s="1" t="s">
        <v>2674</v>
      </c>
      <c r="E1634" s="1">
        <v>86314</v>
      </c>
      <c r="F1634" s="1" t="s">
        <v>7821</v>
      </c>
      <c r="G1634" s="39" t="s">
        <v>7803</v>
      </c>
      <c r="H1634" s="4" t="s">
        <v>548</v>
      </c>
      <c r="I1634" s="5" t="s">
        <v>2659</v>
      </c>
      <c r="J1634" s="5" t="s">
        <v>75</v>
      </c>
      <c r="K1634" s="5" t="s">
        <v>24</v>
      </c>
      <c r="L1634" s="5" t="s">
        <v>7822</v>
      </c>
      <c r="M1634" s="5" t="s">
        <v>24</v>
      </c>
      <c r="N1634" s="5" t="s">
        <v>24</v>
      </c>
      <c r="O1634" s="5" t="s">
        <v>75</v>
      </c>
      <c r="Q1634" s="41">
        <v>46051</v>
      </c>
      <c r="R1634" s="1" t="s">
        <v>7066</v>
      </c>
      <c r="V1634" s="1">
        <f t="shared" si="25"/>
        <v>1</v>
      </c>
      <c r="W1634" s="1" t="s">
        <v>7823</v>
      </c>
      <c r="X1634" s="32"/>
    </row>
    <row r="1635" spans="1:24">
      <c r="A1635" s="2">
        <v>46050</v>
      </c>
      <c r="B1635" s="1" t="s">
        <v>7824</v>
      </c>
      <c r="C1635" s="1" t="s">
        <v>7650</v>
      </c>
      <c r="D1635" s="1" t="s">
        <v>2439</v>
      </c>
      <c r="E1635" s="1">
        <v>85020</v>
      </c>
      <c r="F1635" s="1" t="s">
        <v>7825</v>
      </c>
      <c r="G1635" s="39" t="s">
        <v>7803</v>
      </c>
      <c r="H1635" s="4" t="s">
        <v>550</v>
      </c>
      <c r="I1635" s="5" t="s">
        <v>7826</v>
      </c>
      <c r="J1635" s="5" t="s">
        <v>24</v>
      </c>
      <c r="K1635" s="5" t="s">
        <v>24</v>
      </c>
      <c r="L1635" s="5" t="s">
        <v>7827</v>
      </c>
      <c r="M1635" s="5" t="s">
        <v>24</v>
      </c>
      <c r="N1635" s="5" t="s">
        <v>24</v>
      </c>
      <c r="O1635" s="5" t="s">
        <v>75</v>
      </c>
      <c r="Q1635" s="41">
        <v>46051</v>
      </c>
      <c r="R1635" s="1" t="s">
        <v>7066</v>
      </c>
      <c r="V1635" s="1">
        <f t="shared" si="25"/>
        <v>1</v>
      </c>
      <c r="W1635" s="1" t="s">
        <v>7828</v>
      </c>
      <c r="X1635" s="32"/>
    </row>
    <row r="1636" spans="1:24">
      <c r="A1636" s="2">
        <v>46051</v>
      </c>
      <c r="B1636" s="1" t="s">
        <v>7829</v>
      </c>
      <c r="C1636" s="1" t="s">
        <v>4717</v>
      </c>
      <c r="D1636" s="1" t="s">
        <v>2475</v>
      </c>
      <c r="E1636" s="1">
        <v>85351</v>
      </c>
      <c r="F1636" s="1" t="s">
        <v>7830</v>
      </c>
      <c r="G1636" s="39" t="s">
        <v>7831</v>
      </c>
      <c r="H1636" s="4" t="s">
        <v>1936</v>
      </c>
      <c r="I1636" s="5" t="s">
        <v>2412</v>
      </c>
      <c r="J1636" s="5" t="s">
        <v>24</v>
      </c>
      <c r="K1636" s="5" t="s">
        <v>24</v>
      </c>
      <c r="L1636" s="5" t="s">
        <v>75</v>
      </c>
      <c r="M1636" s="5" t="s">
        <v>24</v>
      </c>
      <c r="N1636" s="5" t="s">
        <v>24</v>
      </c>
      <c r="O1636" s="5" t="s">
        <v>75</v>
      </c>
      <c r="P1636" s="5" t="s">
        <v>2413</v>
      </c>
      <c r="Q1636" s="2">
        <v>46052</v>
      </c>
      <c r="V1636" s="1">
        <f t="shared" si="25"/>
        <v>1</v>
      </c>
      <c r="W1636" s="1" t="s">
        <v>7832</v>
      </c>
    </row>
    <row r="1637" spans="1:24">
      <c r="A1637" s="2">
        <v>46051</v>
      </c>
      <c r="B1637" s="1" t="s">
        <v>7833</v>
      </c>
      <c r="C1637" s="1" t="s">
        <v>7834</v>
      </c>
      <c r="D1637" s="1" t="s">
        <v>2674</v>
      </c>
      <c r="E1637" s="1">
        <v>86314</v>
      </c>
      <c r="F1637" s="1" t="s">
        <v>7835</v>
      </c>
      <c r="G1637" s="39" t="s">
        <v>7831</v>
      </c>
      <c r="H1637" s="4" t="s">
        <v>1938</v>
      </c>
      <c r="I1637" s="5" t="s">
        <v>7467</v>
      </c>
      <c r="J1637" s="5" t="s">
        <v>24</v>
      </c>
      <c r="K1637" s="5" t="s">
        <v>24</v>
      </c>
      <c r="L1637" s="5" t="s">
        <v>75</v>
      </c>
      <c r="M1637" s="5" t="s">
        <v>24</v>
      </c>
      <c r="N1637" s="5" t="s">
        <v>24</v>
      </c>
      <c r="O1637" s="5" t="s">
        <v>75</v>
      </c>
      <c r="P1637" s="5" t="s">
        <v>2413</v>
      </c>
      <c r="Q1637" s="2">
        <v>46052</v>
      </c>
      <c r="V1637" s="1">
        <f t="shared" si="25"/>
        <v>1</v>
      </c>
      <c r="W1637" s="1" t="s">
        <v>7836</v>
      </c>
    </row>
    <row r="1638" spans="1:24">
      <c r="A1638" s="2">
        <v>46051</v>
      </c>
      <c r="B1638" s="1" t="s">
        <v>2635</v>
      </c>
      <c r="C1638" s="1" t="s">
        <v>7837</v>
      </c>
      <c r="D1638" s="1" t="s">
        <v>2605</v>
      </c>
      <c r="E1638" s="1">
        <v>85383</v>
      </c>
      <c r="F1638" s="1" t="s">
        <v>7838</v>
      </c>
      <c r="G1638" s="39" t="s">
        <v>7831</v>
      </c>
      <c r="H1638" s="4" t="s">
        <v>1940</v>
      </c>
      <c r="I1638" s="5" t="s">
        <v>2412</v>
      </c>
      <c r="J1638" s="5" t="s">
        <v>24</v>
      </c>
      <c r="K1638" s="5" t="s">
        <v>24</v>
      </c>
      <c r="L1638" s="5" t="s">
        <v>75</v>
      </c>
      <c r="M1638" s="5" t="s">
        <v>24</v>
      </c>
      <c r="N1638" s="5" t="s">
        <v>24</v>
      </c>
      <c r="O1638" s="5" t="s">
        <v>75</v>
      </c>
      <c r="Q1638" s="41">
        <v>46052</v>
      </c>
      <c r="R1638" s="1" t="s">
        <v>7780</v>
      </c>
      <c r="V1638" s="1">
        <f t="shared" si="25"/>
        <v>1</v>
      </c>
      <c r="W1638" s="1" t="s">
        <v>7839</v>
      </c>
      <c r="X1638" s="32"/>
    </row>
    <row r="1639" spans="1:24">
      <c r="A1639" s="2">
        <v>46051</v>
      </c>
      <c r="B1639" s="1" t="s">
        <v>7840</v>
      </c>
      <c r="C1639" s="1" t="s">
        <v>7841</v>
      </c>
      <c r="D1639" s="1" t="s">
        <v>2439</v>
      </c>
      <c r="E1639" s="1">
        <v>85053</v>
      </c>
      <c r="F1639" s="1" t="s">
        <v>7842</v>
      </c>
      <c r="G1639" s="39" t="s">
        <v>7831</v>
      </c>
      <c r="H1639" s="4" t="s">
        <v>692</v>
      </c>
      <c r="I1639" s="5" t="s">
        <v>2412</v>
      </c>
      <c r="J1639" s="5" t="s">
        <v>75</v>
      </c>
      <c r="K1639" s="5" t="s">
        <v>24</v>
      </c>
      <c r="L1639" s="5" t="s">
        <v>75</v>
      </c>
      <c r="M1639" s="5" t="s">
        <v>75</v>
      </c>
      <c r="N1639" s="132">
        <v>2316.81</v>
      </c>
      <c r="O1639" s="5" t="s">
        <v>75</v>
      </c>
      <c r="Q1639" s="41">
        <v>46052</v>
      </c>
      <c r="R1639" s="1" t="s">
        <v>7780</v>
      </c>
      <c r="V1639" s="1">
        <f t="shared" si="25"/>
        <v>1</v>
      </c>
      <c r="W1639" s="131" t="s">
        <v>7843</v>
      </c>
      <c r="X1639" s="32"/>
    </row>
    <row r="1640" spans="1:24">
      <c r="A1640" s="2">
        <v>46051</v>
      </c>
      <c r="B1640" s="1" t="s">
        <v>7844</v>
      </c>
      <c r="C1640" s="1" t="s">
        <v>4717</v>
      </c>
      <c r="D1640" s="1" t="s">
        <v>2513</v>
      </c>
      <c r="E1640" s="1">
        <v>85254</v>
      </c>
      <c r="F1640" s="1" t="s">
        <v>7845</v>
      </c>
      <c r="G1640" s="39" t="s">
        <v>7846</v>
      </c>
      <c r="H1640" s="4" t="s">
        <v>1942</v>
      </c>
      <c r="I1640" s="5" t="s">
        <v>2412</v>
      </c>
      <c r="J1640" s="5" t="s">
        <v>24</v>
      </c>
      <c r="K1640" s="5" t="s">
        <v>24</v>
      </c>
      <c r="L1640" s="5" t="s">
        <v>75</v>
      </c>
      <c r="M1640" s="5" t="s">
        <v>24</v>
      </c>
      <c r="N1640" s="5" t="s">
        <v>24</v>
      </c>
      <c r="O1640" s="5" t="s">
        <v>75</v>
      </c>
      <c r="P1640" s="5" t="s">
        <v>2413</v>
      </c>
      <c r="Q1640" s="2">
        <v>46052</v>
      </c>
      <c r="V1640" s="1">
        <f t="shared" si="25"/>
        <v>1</v>
      </c>
      <c r="W1640" s="1" t="s">
        <v>7847</v>
      </c>
    </row>
    <row r="1641" spans="1:24">
      <c r="A1641" s="2">
        <v>46051</v>
      </c>
      <c r="B1641" s="1" t="s">
        <v>7848</v>
      </c>
      <c r="C1641" s="1" t="s">
        <v>3845</v>
      </c>
      <c r="D1641" s="1" t="s">
        <v>2439</v>
      </c>
      <c r="E1641" s="1">
        <v>85032</v>
      </c>
      <c r="F1641" s="1" t="s">
        <v>7849</v>
      </c>
      <c r="G1641" s="39" t="s">
        <v>7846</v>
      </c>
      <c r="H1641" s="4" t="s">
        <v>552</v>
      </c>
      <c r="I1641" s="5" t="s">
        <v>2514</v>
      </c>
      <c r="J1641" s="5" t="s">
        <v>24</v>
      </c>
      <c r="K1641" s="5" t="s">
        <v>24</v>
      </c>
      <c r="L1641" s="5" t="s">
        <v>7797</v>
      </c>
      <c r="M1641" s="5" t="s">
        <v>24</v>
      </c>
      <c r="N1641" s="5" t="s">
        <v>24</v>
      </c>
      <c r="O1641" s="5" t="s">
        <v>75</v>
      </c>
      <c r="Q1641" s="2">
        <v>46052</v>
      </c>
      <c r="R1641" s="1" t="s">
        <v>7850</v>
      </c>
      <c r="V1641" s="1">
        <f t="shared" si="25"/>
        <v>1</v>
      </c>
      <c r="W1641" s="1" t="s">
        <v>7851</v>
      </c>
    </row>
    <row r="1642" spans="1:24">
      <c r="A1642" s="2">
        <v>46051</v>
      </c>
      <c r="B1642" s="1" t="s">
        <v>7852</v>
      </c>
      <c r="C1642" s="1" t="s">
        <v>5108</v>
      </c>
      <c r="D1642" s="1" t="s">
        <v>2398</v>
      </c>
      <c r="E1642" s="1">
        <v>85308</v>
      </c>
      <c r="F1642" s="1" t="s">
        <v>7853</v>
      </c>
      <c r="G1642" s="39" t="s">
        <v>7846</v>
      </c>
      <c r="H1642" s="4" t="s">
        <v>2471</v>
      </c>
      <c r="V1642" s="1">
        <f t="shared" si="25"/>
        <v>1</v>
      </c>
      <c r="W1642" s="1" t="s">
        <v>7854</v>
      </c>
    </row>
    <row r="1643" spans="1:24">
      <c r="A1643" s="2">
        <v>46052</v>
      </c>
      <c r="B1643" s="1" t="s">
        <v>7855</v>
      </c>
      <c r="C1643" s="1" t="s">
        <v>7856</v>
      </c>
      <c r="D1643" s="1" t="s">
        <v>2513</v>
      </c>
      <c r="E1643" s="1">
        <v>85254</v>
      </c>
      <c r="F1643" s="1" t="s">
        <v>7857</v>
      </c>
      <c r="G1643" s="39" t="s">
        <v>7858</v>
      </c>
      <c r="H1643" s="4" t="s">
        <v>1944</v>
      </c>
      <c r="I1643" s="5" t="s">
        <v>2412</v>
      </c>
      <c r="J1643" s="5" t="s">
        <v>24</v>
      </c>
      <c r="K1643" s="5" t="s">
        <v>24</v>
      </c>
      <c r="L1643" s="5" t="s">
        <v>75</v>
      </c>
      <c r="M1643" s="5" t="s">
        <v>24</v>
      </c>
      <c r="N1643" s="5" t="s">
        <v>24</v>
      </c>
      <c r="O1643" s="5" t="s">
        <v>75</v>
      </c>
      <c r="P1643" s="5" t="s">
        <v>2413</v>
      </c>
      <c r="Q1643" s="2">
        <v>46057</v>
      </c>
      <c r="V1643" s="1">
        <f t="shared" si="25"/>
        <v>1</v>
      </c>
      <c r="W1643" s="1" t="s">
        <v>7859</v>
      </c>
    </row>
    <row r="1644" spans="1:24">
      <c r="A1644" s="2">
        <v>46052</v>
      </c>
      <c r="B1644" s="1" t="s">
        <v>7860</v>
      </c>
      <c r="C1644" s="1" t="s">
        <v>4919</v>
      </c>
      <c r="D1644" s="1" t="s">
        <v>3166</v>
      </c>
      <c r="E1644" s="1">
        <v>85375</v>
      </c>
      <c r="F1644" s="1" t="s">
        <v>7861</v>
      </c>
      <c r="G1644" s="39" t="s">
        <v>7858</v>
      </c>
      <c r="H1644" s="4" t="s">
        <v>694</v>
      </c>
      <c r="I1644" s="5" t="s">
        <v>2420</v>
      </c>
      <c r="J1644" s="5" t="s">
        <v>24</v>
      </c>
      <c r="K1644" s="5" t="s">
        <v>24</v>
      </c>
      <c r="L1644" s="5" t="s">
        <v>75</v>
      </c>
      <c r="M1644" s="5" t="s">
        <v>75</v>
      </c>
      <c r="N1644" s="13">
        <v>72.2</v>
      </c>
      <c r="O1644" s="5" t="s">
        <v>75</v>
      </c>
      <c r="P1644" s="5" t="s">
        <v>2413</v>
      </c>
      <c r="Q1644" s="2">
        <v>46057</v>
      </c>
      <c r="V1644" s="1">
        <f t="shared" si="25"/>
        <v>1</v>
      </c>
      <c r="W1644" s="1" t="s">
        <v>7862</v>
      </c>
    </row>
    <row r="1645" spans="1:24">
      <c r="A1645" s="2">
        <v>46049</v>
      </c>
      <c r="B1645" s="1" t="s">
        <v>3018</v>
      </c>
      <c r="C1645" s="1" t="s">
        <v>7863</v>
      </c>
      <c r="D1645" s="1" t="s">
        <v>2886</v>
      </c>
      <c r="E1645" s="1">
        <v>85361</v>
      </c>
      <c r="F1645" s="1" t="s">
        <v>7864</v>
      </c>
      <c r="G1645" s="39" t="s">
        <v>7865</v>
      </c>
      <c r="H1645" s="4" t="s">
        <v>2401</v>
      </c>
      <c r="V1645" s="1">
        <f t="shared" si="25"/>
        <v>1</v>
      </c>
      <c r="W1645" s="1" t="s">
        <v>7866</v>
      </c>
    </row>
    <row r="1646" spans="1:24">
      <c r="A1646" s="2">
        <v>46049</v>
      </c>
      <c r="B1646" s="1" t="s">
        <v>7867</v>
      </c>
      <c r="C1646" s="1" t="s">
        <v>7868</v>
      </c>
      <c r="D1646" s="1" t="s">
        <v>2439</v>
      </c>
      <c r="E1646" s="1">
        <v>85083</v>
      </c>
      <c r="F1646" s="1" t="s">
        <v>7869</v>
      </c>
      <c r="G1646" s="39" t="s">
        <v>7865</v>
      </c>
      <c r="H1646" s="4" t="s">
        <v>1946</v>
      </c>
      <c r="I1646" s="5" t="s">
        <v>2412</v>
      </c>
      <c r="J1646" s="5" t="s">
        <v>24</v>
      </c>
      <c r="K1646" s="5" t="s">
        <v>24</v>
      </c>
      <c r="L1646" s="5" t="s">
        <v>75</v>
      </c>
      <c r="M1646" s="5" t="s">
        <v>24</v>
      </c>
      <c r="N1646" s="5" t="s">
        <v>24</v>
      </c>
      <c r="O1646" s="5" t="s">
        <v>75</v>
      </c>
      <c r="P1646" s="5" t="s">
        <v>2413</v>
      </c>
      <c r="Q1646" s="2">
        <v>46057</v>
      </c>
      <c r="V1646" s="1">
        <f t="shared" si="25"/>
        <v>1</v>
      </c>
      <c r="W1646" s="1" t="s">
        <v>7870</v>
      </c>
    </row>
    <row r="1647" spans="1:24">
      <c r="A1647" s="2">
        <v>46049</v>
      </c>
      <c r="B1647" s="1" t="s">
        <v>7871</v>
      </c>
      <c r="C1647" s="1" t="s">
        <v>2912</v>
      </c>
      <c r="D1647" s="1" t="s">
        <v>2674</v>
      </c>
      <c r="E1647" s="1">
        <v>86314</v>
      </c>
      <c r="F1647" s="1" t="s">
        <v>7872</v>
      </c>
      <c r="G1647" s="39" t="s">
        <v>7865</v>
      </c>
      <c r="H1647" s="4" t="s">
        <v>1948</v>
      </c>
      <c r="I1647" s="5" t="s">
        <v>2514</v>
      </c>
      <c r="J1647" s="5" t="s">
        <v>24</v>
      </c>
      <c r="K1647" s="5" t="s">
        <v>24</v>
      </c>
      <c r="L1647" s="5" t="s">
        <v>75</v>
      </c>
      <c r="M1647" s="5" t="s">
        <v>24</v>
      </c>
      <c r="N1647" s="5" t="s">
        <v>24</v>
      </c>
      <c r="O1647" s="5" t="s">
        <v>75</v>
      </c>
      <c r="P1647" s="5" t="s">
        <v>2413</v>
      </c>
      <c r="Q1647" s="2">
        <v>46057</v>
      </c>
      <c r="V1647" s="1">
        <f t="shared" si="25"/>
        <v>1</v>
      </c>
      <c r="W1647" s="1" t="s">
        <v>7873</v>
      </c>
    </row>
    <row r="1648" spans="1:24">
      <c r="A1648" s="2">
        <v>46049</v>
      </c>
      <c r="B1648" s="1" t="s">
        <v>7874</v>
      </c>
      <c r="C1648" s="1" t="s">
        <v>7875</v>
      </c>
      <c r="D1648" s="1" t="s">
        <v>3073</v>
      </c>
      <c r="E1648" s="1">
        <v>85364</v>
      </c>
      <c r="F1648" s="1" t="s">
        <v>7876</v>
      </c>
      <c r="G1648" s="39" t="s">
        <v>7865</v>
      </c>
      <c r="H1648" s="4" t="s">
        <v>2401</v>
      </c>
      <c r="V1648" s="1">
        <f t="shared" si="25"/>
        <v>1</v>
      </c>
      <c r="W1648" s="1" t="s">
        <v>7877</v>
      </c>
    </row>
    <row r="1649" spans="1:24">
      <c r="A1649" s="2">
        <v>46049</v>
      </c>
      <c r="B1649" s="1" t="s">
        <v>7878</v>
      </c>
      <c r="C1649" s="1" t="s">
        <v>2733</v>
      </c>
      <c r="D1649" s="1" t="s">
        <v>2843</v>
      </c>
      <c r="E1649" s="1">
        <v>85123</v>
      </c>
      <c r="F1649" s="1" t="s">
        <v>7879</v>
      </c>
      <c r="G1649" s="39" t="s">
        <v>7865</v>
      </c>
      <c r="H1649" s="4" t="s">
        <v>696</v>
      </c>
      <c r="I1649" s="5" t="s">
        <v>2412</v>
      </c>
      <c r="J1649" s="5" t="s">
        <v>24</v>
      </c>
      <c r="K1649" s="5" t="s">
        <v>24</v>
      </c>
      <c r="L1649" s="5" t="s">
        <v>75</v>
      </c>
      <c r="M1649" s="5" t="s">
        <v>75</v>
      </c>
      <c r="N1649" s="13">
        <v>309.8</v>
      </c>
      <c r="O1649" s="5" t="s">
        <v>75</v>
      </c>
      <c r="Q1649" s="41">
        <v>46057</v>
      </c>
      <c r="R1649" s="1" t="s">
        <v>7780</v>
      </c>
      <c r="V1649" s="1">
        <f t="shared" si="25"/>
        <v>1</v>
      </c>
      <c r="W1649" s="1" t="s">
        <v>7880</v>
      </c>
      <c r="X1649" s="32"/>
    </row>
    <row r="1650" spans="1:24">
      <c r="A1650" s="2">
        <v>46049</v>
      </c>
      <c r="B1650" s="1" t="s">
        <v>6868</v>
      </c>
      <c r="C1650" s="1" t="s">
        <v>7881</v>
      </c>
      <c r="D1650" s="1" t="s">
        <v>2439</v>
      </c>
      <c r="E1650" s="1">
        <v>85023</v>
      </c>
      <c r="F1650" s="1" t="s">
        <v>7882</v>
      </c>
      <c r="G1650" s="39" t="s">
        <v>7865</v>
      </c>
      <c r="H1650" s="4" t="s">
        <v>698</v>
      </c>
      <c r="I1650" s="5" t="s">
        <v>2451</v>
      </c>
      <c r="J1650" s="5" t="s">
        <v>24</v>
      </c>
      <c r="K1650" s="5" t="s">
        <v>24</v>
      </c>
      <c r="L1650" s="5" t="s">
        <v>75</v>
      </c>
      <c r="M1650" s="5" t="s">
        <v>75</v>
      </c>
      <c r="N1650" s="13">
        <v>202.33</v>
      </c>
      <c r="O1650" s="5" t="s">
        <v>75</v>
      </c>
      <c r="Q1650" s="41">
        <v>46057</v>
      </c>
      <c r="R1650" s="1" t="s">
        <v>7780</v>
      </c>
      <c r="V1650" s="1">
        <f t="shared" si="25"/>
        <v>1</v>
      </c>
      <c r="W1650" s="1" t="s">
        <v>7883</v>
      </c>
      <c r="X1650" s="32"/>
    </row>
    <row r="1651" spans="1:24">
      <c r="A1651" s="2">
        <v>46049</v>
      </c>
      <c r="B1651" s="1" t="s">
        <v>7884</v>
      </c>
      <c r="C1651" s="1" t="s">
        <v>7885</v>
      </c>
      <c r="D1651" s="1" t="s">
        <v>2439</v>
      </c>
      <c r="E1651" s="1">
        <v>85023</v>
      </c>
      <c r="F1651" s="1" t="s">
        <v>7886</v>
      </c>
      <c r="G1651" s="39" t="s">
        <v>7865</v>
      </c>
      <c r="H1651" s="4" t="s">
        <v>1950</v>
      </c>
      <c r="I1651" s="5" t="s">
        <v>2420</v>
      </c>
      <c r="J1651" s="5" t="s">
        <v>24</v>
      </c>
      <c r="K1651" s="5" t="s">
        <v>24</v>
      </c>
      <c r="L1651" s="5" t="s">
        <v>75</v>
      </c>
      <c r="M1651" s="5" t="s">
        <v>24</v>
      </c>
      <c r="N1651" s="5" t="s">
        <v>24</v>
      </c>
      <c r="O1651" s="5" t="s">
        <v>75</v>
      </c>
      <c r="P1651" s="5" t="s">
        <v>2413</v>
      </c>
      <c r="Q1651" s="2">
        <v>46057</v>
      </c>
      <c r="R1651" s="1" t="s">
        <v>7887</v>
      </c>
      <c r="V1651" s="1">
        <f t="shared" si="25"/>
        <v>1</v>
      </c>
      <c r="W1651" s="1" t="s">
        <v>7888</v>
      </c>
    </row>
    <row r="1652" spans="1:24">
      <c r="A1652" s="2">
        <v>46049</v>
      </c>
      <c r="B1652" s="1" t="s">
        <v>2760</v>
      </c>
      <c r="C1652" s="1" t="s">
        <v>7362</v>
      </c>
      <c r="D1652" s="1" t="s">
        <v>2498</v>
      </c>
      <c r="E1652" s="1">
        <v>85374</v>
      </c>
      <c r="F1652" s="1" t="s">
        <v>7889</v>
      </c>
      <c r="G1652" s="39" t="s">
        <v>7865</v>
      </c>
      <c r="H1652" s="4" t="s">
        <v>1952</v>
      </c>
      <c r="I1652" s="5" t="s">
        <v>2451</v>
      </c>
      <c r="J1652" s="5" t="s">
        <v>75</v>
      </c>
      <c r="K1652" s="5" t="s">
        <v>24</v>
      </c>
      <c r="L1652" s="5" t="s">
        <v>75</v>
      </c>
      <c r="M1652" s="5" t="s">
        <v>24</v>
      </c>
      <c r="N1652" s="5" t="s">
        <v>24</v>
      </c>
      <c r="O1652" s="5" t="s">
        <v>75</v>
      </c>
      <c r="P1652" s="5" t="s">
        <v>2413</v>
      </c>
      <c r="Q1652" s="2">
        <v>46057</v>
      </c>
      <c r="V1652" s="1">
        <f t="shared" si="25"/>
        <v>1</v>
      </c>
      <c r="W1652" s="1" t="s">
        <v>7890</v>
      </c>
    </row>
    <row r="1653" spans="1:24">
      <c r="A1653" s="2">
        <v>46049</v>
      </c>
      <c r="B1653" s="1" t="s">
        <v>7891</v>
      </c>
      <c r="C1653" s="1" t="s">
        <v>7892</v>
      </c>
      <c r="D1653" s="1" t="s">
        <v>3073</v>
      </c>
      <c r="E1653" s="1">
        <v>85364</v>
      </c>
      <c r="F1653" s="1" t="s">
        <v>7893</v>
      </c>
      <c r="G1653" s="39" t="s">
        <v>7865</v>
      </c>
      <c r="H1653" s="4" t="s">
        <v>2401</v>
      </c>
      <c r="V1653" s="1">
        <f t="shared" si="25"/>
        <v>1</v>
      </c>
      <c r="W1653" s="1" t="s">
        <v>7894</v>
      </c>
    </row>
    <row r="1654" spans="1:24">
      <c r="A1654" s="2">
        <v>46049</v>
      </c>
      <c r="B1654" s="1" t="s">
        <v>2562</v>
      </c>
      <c r="C1654" s="1" t="s">
        <v>7895</v>
      </c>
      <c r="D1654" s="1" t="s">
        <v>2605</v>
      </c>
      <c r="E1654" s="1">
        <v>85345</v>
      </c>
      <c r="F1654" s="1" t="s">
        <v>7896</v>
      </c>
      <c r="G1654" s="39" t="s">
        <v>7865</v>
      </c>
      <c r="H1654" s="4" t="s">
        <v>1954</v>
      </c>
      <c r="I1654" s="5" t="s">
        <v>2514</v>
      </c>
      <c r="J1654" s="5" t="s">
        <v>24</v>
      </c>
      <c r="K1654" s="5" t="s">
        <v>24</v>
      </c>
      <c r="L1654" s="5" t="s">
        <v>75</v>
      </c>
      <c r="M1654" s="5" t="s">
        <v>24</v>
      </c>
      <c r="N1654" s="5" t="s">
        <v>24</v>
      </c>
      <c r="O1654" s="5" t="s">
        <v>75</v>
      </c>
      <c r="P1654" s="5" t="s">
        <v>2413</v>
      </c>
      <c r="Q1654" s="2">
        <v>46057</v>
      </c>
      <c r="V1654" s="1">
        <f t="shared" si="25"/>
        <v>1</v>
      </c>
      <c r="W1654" s="1" t="s">
        <v>7897</v>
      </c>
    </row>
    <row r="1655" spans="1:24">
      <c r="A1655" s="2">
        <v>46049</v>
      </c>
      <c r="B1655" s="1" t="s">
        <v>7898</v>
      </c>
      <c r="C1655" s="1" t="s">
        <v>7899</v>
      </c>
      <c r="D1655" s="1" t="s">
        <v>2843</v>
      </c>
      <c r="E1655" s="1">
        <v>85123</v>
      </c>
      <c r="F1655" s="1" t="s">
        <v>7900</v>
      </c>
      <c r="G1655" s="39" t="s">
        <v>7865</v>
      </c>
      <c r="H1655" s="4" t="s">
        <v>1956</v>
      </c>
      <c r="I1655" s="5" t="s">
        <v>7467</v>
      </c>
      <c r="J1655" s="5" t="s">
        <v>24</v>
      </c>
      <c r="K1655" s="5" t="s">
        <v>24</v>
      </c>
      <c r="L1655" s="5" t="s">
        <v>75</v>
      </c>
      <c r="M1655" s="5" t="s">
        <v>24</v>
      </c>
      <c r="N1655" s="5" t="s">
        <v>24</v>
      </c>
      <c r="O1655" s="5" t="s">
        <v>75</v>
      </c>
      <c r="P1655" s="5" t="s">
        <v>2413</v>
      </c>
      <c r="Q1655" s="2">
        <v>46057</v>
      </c>
      <c r="V1655" s="1">
        <f t="shared" si="25"/>
        <v>1</v>
      </c>
      <c r="W1655" s="1" t="s">
        <v>7901</v>
      </c>
    </row>
    <row r="1656" spans="1:24">
      <c r="A1656" s="2">
        <v>46049</v>
      </c>
      <c r="B1656" s="1" t="s">
        <v>7902</v>
      </c>
      <c r="C1656" s="1" t="s">
        <v>7903</v>
      </c>
      <c r="D1656" s="1" t="s">
        <v>2650</v>
      </c>
      <c r="E1656" s="1">
        <v>85340</v>
      </c>
      <c r="F1656" s="1" t="s">
        <v>7904</v>
      </c>
      <c r="G1656" s="39" t="s">
        <v>7865</v>
      </c>
      <c r="H1656" s="4" t="s">
        <v>1958</v>
      </c>
      <c r="I1656" s="5" t="s">
        <v>7905</v>
      </c>
      <c r="J1656" s="5" t="s">
        <v>24</v>
      </c>
      <c r="K1656" s="5" t="s">
        <v>24</v>
      </c>
      <c r="L1656" s="5" t="s">
        <v>7158</v>
      </c>
      <c r="M1656" s="5" t="s">
        <v>24</v>
      </c>
      <c r="N1656" s="5" t="s">
        <v>24</v>
      </c>
      <c r="O1656" s="5" t="s">
        <v>75</v>
      </c>
      <c r="P1656" s="5" t="s">
        <v>2413</v>
      </c>
      <c r="Q1656" s="2">
        <v>46057</v>
      </c>
      <c r="V1656" s="1">
        <f t="shared" si="25"/>
        <v>1</v>
      </c>
      <c r="W1656" s="1" t="s">
        <v>7906</v>
      </c>
    </row>
    <row r="1657" spans="1:24">
      <c r="A1657" s="2">
        <v>46049</v>
      </c>
      <c r="B1657" s="1" t="s">
        <v>7907</v>
      </c>
      <c r="C1657" s="1" t="s">
        <v>5173</v>
      </c>
      <c r="D1657" s="1" t="s">
        <v>2439</v>
      </c>
      <c r="E1657" s="1">
        <v>85029</v>
      </c>
      <c r="F1657" s="1" t="s">
        <v>7908</v>
      </c>
      <c r="G1657" s="39" t="s">
        <v>7865</v>
      </c>
      <c r="H1657" s="4" t="s">
        <v>700</v>
      </c>
      <c r="I1657" s="5" t="s">
        <v>2988</v>
      </c>
      <c r="J1657" s="5" t="s">
        <v>24</v>
      </c>
      <c r="K1657" s="5" t="s">
        <v>24</v>
      </c>
      <c r="L1657" s="5" t="s">
        <v>7158</v>
      </c>
      <c r="M1657" s="5" t="s">
        <v>75</v>
      </c>
      <c r="N1657" s="13">
        <v>125.36</v>
      </c>
      <c r="O1657" s="5" t="s">
        <v>75</v>
      </c>
      <c r="P1657" s="5" t="s">
        <v>2413</v>
      </c>
      <c r="Q1657" s="2">
        <v>46057</v>
      </c>
      <c r="V1657" s="1">
        <f t="shared" si="25"/>
        <v>1</v>
      </c>
      <c r="W1657" s="1" t="s">
        <v>7909</v>
      </c>
    </row>
    <row r="1658" spans="1:24">
      <c r="A1658" s="2">
        <v>46049</v>
      </c>
      <c r="B1658" s="1" t="s">
        <v>7910</v>
      </c>
      <c r="C1658" s="1" t="s">
        <v>2733</v>
      </c>
      <c r="D1658" s="1" t="s">
        <v>2498</v>
      </c>
      <c r="E1658" s="1">
        <v>85379</v>
      </c>
      <c r="F1658" s="1" t="s">
        <v>7911</v>
      </c>
      <c r="G1658" s="39" t="s">
        <v>7865</v>
      </c>
      <c r="H1658" s="4" t="s">
        <v>1960</v>
      </c>
      <c r="I1658" s="5" t="s">
        <v>2597</v>
      </c>
      <c r="J1658" s="5" t="s">
        <v>75</v>
      </c>
      <c r="K1658" s="5" t="s">
        <v>24</v>
      </c>
      <c r="L1658" s="5" t="s">
        <v>75</v>
      </c>
      <c r="M1658" s="5" t="s">
        <v>24</v>
      </c>
      <c r="N1658" s="5" t="s">
        <v>24</v>
      </c>
      <c r="O1658" s="5" t="s">
        <v>75</v>
      </c>
      <c r="P1658" s="5" t="s">
        <v>2413</v>
      </c>
      <c r="Q1658" s="2">
        <v>46057</v>
      </c>
      <c r="V1658" s="1">
        <f t="shared" si="25"/>
        <v>1</v>
      </c>
      <c r="W1658" s="1" t="s">
        <v>7912</v>
      </c>
    </row>
    <row r="1659" spans="1:24">
      <c r="A1659" s="2">
        <v>46049</v>
      </c>
      <c r="B1659" s="1" t="s">
        <v>7913</v>
      </c>
      <c r="C1659" s="1" t="s">
        <v>7914</v>
      </c>
      <c r="D1659" s="1" t="s">
        <v>2439</v>
      </c>
      <c r="E1659" s="1">
        <v>85006</v>
      </c>
      <c r="F1659" s="1" t="s">
        <v>7915</v>
      </c>
      <c r="G1659" s="39" t="s">
        <v>7865</v>
      </c>
      <c r="H1659" s="4" t="s">
        <v>1962</v>
      </c>
      <c r="I1659" s="5" t="s">
        <v>2597</v>
      </c>
      <c r="J1659" s="5" t="s">
        <v>24</v>
      </c>
      <c r="K1659" s="5" t="s">
        <v>24</v>
      </c>
      <c r="L1659" s="5" t="s">
        <v>75</v>
      </c>
      <c r="M1659" s="5" t="s">
        <v>24</v>
      </c>
      <c r="N1659" s="5" t="s">
        <v>24</v>
      </c>
      <c r="O1659" s="5" t="s">
        <v>75</v>
      </c>
      <c r="P1659" s="5" t="s">
        <v>2413</v>
      </c>
      <c r="Q1659" s="2">
        <v>46057</v>
      </c>
      <c r="V1659" s="1">
        <f t="shared" si="25"/>
        <v>1</v>
      </c>
      <c r="W1659" s="1" t="s">
        <v>7916</v>
      </c>
    </row>
    <row r="1660" spans="1:24">
      <c r="A1660" s="2">
        <v>46049</v>
      </c>
      <c r="B1660" s="1" t="s">
        <v>2976</v>
      </c>
      <c r="C1660" s="1" t="s">
        <v>7917</v>
      </c>
      <c r="D1660" s="1" t="s">
        <v>7918</v>
      </c>
      <c r="E1660" s="1">
        <v>85339</v>
      </c>
      <c r="F1660" s="1" t="s">
        <v>7919</v>
      </c>
      <c r="G1660" s="39" t="s">
        <v>7865</v>
      </c>
      <c r="H1660" s="4" t="s">
        <v>2401</v>
      </c>
      <c r="V1660" s="1">
        <f t="shared" si="25"/>
        <v>1</v>
      </c>
      <c r="W1660" s="1" t="s">
        <v>7920</v>
      </c>
    </row>
    <row r="1661" spans="1:24">
      <c r="A1661" s="2">
        <v>46049</v>
      </c>
      <c r="B1661" s="1" t="s">
        <v>6887</v>
      </c>
      <c r="C1661" s="1" t="s">
        <v>7921</v>
      </c>
      <c r="D1661" s="1" t="s">
        <v>4892</v>
      </c>
      <c r="E1661" s="1">
        <v>86327</v>
      </c>
      <c r="F1661" s="1" t="s">
        <v>7922</v>
      </c>
      <c r="G1661" s="39" t="s">
        <v>7865</v>
      </c>
      <c r="H1661" s="4" t="s">
        <v>2401</v>
      </c>
      <c r="V1661" s="1">
        <f t="shared" si="25"/>
        <v>1</v>
      </c>
      <c r="W1661" s="1" t="s">
        <v>7923</v>
      </c>
    </row>
    <row r="1662" spans="1:24">
      <c r="A1662" s="2">
        <v>46049</v>
      </c>
      <c r="B1662" s="1" t="s">
        <v>7924</v>
      </c>
      <c r="C1662" s="1" t="s">
        <v>7925</v>
      </c>
      <c r="D1662" s="1" t="s">
        <v>3815</v>
      </c>
      <c r="E1662" s="1">
        <v>85355</v>
      </c>
      <c r="F1662" s="1" t="s">
        <v>7926</v>
      </c>
      <c r="G1662" s="39" t="s">
        <v>7865</v>
      </c>
      <c r="H1662" s="4" t="s">
        <v>1964</v>
      </c>
      <c r="I1662" s="5" t="s">
        <v>2412</v>
      </c>
      <c r="J1662" s="5" t="s">
        <v>24</v>
      </c>
      <c r="K1662" s="5" t="s">
        <v>24</v>
      </c>
      <c r="L1662" s="5" t="s">
        <v>75</v>
      </c>
      <c r="M1662" s="5" t="s">
        <v>24</v>
      </c>
      <c r="N1662" s="5" t="s">
        <v>24</v>
      </c>
      <c r="O1662" s="5" t="s">
        <v>75</v>
      </c>
      <c r="P1662" s="5" t="s">
        <v>2413</v>
      </c>
      <c r="Q1662" s="2">
        <v>46057</v>
      </c>
      <c r="V1662" s="1">
        <f t="shared" si="25"/>
        <v>1</v>
      </c>
      <c r="W1662" s="1" t="s">
        <v>7927</v>
      </c>
    </row>
    <row r="1663" spans="1:24">
      <c r="A1663" s="2">
        <v>46049</v>
      </c>
      <c r="B1663" s="1" t="s">
        <v>3698</v>
      </c>
      <c r="C1663" s="1" t="s">
        <v>7928</v>
      </c>
      <c r="D1663" s="1" t="s">
        <v>2439</v>
      </c>
      <c r="E1663" s="1">
        <v>85023</v>
      </c>
      <c r="F1663" s="1" t="s">
        <v>7929</v>
      </c>
      <c r="G1663" s="39" t="s">
        <v>7865</v>
      </c>
      <c r="H1663" s="4" t="s">
        <v>702</v>
      </c>
      <c r="I1663" s="5" t="s">
        <v>2451</v>
      </c>
      <c r="J1663" s="5" t="s">
        <v>24</v>
      </c>
      <c r="K1663" s="5" t="s">
        <v>24</v>
      </c>
      <c r="L1663" s="5" t="s">
        <v>75</v>
      </c>
      <c r="V1663" s="1">
        <f t="shared" si="25"/>
        <v>1</v>
      </c>
      <c r="W1663" s="1" t="s">
        <v>7930</v>
      </c>
    </row>
    <row r="1664" spans="1:24">
      <c r="A1664" s="2">
        <v>46049</v>
      </c>
      <c r="B1664" s="1" t="s">
        <v>7931</v>
      </c>
      <c r="C1664" s="1" t="s">
        <v>5502</v>
      </c>
      <c r="D1664" s="1" t="s">
        <v>2439</v>
      </c>
      <c r="E1664" s="1">
        <v>85013</v>
      </c>
      <c r="F1664" s="1" t="s">
        <v>7932</v>
      </c>
      <c r="G1664" s="39" t="s">
        <v>7865</v>
      </c>
      <c r="H1664" s="4" t="s">
        <v>1966</v>
      </c>
      <c r="I1664" s="5" t="s">
        <v>2412</v>
      </c>
      <c r="J1664" s="5" t="s">
        <v>75</v>
      </c>
      <c r="K1664" s="5" t="s">
        <v>24</v>
      </c>
      <c r="L1664" s="5" t="s">
        <v>75</v>
      </c>
      <c r="M1664" s="5" t="s">
        <v>24</v>
      </c>
      <c r="N1664" s="5" t="s">
        <v>24</v>
      </c>
      <c r="O1664" s="5" t="s">
        <v>75</v>
      </c>
      <c r="P1664" s="5" t="s">
        <v>2413</v>
      </c>
      <c r="Q1664" s="2">
        <v>46057</v>
      </c>
      <c r="V1664" s="1">
        <f t="shared" si="25"/>
        <v>1</v>
      </c>
      <c r="W1664" s="1" t="s">
        <v>7933</v>
      </c>
    </row>
    <row r="1665" spans="1:24">
      <c r="A1665" s="2">
        <v>46049</v>
      </c>
      <c r="B1665" s="1" t="s">
        <v>7934</v>
      </c>
      <c r="C1665" s="1" t="s">
        <v>2726</v>
      </c>
      <c r="D1665" s="1" t="s">
        <v>2605</v>
      </c>
      <c r="E1665" s="1">
        <v>85345</v>
      </c>
      <c r="F1665" s="1" t="s">
        <v>7935</v>
      </c>
      <c r="G1665" s="39" t="s">
        <v>7865</v>
      </c>
      <c r="H1665" s="4" t="s">
        <v>1968</v>
      </c>
      <c r="I1665" s="5" t="s">
        <v>2412</v>
      </c>
      <c r="J1665" s="5" t="s">
        <v>24</v>
      </c>
      <c r="K1665" s="5" t="s">
        <v>24</v>
      </c>
      <c r="L1665" s="5" t="s">
        <v>75</v>
      </c>
      <c r="M1665" s="5" t="s">
        <v>24</v>
      </c>
      <c r="N1665" s="5" t="s">
        <v>24</v>
      </c>
      <c r="O1665" s="5" t="s">
        <v>75</v>
      </c>
      <c r="P1665" s="5" t="s">
        <v>2413</v>
      </c>
      <c r="Q1665" s="2">
        <v>46057</v>
      </c>
      <c r="V1665" s="1">
        <f t="shared" si="25"/>
        <v>1</v>
      </c>
      <c r="W1665" s="1" t="s">
        <v>7936</v>
      </c>
    </row>
    <row r="1666" spans="1:24">
      <c r="A1666" s="2">
        <v>46049</v>
      </c>
      <c r="B1666" s="1" t="s">
        <v>7937</v>
      </c>
      <c r="C1666" s="1" t="s">
        <v>7938</v>
      </c>
      <c r="D1666" s="1" t="s">
        <v>2439</v>
      </c>
      <c r="E1666" s="1">
        <v>85053</v>
      </c>
      <c r="F1666" s="1" t="s">
        <v>7939</v>
      </c>
      <c r="G1666" s="39" t="s">
        <v>7865</v>
      </c>
      <c r="H1666" s="4" t="s">
        <v>1970</v>
      </c>
      <c r="I1666" s="5" t="s">
        <v>2412</v>
      </c>
      <c r="J1666" s="5" t="s">
        <v>24</v>
      </c>
      <c r="K1666" s="5" t="s">
        <v>24</v>
      </c>
      <c r="L1666" s="5" t="s">
        <v>75</v>
      </c>
      <c r="M1666" s="5" t="s">
        <v>24</v>
      </c>
      <c r="N1666" s="5" t="s">
        <v>24</v>
      </c>
      <c r="O1666" s="5" t="s">
        <v>75</v>
      </c>
      <c r="P1666" s="5" t="s">
        <v>2413</v>
      </c>
      <c r="Q1666" s="2">
        <v>46057</v>
      </c>
      <c r="V1666" s="1">
        <f t="shared" ref="V1666:V1729" si="26">IF(OR(ISNUMBER(SEARCH("unable to locate acct",G1666)),ISNUMBER(SEARCH("unknown",G1666)),ISNUMBER(SEARCH("inactive",G1666)),H1666=""),0,1)</f>
        <v>1</v>
      </c>
      <c r="W1666" s="1" t="s">
        <v>7940</v>
      </c>
    </row>
    <row r="1667" spans="1:24">
      <c r="A1667" s="2">
        <v>46049</v>
      </c>
      <c r="B1667" s="1" t="s">
        <v>7941</v>
      </c>
      <c r="C1667" s="1" t="s">
        <v>4136</v>
      </c>
      <c r="D1667" s="1" t="s">
        <v>2398</v>
      </c>
      <c r="E1667" s="1">
        <v>85307</v>
      </c>
      <c r="F1667" s="133" t="s">
        <v>7942</v>
      </c>
      <c r="G1667" s="39" t="s">
        <v>7865</v>
      </c>
      <c r="H1667" s="4" t="s">
        <v>2401</v>
      </c>
      <c r="R1667" s="1" t="s">
        <v>7943</v>
      </c>
      <c r="V1667" s="1">
        <f t="shared" si="26"/>
        <v>1</v>
      </c>
      <c r="W1667" s="1" t="s">
        <v>7944</v>
      </c>
    </row>
    <row r="1668" spans="1:24">
      <c r="A1668" s="2">
        <v>46049</v>
      </c>
      <c r="B1668" s="1" t="s">
        <v>7945</v>
      </c>
      <c r="C1668" s="1" t="s">
        <v>7946</v>
      </c>
      <c r="D1668" s="1" t="s">
        <v>2439</v>
      </c>
      <c r="E1668" s="1">
        <v>85050</v>
      </c>
      <c r="F1668" s="1" t="s">
        <v>7947</v>
      </c>
      <c r="G1668" s="39" t="s">
        <v>7865</v>
      </c>
      <c r="H1668" s="4" t="s">
        <v>2401</v>
      </c>
      <c r="V1668" s="1">
        <f t="shared" si="26"/>
        <v>1</v>
      </c>
      <c r="W1668" s="1" t="s">
        <v>7948</v>
      </c>
    </row>
    <row r="1669" spans="1:24">
      <c r="A1669" s="2">
        <v>46049</v>
      </c>
      <c r="B1669" s="1" t="s">
        <v>7949</v>
      </c>
      <c r="C1669" s="1" t="s">
        <v>7252</v>
      </c>
      <c r="D1669" s="1" t="s">
        <v>3166</v>
      </c>
      <c r="E1669" s="1">
        <v>85375</v>
      </c>
      <c r="F1669" s="1" t="s">
        <v>7950</v>
      </c>
      <c r="G1669" s="39" t="s">
        <v>7865</v>
      </c>
      <c r="H1669" s="4" t="s">
        <v>554</v>
      </c>
      <c r="I1669" s="5" t="s">
        <v>2432</v>
      </c>
      <c r="J1669" s="5" t="s">
        <v>24</v>
      </c>
      <c r="K1669" s="5" t="s">
        <v>24</v>
      </c>
      <c r="L1669" s="5" t="s">
        <v>7951</v>
      </c>
      <c r="M1669" s="5" t="s">
        <v>24</v>
      </c>
      <c r="N1669" s="5" t="s">
        <v>24</v>
      </c>
      <c r="O1669" s="5" t="s">
        <v>75</v>
      </c>
      <c r="Q1669" s="41">
        <v>46057</v>
      </c>
      <c r="R1669" s="1" t="s">
        <v>7066</v>
      </c>
      <c r="V1669" s="1">
        <f t="shared" si="26"/>
        <v>1</v>
      </c>
      <c r="W1669" s="1" t="s">
        <v>7952</v>
      </c>
      <c r="X1669" s="32"/>
    </row>
    <row r="1670" spans="1:24">
      <c r="A1670" s="2">
        <v>46049</v>
      </c>
      <c r="B1670" s="1" t="s">
        <v>7953</v>
      </c>
      <c r="C1670" s="1" t="s">
        <v>5900</v>
      </c>
      <c r="D1670" s="1" t="s">
        <v>2605</v>
      </c>
      <c r="E1670" s="1">
        <v>85345</v>
      </c>
      <c r="F1670" s="1" t="s">
        <v>7954</v>
      </c>
      <c r="G1670" s="39" t="s">
        <v>7865</v>
      </c>
      <c r="H1670" s="4" t="s">
        <v>1972</v>
      </c>
      <c r="I1670" s="5" t="s">
        <v>2451</v>
      </c>
      <c r="J1670" s="5" t="s">
        <v>75</v>
      </c>
      <c r="K1670" s="5" t="s">
        <v>24</v>
      </c>
      <c r="L1670" s="5" t="s">
        <v>75</v>
      </c>
      <c r="M1670" s="5" t="s">
        <v>24</v>
      </c>
      <c r="N1670" s="5" t="s">
        <v>24</v>
      </c>
      <c r="O1670" s="5" t="s">
        <v>75</v>
      </c>
      <c r="P1670" s="5" t="s">
        <v>2413</v>
      </c>
      <c r="Q1670" s="2">
        <v>46057</v>
      </c>
      <c r="V1670" s="1">
        <f t="shared" si="26"/>
        <v>1</v>
      </c>
      <c r="W1670" s="1" t="s">
        <v>7955</v>
      </c>
    </row>
    <row r="1671" spans="1:24">
      <c r="A1671" s="2">
        <v>46049</v>
      </c>
      <c r="B1671" s="1" t="s">
        <v>7956</v>
      </c>
      <c r="C1671" s="1" t="s">
        <v>7957</v>
      </c>
      <c r="D1671" s="1" t="s">
        <v>5252</v>
      </c>
      <c r="E1671" s="1">
        <v>85132</v>
      </c>
      <c r="F1671" s="1" t="s">
        <v>7958</v>
      </c>
      <c r="G1671" s="39" t="s">
        <v>7865</v>
      </c>
      <c r="H1671" s="4" t="s">
        <v>2401</v>
      </c>
      <c r="V1671" s="1">
        <f t="shared" si="26"/>
        <v>1</v>
      </c>
      <c r="W1671" s="1" t="s">
        <v>7959</v>
      </c>
    </row>
    <row r="1672" spans="1:24">
      <c r="A1672" s="2">
        <v>46049</v>
      </c>
      <c r="B1672" s="1" t="s">
        <v>7960</v>
      </c>
      <c r="C1672" s="1" t="s">
        <v>2812</v>
      </c>
      <c r="D1672" s="1" t="s">
        <v>7961</v>
      </c>
      <c r="E1672" s="1">
        <v>85332</v>
      </c>
      <c r="F1672" s="1" t="s">
        <v>7962</v>
      </c>
      <c r="G1672" s="39" t="s">
        <v>7865</v>
      </c>
      <c r="H1672" s="4" t="s">
        <v>704</v>
      </c>
      <c r="I1672" s="5" t="s">
        <v>2420</v>
      </c>
      <c r="J1672" s="5" t="s">
        <v>24</v>
      </c>
      <c r="K1672" s="5" t="s">
        <v>24</v>
      </c>
      <c r="L1672" s="5" t="s">
        <v>75</v>
      </c>
      <c r="M1672" s="5" t="s">
        <v>75</v>
      </c>
      <c r="N1672" s="13">
        <v>472.66</v>
      </c>
      <c r="O1672" s="5" t="s">
        <v>75</v>
      </c>
      <c r="Q1672" s="41">
        <v>46057</v>
      </c>
      <c r="R1672" s="1" t="s">
        <v>7780</v>
      </c>
      <c r="V1672" s="1">
        <f t="shared" si="26"/>
        <v>1</v>
      </c>
      <c r="W1672" s="1" t="s">
        <v>7963</v>
      </c>
      <c r="X1672" s="32"/>
    </row>
    <row r="1673" spans="1:24">
      <c r="A1673" s="2">
        <v>46049</v>
      </c>
      <c r="B1673" s="1" t="s">
        <v>2424</v>
      </c>
      <c r="C1673" s="1" t="s">
        <v>2733</v>
      </c>
      <c r="D1673" s="1" t="s">
        <v>2439</v>
      </c>
      <c r="E1673" s="1">
        <v>85086</v>
      </c>
      <c r="F1673" s="1" t="s">
        <v>7964</v>
      </c>
      <c r="G1673" s="39" t="s">
        <v>7865</v>
      </c>
      <c r="H1673" s="4" t="s">
        <v>2401</v>
      </c>
      <c r="V1673" s="1">
        <f t="shared" si="26"/>
        <v>1</v>
      </c>
      <c r="W1673" s="1" t="s">
        <v>7965</v>
      </c>
    </row>
    <row r="1674" spans="1:24">
      <c r="A1674" s="2">
        <v>46049</v>
      </c>
      <c r="B1674" s="1" t="s">
        <v>7966</v>
      </c>
      <c r="C1674" s="1" t="s">
        <v>2632</v>
      </c>
      <c r="D1674" s="1" t="s">
        <v>2475</v>
      </c>
      <c r="E1674" s="1">
        <v>85373</v>
      </c>
      <c r="F1674" s="1" t="s">
        <v>7967</v>
      </c>
      <c r="G1674" s="39" t="s">
        <v>7865</v>
      </c>
      <c r="H1674" s="4" t="s">
        <v>556</v>
      </c>
      <c r="I1674" s="5" t="s">
        <v>2514</v>
      </c>
      <c r="J1674" s="5" t="s">
        <v>75</v>
      </c>
      <c r="K1674" s="5" t="s">
        <v>24</v>
      </c>
      <c r="L1674" s="5" t="s">
        <v>7797</v>
      </c>
      <c r="M1674" s="5" t="s">
        <v>24</v>
      </c>
      <c r="N1674" s="5" t="s">
        <v>24</v>
      </c>
      <c r="O1674" s="5" t="s">
        <v>75</v>
      </c>
      <c r="Q1674" s="2">
        <v>46057</v>
      </c>
      <c r="V1674" s="1">
        <f t="shared" si="26"/>
        <v>1</v>
      </c>
      <c r="W1674" s="1" t="s">
        <v>7968</v>
      </c>
    </row>
    <row r="1675" spans="1:24">
      <c r="A1675" s="2">
        <v>46049</v>
      </c>
      <c r="B1675" s="1" t="s">
        <v>5906</v>
      </c>
      <c r="C1675" s="1" t="s">
        <v>7969</v>
      </c>
      <c r="D1675" s="1" t="s">
        <v>6297</v>
      </c>
      <c r="E1675" s="1">
        <v>86322</v>
      </c>
      <c r="F1675" s="1" t="s">
        <v>7970</v>
      </c>
      <c r="G1675" s="39" t="s">
        <v>7865</v>
      </c>
      <c r="H1675" s="4" t="s">
        <v>1974</v>
      </c>
      <c r="I1675" s="5" t="s">
        <v>2420</v>
      </c>
      <c r="J1675" s="5" t="s">
        <v>75</v>
      </c>
      <c r="K1675" s="5" t="s">
        <v>24</v>
      </c>
      <c r="L1675" s="5" t="s">
        <v>75</v>
      </c>
      <c r="M1675" s="5" t="s">
        <v>24</v>
      </c>
      <c r="N1675" s="5" t="s">
        <v>24</v>
      </c>
      <c r="O1675" s="5" t="s">
        <v>75</v>
      </c>
      <c r="P1675" s="5" t="s">
        <v>2413</v>
      </c>
      <c r="Q1675" s="2">
        <v>46057</v>
      </c>
      <c r="V1675" s="1">
        <f t="shared" si="26"/>
        <v>1</v>
      </c>
      <c r="W1675" s="1" t="s">
        <v>7971</v>
      </c>
    </row>
    <row r="1676" spans="1:24">
      <c r="A1676" s="2">
        <v>46049</v>
      </c>
      <c r="B1676" s="1" t="s">
        <v>7972</v>
      </c>
      <c r="C1676" s="1" t="s">
        <v>7973</v>
      </c>
      <c r="D1676" s="1" t="s">
        <v>2843</v>
      </c>
      <c r="E1676" s="1">
        <v>85124</v>
      </c>
      <c r="F1676" s="1" t="s">
        <v>7974</v>
      </c>
      <c r="G1676" s="39" t="s">
        <v>7865</v>
      </c>
      <c r="H1676" s="4" t="s">
        <v>2401</v>
      </c>
      <c r="V1676" s="1">
        <f t="shared" si="26"/>
        <v>1</v>
      </c>
      <c r="W1676" s="1" t="s">
        <v>7975</v>
      </c>
    </row>
    <row r="1677" spans="1:24">
      <c r="A1677" s="2">
        <v>46049</v>
      </c>
      <c r="B1677" s="1" t="s">
        <v>7976</v>
      </c>
      <c r="C1677" s="1" t="s">
        <v>3434</v>
      </c>
      <c r="D1677" s="1" t="s">
        <v>2439</v>
      </c>
      <c r="E1677" s="1">
        <v>85020</v>
      </c>
      <c r="F1677" s="1" t="s">
        <v>7977</v>
      </c>
      <c r="G1677" s="39" t="s">
        <v>7865</v>
      </c>
      <c r="H1677" s="4" t="s">
        <v>706</v>
      </c>
      <c r="I1677" s="5" t="s">
        <v>2412</v>
      </c>
      <c r="J1677" s="5" t="s">
        <v>24</v>
      </c>
      <c r="K1677" s="5" t="s">
        <v>24</v>
      </c>
      <c r="L1677" s="5" t="s">
        <v>75</v>
      </c>
      <c r="M1677" s="5" t="s">
        <v>75</v>
      </c>
      <c r="N1677" s="13">
        <v>178.5</v>
      </c>
      <c r="O1677" s="5" t="s">
        <v>75</v>
      </c>
      <c r="Q1677" s="41">
        <v>46057</v>
      </c>
      <c r="R1677" s="1" t="s">
        <v>7780</v>
      </c>
      <c r="V1677" s="1">
        <f t="shared" si="26"/>
        <v>1</v>
      </c>
      <c r="W1677" s="1" t="s">
        <v>7978</v>
      </c>
      <c r="X1677" s="32"/>
    </row>
    <row r="1678" spans="1:24">
      <c r="A1678" s="2">
        <v>46049</v>
      </c>
      <c r="B1678" s="1" t="s">
        <v>7979</v>
      </c>
      <c r="C1678" s="1" t="s">
        <v>2921</v>
      </c>
      <c r="D1678" s="1" t="s">
        <v>2439</v>
      </c>
      <c r="E1678" s="1">
        <v>85032</v>
      </c>
      <c r="F1678" s="1" t="s">
        <v>7980</v>
      </c>
      <c r="G1678" s="39" t="s">
        <v>7865</v>
      </c>
      <c r="H1678" s="4" t="s">
        <v>1976</v>
      </c>
      <c r="I1678" s="5" t="s">
        <v>7340</v>
      </c>
      <c r="J1678" s="5" t="s">
        <v>24</v>
      </c>
      <c r="K1678" s="5" t="s">
        <v>24</v>
      </c>
      <c r="L1678" s="5" t="s">
        <v>7158</v>
      </c>
      <c r="M1678" s="5" t="s">
        <v>24</v>
      </c>
      <c r="N1678" s="5" t="s">
        <v>24</v>
      </c>
      <c r="O1678" s="5" t="s">
        <v>75</v>
      </c>
      <c r="P1678" s="5" t="s">
        <v>2413</v>
      </c>
      <c r="Q1678" s="2">
        <v>46057</v>
      </c>
      <c r="V1678" s="1">
        <f t="shared" si="26"/>
        <v>1</v>
      </c>
      <c r="W1678" s="1" t="s">
        <v>7981</v>
      </c>
    </row>
    <row r="1679" spans="1:24">
      <c r="A1679" s="2">
        <v>46049</v>
      </c>
      <c r="B1679" s="1" t="s">
        <v>3722</v>
      </c>
      <c r="C1679" s="1" t="s">
        <v>7982</v>
      </c>
      <c r="D1679" s="1" t="s">
        <v>2475</v>
      </c>
      <c r="E1679" s="1">
        <v>85351</v>
      </c>
      <c r="F1679" s="1" t="s">
        <v>7983</v>
      </c>
      <c r="G1679" s="39" t="s">
        <v>7865</v>
      </c>
      <c r="H1679" s="4" t="s">
        <v>558</v>
      </c>
      <c r="I1679" s="5" t="s">
        <v>2420</v>
      </c>
      <c r="J1679" s="5" t="s">
        <v>75</v>
      </c>
      <c r="K1679" s="5" t="s">
        <v>24</v>
      </c>
      <c r="L1679" s="5" t="s">
        <v>7984</v>
      </c>
      <c r="M1679" s="5" t="s">
        <v>24</v>
      </c>
      <c r="N1679" s="5" t="s">
        <v>24</v>
      </c>
      <c r="O1679" s="5" t="s">
        <v>75</v>
      </c>
      <c r="P1679" s="5" t="s">
        <v>2413</v>
      </c>
      <c r="Q1679" s="2">
        <v>46057</v>
      </c>
      <c r="V1679" s="1">
        <f t="shared" si="26"/>
        <v>1</v>
      </c>
      <c r="W1679" s="1" t="s">
        <v>7985</v>
      </c>
    </row>
    <row r="1680" spans="1:24">
      <c r="A1680" s="2">
        <v>46049</v>
      </c>
      <c r="B1680" s="1" t="s">
        <v>7986</v>
      </c>
      <c r="C1680" s="1" t="s">
        <v>2924</v>
      </c>
      <c r="D1680" s="1" t="s">
        <v>2439</v>
      </c>
      <c r="E1680" s="1">
        <v>85027</v>
      </c>
      <c r="F1680" s="1" t="s">
        <v>7987</v>
      </c>
      <c r="G1680" s="39" t="s">
        <v>7865</v>
      </c>
      <c r="H1680" s="4" t="s">
        <v>2471</v>
      </c>
      <c r="V1680" s="1">
        <f t="shared" si="26"/>
        <v>1</v>
      </c>
      <c r="W1680" s="1" t="s">
        <v>7988</v>
      </c>
    </row>
    <row r="1681" spans="1:24">
      <c r="A1681" s="2">
        <v>46049</v>
      </c>
      <c r="B1681" s="1" t="s">
        <v>7989</v>
      </c>
      <c r="C1681" s="1" t="s">
        <v>6170</v>
      </c>
      <c r="D1681" s="1" t="s">
        <v>3166</v>
      </c>
      <c r="E1681" s="1">
        <v>85375</v>
      </c>
      <c r="F1681" s="1" t="s">
        <v>7990</v>
      </c>
      <c r="G1681" s="39" t="s">
        <v>7865</v>
      </c>
      <c r="H1681" s="4" t="s">
        <v>2401</v>
      </c>
      <c r="V1681" s="1">
        <f t="shared" si="26"/>
        <v>1</v>
      </c>
      <c r="W1681" s="1" t="s">
        <v>7991</v>
      </c>
    </row>
    <row r="1682" spans="1:24">
      <c r="A1682" s="2">
        <v>46049</v>
      </c>
      <c r="B1682" s="1" t="s">
        <v>7992</v>
      </c>
      <c r="C1682" s="1" t="s">
        <v>7207</v>
      </c>
      <c r="D1682" s="1" t="s">
        <v>2439</v>
      </c>
      <c r="E1682" s="1">
        <v>85015</v>
      </c>
      <c r="F1682" s="1" t="s">
        <v>7993</v>
      </c>
      <c r="G1682" s="39" t="s">
        <v>7865</v>
      </c>
      <c r="H1682" s="4" t="s">
        <v>2401</v>
      </c>
      <c r="V1682" s="1">
        <f t="shared" si="26"/>
        <v>1</v>
      </c>
      <c r="W1682" s="1" t="s">
        <v>7994</v>
      </c>
    </row>
    <row r="1683" spans="1:24">
      <c r="A1683" s="2">
        <v>46049</v>
      </c>
      <c r="B1683" s="1" t="s">
        <v>7995</v>
      </c>
      <c r="C1683" s="1" t="s">
        <v>3423</v>
      </c>
      <c r="D1683" s="1" t="s">
        <v>2439</v>
      </c>
      <c r="E1683" s="1">
        <v>85009</v>
      </c>
      <c r="F1683" s="1" t="s">
        <v>7996</v>
      </c>
      <c r="G1683" s="39" t="s">
        <v>7865</v>
      </c>
      <c r="H1683" s="4" t="s">
        <v>1978</v>
      </c>
      <c r="I1683" s="5" t="s">
        <v>2412</v>
      </c>
      <c r="J1683" s="5" t="s">
        <v>24</v>
      </c>
      <c r="K1683" s="5" t="s">
        <v>24</v>
      </c>
      <c r="L1683" s="5" t="s">
        <v>75</v>
      </c>
      <c r="M1683" s="5" t="s">
        <v>24</v>
      </c>
      <c r="N1683" s="5" t="s">
        <v>24</v>
      </c>
      <c r="O1683" s="5" t="s">
        <v>75</v>
      </c>
      <c r="P1683" s="5" t="s">
        <v>2413</v>
      </c>
      <c r="Q1683" s="2">
        <v>46057</v>
      </c>
      <c r="V1683" s="1">
        <f t="shared" si="26"/>
        <v>1</v>
      </c>
      <c r="W1683" s="1" t="s">
        <v>7997</v>
      </c>
    </row>
    <row r="1684" spans="1:24">
      <c r="A1684" s="2">
        <v>46049</v>
      </c>
      <c r="B1684" s="1" t="s">
        <v>7998</v>
      </c>
      <c r="C1684" s="1" t="s">
        <v>7999</v>
      </c>
      <c r="D1684" s="1" t="s">
        <v>2439</v>
      </c>
      <c r="E1684" s="1">
        <v>85022</v>
      </c>
      <c r="F1684" s="1" t="s">
        <v>8000</v>
      </c>
      <c r="G1684" s="39" t="s">
        <v>7865</v>
      </c>
      <c r="H1684" s="4" t="s">
        <v>2401</v>
      </c>
      <c r="V1684" s="1">
        <f t="shared" si="26"/>
        <v>1</v>
      </c>
      <c r="W1684" s="1" t="s">
        <v>8001</v>
      </c>
    </row>
    <row r="1685" spans="1:24">
      <c r="A1685" s="2">
        <v>46049</v>
      </c>
      <c r="B1685" s="1" t="s">
        <v>5308</v>
      </c>
      <c r="C1685" s="1" t="s">
        <v>2538</v>
      </c>
      <c r="D1685" s="1" t="s">
        <v>2498</v>
      </c>
      <c r="E1685" s="1">
        <v>85374</v>
      </c>
      <c r="F1685" s="1" t="s">
        <v>8002</v>
      </c>
      <c r="G1685" s="39" t="s">
        <v>7865</v>
      </c>
      <c r="H1685" s="4" t="s">
        <v>1980</v>
      </c>
      <c r="I1685" s="5" t="s">
        <v>2451</v>
      </c>
      <c r="J1685" s="5" t="s">
        <v>75</v>
      </c>
      <c r="K1685" s="5" t="s">
        <v>24</v>
      </c>
      <c r="L1685" s="5" t="s">
        <v>75</v>
      </c>
      <c r="M1685" s="5" t="s">
        <v>24</v>
      </c>
      <c r="N1685" s="5" t="s">
        <v>24</v>
      </c>
      <c r="O1685" s="5" t="s">
        <v>75</v>
      </c>
      <c r="P1685" s="5" t="s">
        <v>2413</v>
      </c>
      <c r="Q1685" s="2">
        <v>46057</v>
      </c>
      <c r="V1685" s="1">
        <f t="shared" si="26"/>
        <v>1</v>
      </c>
      <c r="W1685" s="1" t="s">
        <v>8003</v>
      </c>
    </row>
    <row r="1686" spans="1:24">
      <c r="A1686" s="2">
        <v>46049</v>
      </c>
      <c r="B1686" s="1" t="s">
        <v>3302</v>
      </c>
      <c r="C1686" s="1" t="s">
        <v>3665</v>
      </c>
      <c r="D1686" s="1" t="s">
        <v>2498</v>
      </c>
      <c r="E1686" s="1">
        <v>85379</v>
      </c>
      <c r="F1686" s="1" t="s">
        <v>8004</v>
      </c>
      <c r="G1686" s="39" t="s">
        <v>7865</v>
      </c>
      <c r="H1686" s="4" t="s">
        <v>2401</v>
      </c>
      <c r="V1686" s="1">
        <f t="shared" si="26"/>
        <v>1</v>
      </c>
      <c r="W1686" s="1" t="s">
        <v>8005</v>
      </c>
    </row>
    <row r="1687" spans="1:24">
      <c r="A1687" s="2">
        <v>46049</v>
      </c>
      <c r="B1687" s="1" t="s">
        <v>4017</v>
      </c>
      <c r="C1687" s="1" t="s">
        <v>2792</v>
      </c>
      <c r="D1687" s="1" t="s">
        <v>2439</v>
      </c>
      <c r="E1687" s="1">
        <v>85044</v>
      </c>
      <c r="F1687" s="1" t="s">
        <v>8006</v>
      </c>
      <c r="G1687" s="39" t="s">
        <v>7865</v>
      </c>
      <c r="H1687" s="4" t="s">
        <v>2401</v>
      </c>
      <c r="V1687" s="1">
        <f t="shared" si="26"/>
        <v>1</v>
      </c>
      <c r="W1687" s="1" t="s">
        <v>8007</v>
      </c>
    </row>
    <row r="1688" spans="1:24">
      <c r="A1688" s="2">
        <v>46049</v>
      </c>
      <c r="B1688" s="1" t="s">
        <v>8008</v>
      </c>
      <c r="C1688" s="1" t="s">
        <v>8009</v>
      </c>
      <c r="D1688" s="1" t="s">
        <v>6576</v>
      </c>
      <c r="E1688" s="1">
        <v>86337</v>
      </c>
      <c r="F1688" s="1" t="s">
        <v>8010</v>
      </c>
      <c r="G1688" s="39" t="s">
        <v>7865</v>
      </c>
      <c r="H1688" s="4" t="s">
        <v>1982</v>
      </c>
      <c r="I1688" s="5" t="s">
        <v>2412</v>
      </c>
      <c r="J1688" s="5" t="s">
        <v>24</v>
      </c>
      <c r="K1688" s="5" t="s">
        <v>24</v>
      </c>
      <c r="L1688" s="5" t="s">
        <v>75</v>
      </c>
      <c r="M1688" s="5" t="s">
        <v>24</v>
      </c>
      <c r="N1688" s="5" t="s">
        <v>24</v>
      </c>
      <c r="O1688" s="5" t="s">
        <v>75</v>
      </c>
      <c r="P1688" s="5" t="s">
        <v>2413</v>
      </c>
      <c r="Q1688" s="2">
        <v>46057</v>
      </c>
      <c r="V1688" s="1">
        <f t="shared" si="26"/>
        <v>1</v>
      </c>
      <c r="W1688" s="1" t="s">
        <v>8011</v>
      </c>
    </row>
    <row r="1689" spans="1:24">
      <c r="A1689" s="2">
        <v>46049</v>
      </c>
      <c r="B1689" s="1" t="s">
        <v>8012</v>
      </c>
      <c r="C1689" s="1" t="s">
        <v>2726</v>
      </c>
      <c r="D1689" s="1" t="s">
        <v>5174</v>
      </c>
      <c r="E1689" s="1">
        <v>86335</v>
      </c>
      <c r="F1689" s="1" t="s">
        <v>8013</v>
      </c>
      <c r="G1689" s="39" t="s">
        <v>7865</v>
      </c>
      <c r="H1689" s="4" t="s">
        <v>1984</v>
      </c>
      <c r="I1689" s="5" t="s">
        <v>2451</v>
      </c>
      <c r="J1689" s="5" t="s">
        <v>24</v>
      </c>
      <c r="K1689" s="5" t="s">
        <v>24</v>
      </c>
      <c r="L1689" s="5" t="s">
        <v>75</v>
      </c>
      <c r="M1689" s="5" t="s">
        <v>24</v>
      </c>
      <c r="N1689" s="5" t="s">
        <v>24</v>
      </c>
      <c r="O1689" s="5" t="s">
        <v>75</v>
      </c>
      <c r="P1689" s="5" t="s">
        <v>2413</v>
      </c>
      <c r="Q1689" s="41">
        <v>46057</v>
      </c>
      <c r="V1689" s="1">
        <f t="shared" si="26"/>
        <v>1</v>
      </c>
      <c r="W1689" s="1" t="s">
        <v>8014</v>
      </c>
      <c r="X1689" s="32"/>
    </row>
    <row r="1690" spans="1:24">
      <c r="A1690" s="2">
        <v>46049</v>
      </c>
      <c r="B1690" s="1" t="s">
        <v>8015</v>
      </c>
      <c r="C1690" s="1" t="s">
        <v>8016</v>
      </c>
      <c r="D1690" s="1" t="s">
        <v>4892</v>
      </c>
      <c r="E1690" s="1">
        <v>86327</v>
      </c>
      <c r="F1690" s="1" t="s">
        <v>8017</v>
      </c>
      <c r="G1690" s="39" t="s">
        <v>7865</v>
      </c>
      <c r="H1690" s="4" t="s">
        <v>560</v>
      </c>
      <c r="I1690" s="5" t="s">
        <v>2412</v>
      </c>
      <c r="J1690" s="5" t="s">
        <v>24</v>
      </c>
      <c r="K1690" s="5" t="s">
        <v>24</v>
      </c>
      <c r="L1690" s="5" t="s">
        <v>8018</v>
      </c>
      <c r="M1690" s="5" t="s">
        <v>24</v>
      </c>
      <c r="N1690" s="5" t="s">
        <v>24</v>
      </c>
      <c r="O1690" s="5" t="s">
        <v>75</v>
      </c>
      <c r="Q1690" s="41">
        <v>46057</v>
      </c>
      <c r="R1690" s="1" t="s">
        <v>7066</v>
      </c>
      <c r="V1690" s="1">
        <f t="shared" si="26"/>
        <v>1</v>
      </c>
      <c r="W1690" s="1" t="s">
        <v>8019</v>
      </c>
      <c r="X1690" s="32"/>
    </row>
    <row r="1691" spans="1:24">
      <c r="A1691" s="2">
        <v>46049</v>
      </c>
      <c r="B1691" s="1" t="s">
        <v>8020</v>
      </c>
      <c r="C1691" s="1" t="s">
        <v>3027</v>
      </c>
      <c r="D1691" s="1" t="s">
        <v>5174</v>
      </c>
      <c r="E1691" s="1">
        <v>86335</v>
      </c>
      <c r="F1691" s="1" t="s">
        <v>8021</v>
      </c>
      <c r="G1691" s="39" t="s">
        <v>7865</v>
      </c>
      <c r="H1691" s="4" t="s">
        <v>2471</v>
      </c>
      <c r="V1691" s="1">
        <f t="shared" si="26"/>
        <v>1</v>
      </c>
      <c r="W1691" s="1" t="s">
        <v>8022</v>
      </c>
    </row>
    <row r="1692" spans="1:24">
      <c r="A1692" s="2">
        <v>46049</v>
      </c>
      <c r="B1692" s="1" t="s">
        <v>8023</v>
      </c>
      <c r="C1692" s="1" t="s">
        <v>8024</v>
      </c>
      <c r="D1692" s="1" t="s">
        <v>2439</v>
      </c>
      <c r="E1692" s="1">
        <v>85006</v>
      </c>
      <c r="F1692" s="1" t="s">
        <v>8025</v>
      </c>
      <c r="G1692" s="39" t="s">
        <v>7865</v>
      </c>
      <c r="H1692" s="4" t="s">
        <v>2401</v>
      </c>
      <c r="V1692" s="1">
        <f t="shared" si="26"/>
        <v>1</v>
      </c>
      <c r="W1692" s="1" t="s">
        <v>8026</v>
      </c>
    </row>
    <row r="1693" spans="1:24">
      <c r="A1693" s="2">
        <v>46049</v>
      </c>
      <c r="B1693" s="1" t="s">
        <v>8027</v>
      </c>
      <c r="C1693" s="1" t="s">
        <v>3934</v>
      </c>
      <c r="D1693" s="1" t="s">
        <v>2564</v>
      </c>
      <c r="E1693" s="1">
        <v>85338</v>
      </c>
      <c r="F1693" s="1" t="s">
        <v>8028</v>
      </c>
      <c r="G1693" s="39" t="s">
        <v>7865</v>
      </c>
      <c r="H1693" s="4" t="s">
        <v>1986</v>
      </c>
      <c r="I1693" s="5" t="s">
        <v>8029</v>
      </c>
      <c r="J1693" s="5" t="s">
        <v>24</v>
      </c>
      <c r="K1693" s="5" t="s">
        <v>24</v>
      </c>
      <c r="L1693" s="5" t="s">
        <v>7158</v>
      </c>
      <c r="M1693" s="5" t="s">
        <v>24</v>
      </c>
      <c r="N1693" s="5" t="s">
        <v>24</v>
      </c>
      <c r="O1693" s="5" t="s">
        <v>75</v>
      </c>
      <c r="P1693" s="5" t="s">
        <v>2413</v>
      </c>
      <c r="Q1693" s="2">
        <v>46057</v>
      </c>
      <c r="V1693" s="1">
        <f t="shared" si="26"/>
        <v>1</v>
      </c>
      <c r="W1693" s="1" t="s">
        <v>8030</v>
      </c>
    </row>
    <row r="1694" spans="1:24">
      <c r="A1694" s="2">
        <v>46049</v>
      </c>
      <c r="B1694" s="1" t="s">
        <v>6525</v>
      </c>
      <c r="C1694" s="1" t="s">
        <v>8031</v>
      </c>
      <c r="D1694" s="1" t="s">
        <v>2439</v>
      </c>
      <c r="E1694" s="1">
        <v>85027</v>
      </c>
      <c r="F1694" s="1" t="s">
        <v>8032</v>
      </c>
      <c r="G1694" s="39" t="s">
        <v>7865</v>
      </c>
      <c r="H1694" s="4" t="s">
        <v>2471</v>
      </c>
      <c r="R1694" s="1" t="s">
        <v>8033</v>
      </c>
      <c r="V1694" s="1">
        <f t="shared" si="26"/>
        <v>1</v>
      </c>
      <c r="W1694" s="1" t="s">
        <v>8034</v>
      </c>
    </row>
    <row r="1695" spans="1:24">
      <c r="A1695" s="2">
        <v>46049</v>
      </c>
      <c r="B1695" s="1" t="s">
        <v>3110</v>
      </c>
      <c r="C1695" s="1" t="s">
        <v>8035</v>
      </c>
      <c r="D1695" s="1" t="s">
        <v>2498</v>
      </c>
      <c r="E1695" s="1">
        <v>85379</v>
      </c>
      <c r="F1695" s="1" t="s">
        <v>8036</v>
      </c>
      <c r="G1695" s="39" t="s">
        <v>7865</v>
      </c>
      <c r="H1695" s="4" t="s">
        <v>1988</v>
      </c>
      <c r="I1695" s="5" t="s">
        <v>8029</v>
      </c>
      <c r="J1695" s="5" t="s">
        <v>24</v>
      </c>
      <c r="K1695" s="5" t="s">
        <v>24</v>
      </c>
      <c r="L1695" s="5" t="s">
        <v>7158</v>
      </c>
      <c r="M1695" s="5" t="s">
        <v>24</v>
      </c>
      <c r="N1695" s="5" t="s">
        <v>24</v>
      </c>
      <c r="O1695" s="5" t="s">
        <v>75</v>
      </c>
      <c r="P1695" s="5" t="s">
        <v>2413</v>
      </c>
      <c r="Q1695" s="2">
        <v>46057</v>
      </c>
      <c r="V1695" s="1">
        <f t="shared" si="26"/>
        <v>1</v>
      </c>
      <c r="W1695" s="1" t="s">
        <v>8037</v>
      </c>
    </row>
    <row r="1696" spans="1:24">
      <c r="A1696" s="2">
        <v>46049</v>
      </c>
      <c r="B1696" s="1" t="s">
        <v>8038</v>
      </c>
      <c r="C1696" s="1" t="s">
        <v>3254</v>
      </c>
      <c r="D1696" s="1" t="s">
        <v>2439</v>
      </c>
      <c r="E1696" s="1">
        <v>85032</v>
      </c>
      <c r="F1696" s="1" t="s">
        <v>8039</v>
      </c>
      <c r="G1696" s="39" t="s">
        <v>7865</v>
      </c>
      <c r="H1696" s="4" t="s">
        <v>81</v>
      </c>
      <c r="I1696" s="5" t="s">
        <v>2412</v>
      </c>
      <c r="J1696" s="5" t="s">
        <v>75</v>
      </c>
      <c r="K1696" s="5" t="s">
        <v>24</v>
      </c>
      <c r="L1696" s="5" t="s">
        <v>8040</v>
      </c>
      <c r="M1696" s="5" t="s">
        <v>75</v>
      </c>
      <c r="N1696" s="13">
        <v>1183.6600000000001</v>
      </c>
      <c r="O1696" s="5" t="s">
        <v>75</v>
      </c>
      <c r="Q1696" s="41">
        <v>46057</v>
      </c>
      <c r="R1696" s="1" t="s">
        <v>7780</v>
      </c>
      <c r="V1696" s="1">
        <f t="shared" si="26"/>
        <v>1</v>
      </c>
      <c r="W1696" s="1" t="s">
        <v>8041</v>
      </c>
      <c r="X1696" s="32"/>
    </row>
    <row r="1697" spans="1:24">
      <c r="A1697" s="2">
        <v>46049</v>
      </c>
      <c r="B1697" s="1" t="s">
        <v>8042</v>
      </c>
      <c r="C1697" s="1" t="s">
        <v>8043</v>
      </c>
      <c r="D1697" s="1" t="s">
        <v>3073</v>
      </c>
      <c r="E1697" s="1">
        <v>85365</v>
      </c>
      <c r="F1697" s="1" t="s">
        <v>8044</v>
      </c>
      <c r="G1697" s="39" t="s">
        <v>7865</v>
      </c>
      <c r="H1697" s="4" t="s">
        <v>1990</v>
      </c>
      <c r="I1697" s="5" t="s">
        <v>2659</v>
      </c>
      <c r="J1697" s="5" t="s">
        <v>24</v>
      </c>
      <c r="K1697" s="5" t="s">
        <v>24</v>
      </c>
      <c r="L1697" s="5" t="s">
        <v>75</v>
      </c>
      <c r="M1697" s="5" t="s">
        <v>24</v>
      </c>
      <c r="N1697" s="5" t="s">
        <v>24</v>
      </c>
      <c r="O1697" s="5" t="s">
        <v>75</v>
      </c>
      <c r="P1697" s="5" t="s">
        <v>2413</v>
      </c>
      <c r="Q1697" s="2">
        <v>46057</v>
      </c>
      <c r="V1697" s="1">
        <f t="shared" si="26"/>
        <v>1</v>
      </c>
      <c r="W1697" s="1" t="s">
        <v>8045</v>
      </c>
    </row>
    <row r="1698" spans="1:24">
      <c r="A1698" s="2">
        <v>46049</v>
      </c>
      <c r="B1698" s="1" t="s">
        <v>8046</v>
      </c>
      <c r="C1698" s="1" t="s">
        <v>8047</v>
      </c>
      <c r="D1698" s="1" t="s">
        <v>2498</v>
      </c>
      <c r="E1698" s="1">
        <v>85387</v>
      </c>
      <c r="F1698" s="1" t="s">
        <v>8048</v>
      </c>
      <c r="G1698" s="39" t="s">
        <v>7865</v>
      </c>
      <c r="H1698" s="4" t="s">
        <v>83</v>
      </c>
      <c r="I1698" s="5" t="s">
        <v>2412</v>
      </c>
      <c r="J1698" s="5" t="s">
        <v>24</v>
      </c>
      <c r="K1698" s="5" t="s">
        <v>24</v>
      </c>
      <c r="L1698" s="5" t="s">
        <v>7619</v>
      </c>
      <c r="M1698" s="5" t="s">
        <v>75</v>
      </c>
      <c r="N1698" s="13">
        <v>361.81</v>
      </c>
      <c r="O1698" s="5" t="s">
        <v>75</v>
      </c>
      <c r="Q1698" s="41">
        <v>46057</v>
      </c>
      <c r="R1698" s="1" t="s">
        <v>7780</v>
      </c>
      <c r="V1698" s="1">
        <f t="shared" si="26"/>
        <v>1</v>
      </c>
      <c r="W1698" s="1" t="s">
        <v>8049</v>
      </c>
      <c r="X1698" s="32"/>
    </row>
    <row r="1699" spans="1:24">
      <c r="A1699" s="2">
        <v>46049</v>
      </c>
      <c r="B1699" s="1" t="s">
        <v>5579</v>
      </c>
      <c r="C1699" s="1" t="s">
        <v>4339</v>
      </c>
      <c r="D1699" s="1" t="s">
        <v>2439</v>
      </c>
      <c r="E1699" s="1">
        <v>85022</v>
      </c>
      <c r="F1699" s="1" t="s">
        <v>8050</v>
      </c>
      <c r="G1699" s="39" t="s">
        <v>7865</v>
      </c>
      <c r="H1699" s="4" t="s">
        <v>562</v>
      </c>
      <c r="I1699" s="5" t="s">
        <v>2412</v>
      </c>
      <c r="J1699" s="5" t="s">
        <v>75</v>
      </c>
      <c r="K1699" s="5" t="s">
        <v>24</v>
      </c>
      <c r="L1699" s="5" t="s">
        <v>8051</v>
      </c>
      <c r="M1699" s="5" t="s">
        <v>24</v>
      </c>
      <c r="N1699" s="5" t="s">
        <v>24</v>
      </c>
      <c r="O1699" s="5" t="s">
        <v>75</v>
      </c>
      <c r="P1699" s="5" t="s">
        <v>2413</v>
      </c>
      <c r="Q1699" s="2">
        <v>46057</v>
      </c>
      <c r="V1699" s="1">
        <f t="shared" si="26"/>
        <v>1</v>
      </c>
      <c r="W1699" s="1" t="s">
        <v>8052</v>
      </c>
    </row>
    <row r="1700" spans="1:24">
      <c r="A1700" s="2">
        <v>46049</v>
      </c>
      <c r="B1700" s="1" t="s">
        <v>8053</v>
      </c>
      <c r="C1700" s="1" t="s">
        <v>8009</v>
      </c>
      <c r="D1700" s="1" t="s">
        <v>2498</v>
      </c>
      <c r="E1700" s="1">
        <v>85387</v>
      </c>
      <c r="F1700" s="1" t="s">
        <v>8054</v>
      </c>
      <c r="G1700" s="39" t="s">
        <v>7865</v>
      </c>
      <c r="H1700" s="4" t="s">
        <v>708</v>
      </c>
      <c r="I1700" s="5" t="s">
        <v>2412</v>
      </c>
      <c r="J1700" s="5" t="s">
        <v>75</v>
      </c>
      <c r="K1700" s="5" t="s">
        <v>24</v>
      </c>
      <c r="L1700" s="5" t="s">
        <v>75</v>
      </c>
      <c r="M1700" s="5" t="s">
        <v>75</v>
      </c>
      <c r="N1700" s="13">
        <v>563.04</v>
      </c>
      <c r="O1700" s="5" t="s">
        <v>75</v>
      </c>
      <c r="Q1700" s="41">
        <v>46057</v>
      </c>
      <c r="R1700" s="1" t="s">
        <v>7780</v>
      </c>
      <c r="V1700" s="1">
        <f t="shared" si="26"/>
        <v>1</v>
      </c>
      <c r="W1700" s="1" t="s">
        <v>8055</v>
      </c>
      <c r="X1700" s="32"/>
    </row>
    <row r="1701" spans="1:24">
      <c r="A1701" s="2">
        <v>46049</v>
      </c>
      <c r="B1701" s="1" t="s">
        <v>8056</v>
      </c>
      <c r="C1701" s="1" t="s">
        <v>8057</v>
      </c>
      <c r="D1701" s="1" t="s">
        <v>2498</v>
      </c>
      <c r="E1701" s="1">
        <v>85387</v>
      </c>
      <c r="F1701" s="1" t="s">
        <v>8058</v>
      </c>
      <c r="G1701" s="39" t="s">
        <v>7865</v>
      </c>
      <c r="H1701" s="4" t="s">
        <v>1992</v>
      </c>
      <c r="I1701" s="5" t="s">
        <v>2412</v>
      </c>
      <c r="J1701" s="5" t="s">
        <v>24</v>
      </c>
      <c r="K1701" s="5" t="s">
        <v>24</v>
      </c>
      <c r="L1701" s="5" t="s">
        <v>75</v>
      </c>
      <c r="M1701" s="5" t="s">
        <v>24</v>
      </c>
      <c r="N1701" s="5" t="s">
        <v>24</v>
      </c>
      <c r="O1701" s="5" t="s">
        <v>75</v>
      </c>
      <c r="P1701" s="5" t="s">
        <v>2413</v>
      </c>
      <c r="Q1701" s="2">
        <v>46057</v>
      </c>
      <c r="V1701" s="1">
        <f t="shared" si="26"/>
        <v>1</v>
      </c>
      <c r="W1701" s="1" t="s">
        <v>8059</v>
      </c>
    </row>
    <row r="1702" spans="1:24">
      <c r="A1702" s="2">
        <v>46049</v>
      </c>
      <c r="B1702" s="1" t="s">
        <v>6324</v>
      </c>
      <c r="C1702" s="1" t="s">
        <v>2726</v>
      </c>
      <c r="D1702" s="1" t="s">
        <v>2398</v>
      </c>
      <c r="E1702" s="1">
        <v>85304</v>
      </c>
      <c r="F1702" s="1" t="s">
        <v>8060</v>
      </c>
      <c r="G1702" s="39" t="s">
        <v>7865</v>
      </c>
      <c r="H1702" s="4" t="s">
        <v>1994</v>
      </c>
      <c r="I1702" s="5" t="s">
        <v>8061</v>
      </c>
      <c r="J1702" s="5" t="s">
        <v>24</v>
      </c>
      <c r="K1702" s="5" t="s">
        <v>24</v>
      </c>
      <c r="L1702" s="5" t="s">
        <v>75</v>
      </c>
      <c r="M1702" s="5" t="s">
        <v>24</v>
      </c>
      <c r="N1702" s="5" t="s">
        <v>24</v>
      </c>
      <c r="O1702" s="5" t="s">
        <v>75</v>
      </c>
      <c r="P1702" s="5" t="s">
        <v>2413</v>
      </c>
      <c r="Q1702" s="2">
        <v>46057</v>
      </c>
      <c r="V1702" s="1">
        <f t="shared" si="26"/>
        <v>1</v>
      </c>
      <c r="W1702" s="1" t="s">
        <v>8062</v>
      </c>
    </row>
    <row r="1703" spans="1:24">
      <c r="A1703" s="2">
        <v>46049</v>
      </c>
      <c r="B1703" s="1" t="s">
        <v>8063</v>
      </c>
      <c r="C1703" s="1" t="s">
        <v>2639</v>
      </c>
      <c r="D1703" s="1" t="s">
        <v>6018</v>
      </c>
      <c r="E1703" s="1">
        <v>85901</v>
      </c>
      <c r="F1703" s="1" t="s">
        <v>8064</v>
      </c>
      <c r="G1703" s="39" t="s">
        <v>7865</v>
      </c>
      <c r="H1703" s="4" t="s">
        <v>1996</v>
      </c>
      <c r="I1703" s="5" t="s">
        <v>2412</v>
      </c>
      <c r="J1703" s="5" t="s">
        <v>24</v>
      </c>
      <c r="K1703" s="5" t="s">
        <v>24</v>
      </c>
      <c r="L1703" s="5" t="s">
        <v>75</v>
      </c>
      <c r="M1703" s="5" t="s">
        <v>24</v>
      </c>
      <c r="N1703" s="5" t="s">
        <v>24</v>
      </c>
      <c r="O1703" s="5" t="s">
        <v>75</v>
      </c>
      <c r="P1703" s="5" t="s">
        <v>2413</v>
      </c>
      <c r="Q1703" s="2">
        <v>46057</v>
      </c>
      <c r="V1703" s="1">
        <f t="shared" si="26"/>
        <v>1</v>
      </c>
      <c r="W1703" s="1" t="s">
        <v>8065</v>
      </c>
    </row>
    <row r="1704" spans="1:24">
      <c r="A1704" s="2">
        <v>46049</v>
      </c>
      <c r="B1704" s="1" t="s">
        <v>3009</v>
      </c>
      <c r="C1704" s="1" t="s">
        <v>8066</v>
      </c>
      <c r="D1704" s="1" t="s">
        <v>2498</v>
      </c>
      <c r="E1704" s="1">
        <v>85388</v>
      </c>
      <c r="F1704" s="1" t="s">
        <v>8067</v>
      </c>
      <c r="G1704" s="39" t="s">
        <v>7865</v>
      </c>
      <c r="H1704" s="4" t="s">
        <v>1998</v>
      </c>
      <c r="I1704" s="5" t="s">
        <v>2412</v>
      </c>
      <c r="J1704" s="5" t="s">
        <v>24</v>
      </c>
      <c r="K1704" s="5" t="s">
        <v>24</v>
      </c>
      <c r="L1704" s="5" t="s">
        <v>75</v>
      </c>
      <c r="M1704" s="5" t="s">
        <v>24</v>
      </c>
      <c r="N1704" s="5" t="s">
        <v>24</v>
      </c>
      <c r="O1704" s="5" t="s">
        <v>75</v>
      </c>
      <c r="P1704" s="5" t="s">
        <v>2413</v>
      </c>
      <c r="Q1704" s="2">
        <v>46057</v>
      </c>
      <c r="V1704" s="1">
        <f t="shared" si="26"/>
        <v>1</v>
      </c>
      <c r="W1704" s="1" t="s">
        <v>8068</v>
      </c>
    </row>
    <row r="1705" spans="1:24">
      <c r="A1705" s="2">
        <v>46049</v>
      </c>
      <c r="B1705" s="1" t="s">
        <v>8069</v>
      </c>
      <c r="C1705" s="1" t="s">
        <v>7670</v>
      </c>
      <c r="D1705" s="1" t="s">
        <v>2969</v>
      </c>
      <c r="E1705" s="1">
        <v>85323</v>
      </c>
      <c r="F1705" s="1" t="s">
        <v>8070</v>
      </c>
      <c r="G1705" s="39" t="s">
        <v>7865</v>
      </c>
      <c r="H1705" s="4" t="s">
        <v>2401</v>
      </c>
      <c r="V1705" s="1">
        <f t="shared" si="26"/>
        <v>1</v>
      </c>
      <c r="W1705" s="1" t="s">
        <v>8071</v>
      </c>
    </row>
    <row r="1706" spans="1:24">
      <c r="A1706" s="2">
        <v>46049</v>
      </c>
      <c r="B1706" s="1" t="s">
        <v>8072</v>
      </c>
      <c r="C1706" s="1" t="s">
        <v>3027</v>
      </c>
      <c r="D1706" s="1" t="s">
        <v>2470</v>
      </c>
      <c r="E1706" s="1">
        <v>86336</v>
      </c>
      <c r="F1706" s="1" t="s">
        <v>8073</v>
      </c>
      <c r="G1706" s="39" t="s">
        <v>7865</v>
      </c>
      <c r="H1706" s="4" t="s">
        <v>2401</v>
      </c>
      <c r="V1706" s="1">
        <f t="shared" si="26"/>
        <v>1</v>
      </c>
      <c r="W1706" s="1" t="s">
        <v>8074</v>
      </c>
    </row>
    <row r="1707" spans="1:24">
      <c r="A1707" s="2">
        <v>46049</v>
      </c>
      <c r="B1707" s="1" t="s">
        <v>8075</v>
      </c>
      <c r="C1707" s="1" t="s">
        <v>2454</v>
      </c>
      <c r="D1707" s="1" t="s">
        <v>2398</v>
      </c>
      <c r="E1707" s="1">
        <v>85308</v>
      </c>
      <c r="F1707" s="1" t="s">
        <v>8076</v>
      </c>
      <c r="G1707" s="39" t="s">
        <v>7865</v>
      </c>
      <c r="H1707" s="4" t="s">
        <v>2000</v>
      </c>
      <c r="I1707" s="5" t="s">
        <v>2412</v>
      </c>
      <c r="J1707" s="5" t="s">
        <v>24</v>
      </c>
      <c r="K1707" s="5" t="s">
        <v>24</v>
      </c>
      <c r="L1707" s="5" t="s">
        <v>75</v>
      </c>
      <c r="M1707" s="5" t="s">
        <v>24</v>
      </c>
      <c r="N1707" s="5" t="s">
        <v>24</v>
      </c>
      <c r="O1707" s="5" t="s">
        <v>75</v>
      </c>
      <c r="P1707" s="5" t="s">
        <v>2413</v>
      </c>
      <c r="Q1707" s="2">
        <v>46057</v>
      </c>
      <c r="V1707" s="1">
        <f t="shared" si="26"/>
        <v>1</v>
      </c>
      <c r="W1707" s="1" t="s">
        <v>8077</v>
      </c>
    </row>
    <row r="1708" spans="1:24">
      <c r="A1708" s="2">
        <v>46049</v>
      </c>
      <c r="B1708" s="1" t="s">
        <v>4524</v>
      </c>
      <c r="C1708" s="1" t="s">
        <v>2726</v>
      </c>
      <c r="D1708" s="1" t="s">
        <v>8078</v>
      </c>
      <c r="E1708" s="1">
        <v>85363</v>
      </c>
      <c r="F1708" s="1" t="s">
        <v>8079</v>
      </c>
      <c r="G1708" s="39" t="s">
        <v>7865</v>
      </c>
      <c r="H1708" s="4" t="s">
        <v>2401</v>
      </c>
      <c r="V1708" s="1">
        <f t="shared" si="26"/>
        <v>1</v>
      </c>
      <c r="W1708" s="1" t="s">
        <v>8080</v>
      </c>
    </row>
    <row r="1709" spans="1:24">
      <c r="A1709" s="2">
        <v>46049</v>
      </c>
      <c r="B1709" s="1" t="s">
        <v>8081</v>
      </c>
      <c r="C1709" s="1" t="s">
        <v>5521</v>
      </c>
      <c r="D1709" s="1" t="s">
        <v>2674</v>
      </c>
      <c r="E1709" s="1">
        <v>86315</v>
      </c>
      <c r="F1709" s="1" t="s">
        <v>8082</v>
      </c>
      <c r="G1709" s="39" t="s">
        <v>7865</v>
      </c>
      <c r="H1709" s="4" t="s">
        <v>2401</v>
      </c>
      <c r="V1709" s="1">
        <f t="shared" si="26"/>
        <v>1</v>
      </c>
      <c r="W1709" s="1" t="s">
        <v>8083</v>
      </c>
    </row>
    <row r="1710" spans="1:24">
      <c r="A1710" s="2">
        <v>46049</v>
      </c>
      <c r="B1710" s="1" t="s">
        <v>8084</v>
      </c>
      <c r="C1710" s="1" t="s">
        <v>2632</v>
      </c>
      <c r="D1710" s="1" t="s">
        <v>2439</v>
      </c>
      <c r="E1710" s="1">
        <v>85053</v>
      </c>
      <c r="F1710" s="1" t="s">
        <v>8085</v>
      </c>
      <c r="G1710" s="39" t="s">
        <v>7865</v>
      </c>
      <c r="H1710" s="4" t="s">
        <v>710</v>
      </c>
      <c r="I1710" s="5" t="s">
        <v>2597</v>
      </c>
      <c r="J1710" s="5" t="s">
        <v>75</v>
      </c>
      <c r="K1710" s="5" t="s">
        <v>24</v>
      </c>
      <c r="L1710" s="5" t="s">
        <v>75</v>
      </c>
      <c r="M1710" s="5" t="s">
        <v>75</v>
      </c>
      <c r="N1710" s="13">
        <v>4114.0200000000004</v>
      </c>
      <c r="O1710" s="5" t="s">
        <v>75</v>
      </c>
      <c r="Q1710" s="41">
        <v>46057</v>
      </c>
      <c r="R1710" s="1" t="s">
        <v>7780</v>
      </c>
      <c r="V1710" s="1">
        <f t="shared" si="26"/>
        <v>1</v>
      </c>
      <c r="W1710" s="1" t="s">
        <v>8086</v>
      </c>
      <c r="X1710" s="32"/>
    </row>
    <row r="1711" spans="1:24">
      <c r="A1711" s="2">
        <v>46049</v>
      </c>
      <c r="B1711" s="1" t="s">
        <v>7903</v>
      </c>
      <c r="C1711" s="1" t="s">
        <v>2547</v>
      </c>
      <c r="D1711" s="1" t="s">
        <v>2475</v>
      </c>
      <c r="E1711" s="1">
        <v>85351</v>
      </c>
      <c r="F1711" s="1" t="s">
        <v>8087</v>
      </c>
      <c r="G1711" s="39" t="s">
        <v>7865</v>
      </c>
      <c r="H1711" s="4" t="s">
        <v>2002</v>
      </c>
      <c r="I1711" s="5" t="s">
        <v>2988</v>
      </c>
      <c r="J1711" s="5" t="s">
        <v>24</v>
      </c>
      <c r="K1711" s="5" t="s">
        <v>24</v>
      </c>
      <c r="L1711" s="5" t="s">
        <v>7158</v>
      </c>
      <c r="M1711" s="5" t="s">
        <v>24</v>
      </c>
      <c r="N1711" s="5" t="s">
        <v>24</v>
      </c>
      <c r="O1711" s="5" t="s">
        <v>75</v>
      </c>
      <c r="P1711" s="5" t="s">
        <v>2413</v>
      </c>
      <c r="Q1711" s="2">
        <v>46057</v>
      </c>
      <c r="V1711" s="1">
        <f t="shared" si="26"/>
        <v>1</v>
      </c>
      <c r="W1711" s="1" t="s">
        <v>8088</v>
      </c>
    </row>
    <row r="1712" spans="1:24">
      <c r="A1712" s="2">
        <v>46049</v>
      </c>
      <c r="B1712" s="1" t="s">
        <v>8089</v>
      </c>
      <c r="C1712" s="1" t="s">
        <v>2521</v>
      </c>
      <c r="D1712" s="1" t="s">
        <v>2439</v>
      </c>
      <c r="E1712" s="1">
        <v>85029</v>
      </c>
      <c r="F1712" s="1" t="s">
        <v>8090</v>
      </c>
      <c r="G1712" s="39" t="s">
        <v>7865</v>
      </c>
      <c r="H1712" s="4" t="s">
        <v>2401</v>
      </c>
      <c r="V1712" s="1">
        <f t="shared" si="26"/>
        <v>1</v>
      </c>
      <c r="W1712" s="1" t="s">
        <v>8091</v>
      </c>
    </row>
    <row r="1713" spans="1:24">
      <c r="A1713" s="2">
        <v>46049</v>
      </c>
      <c r="B1713" s="1" t="s">
        <v>8092</v>
      </c>
      <c r="C1713" s="1" t="s">
        <v>2745</v>
      </c>
      <c r="D1713" s="1" t="s">
        <v>2950</v>
      </c>
      <c r="E1713" s="1">
        <v>86004</v>
      </c>
      <c r="F1713" s="133" t="s">
        <v>8093</v>
      </c>
      <c r="G1713" s="39" t="s">
        <v>7865</v>
      </c>
      <c r="H1713" s="4" t="s">
        <v>85</v>
      </c>
      <c r="I1713" s="5" t="s">
        <v>2597</v>
      </c>
      <c r="J1713" s="5" t="s">
        <v>75</v>
      </c>
      <c r="K1713" s="5" t="s">
        <v>24</v>
      </c>
      <c r="L1713" s="5" t="s">
        <v>7797</v>
      </c>
      <c r="M1713" s="5" t="s">
        <v>75</v>
      </c>
      <c r="N1713" s="13">
        <v>325</v>
      </c>
      <c r="O1713" s="5" t="s">
        <v>75</v>
      </c>
      <c r="Q1713" s="41">
        <v>46057</v>
      </c>
      <c r="R1713" s="1" t="s">
        <v>7780</v>
      </c>
      <c r="V1713" s="1">
        <f t="shared" si="26"/>
        <v>1</v>
      </c>
      <c r="W1713" s="1" t="s">
        <v>8094</v>
      </c>
      <c r="X1713" s="32"/>
    </row>
    <row r="1714" spans="1:24">
      <c r="A1714" s="2">
        <v>46049</v>
      </c>
      <c r="B1714" s="1" t="s">
        <v>5914</v>
      </c>
      <c r="C1714" s="1" t="s">
        <v>3392</v>
      </c>
      <c r="D1714" s="1" t="s">
        <v>3118</v>
      </c>
      <c r="E1714" s="1">
        <v>85350</v>
      </c>
      <c r="F1714" s="1" t="s">
        <v>8095</v>
      </c>
      <c r="G1714" s="39" t="s">
        <v>7865</v>
      </c>
      <c r="H1714" s="4" t="s">
        <v>2401</v>
      </c>
      <c r="V1714" s="1">
        <f t="shared" si="26"/>
        <v>1</v>
      </c>
      <c r="W1714" s="1" t="s">
        <v>8096</v>
      </c>
    </row>
    <row r="1715" spans="1:24">
      <c r="A1715" s="2">
        <v>46049</v>
      </c>
      <c r="B1715" s="1" t="s">
        <v>8097</v>
      </c>
      <c r="C1715" s="1" t="s">
        <v>3027</v>
      </c>
      <c r="D1715" s="1" t="s">
        <v>3303</v>
      </c>
      <c r="E1715" s="1">
        <v>86303</v>
      </c>
      <c r="F1715" s="1" t="s">
        <v>8098</v>
      </c>
      <c r="G1715" s="39" t="s">
        <v>7865</v>
      </c>
      <c r="H1715" s="4" t="s">
        <v>2004</v>
      </c>
      <c r="I1715" s="5" t="s">
        <v>2451</v>
      </c>
      <c r="J1715" s="5" t="s">
        <v>24</v>
      </c>
      <c r="K1715" s="5" t="s">
        <v>24</v>
      </c>
      <c r="L1715" s="5" t="s">
        <v>75</v>
      </c>
      <c r="M1715" s="5" t="s">
        <v>24</v>
      </c>
      <c r="N1715" s="5" t="s">
        <v>24</v>
      </c>
      <c r="O1715" s="5" t="s">
        <v>75</v>
      </c>
      <c r="P1715" s="5" t="s">
        <v>2413</v>
      </c>
      <c r="Q1715" s="2">
        <v>46057</v>
      </c>
      <c r="V1715" s="1">
        <f t="shared" si="26"/>
        <v>1</v>
      </c>
      <c r="W1715" s="1" t="s">
        <v>8099</v>
      </c>
    </row>
    <row r="1716" spans="1:24">
      <c r="A1716" s="2">
        <v>46049</v>
      </c>
      <c r="B1716" s="1" t="s">
        <v>6525</v>
      </c>
      <c r="C1716" s="1" t="s">
        <v>8100</v>
      </c>
      <c r="D1716" s="1" t="s">
        <v>2439</v>
      </c>
      <c r="E1716" s="1">
        <v>85032</v>
      </c>
      <c r="F1716" s="1" t="s">
        <v>8101</v>
      </c>
      <c r="G1716" s="39" t="s">
        <v>7865</v>
      </c>
      <c r="H1716" s="4" t="s">
        <v>2006</v>
      </c>
      <c r="I1716" s="5" t="s">
        <v>2412</v>
      </c>
      <c r="J1716" s="5" t="s">
        <v>75</v>
      </c>
      <c r="K1716" s="5" t="s">
        <v>24</v>
      </c>
      <c r="L1716" s="5" t="s">
        <v>75</v>
      </c>
      <c r="M1716" s="5" t="s">
        <v>24</v>
      </c>
      <c r="N1716" s="5" t="s">
        <v>24</v>
      </c>
      <c r="O1716" s="5" t="s">
        <v>75</v>
      </c>
      <c r="P1716" s="5" t="s">
        <v>2413</v>
      </c>
      <c r="Q1716" s="2">
        <v>46057</v>
      </c>
      <c r="R1716" s="1" t="s">
        <v>8033</v>
      </c>
      <c r="V1716" s="1">
        <f t="shared" si="26"/>
        <v>1</v>
      </c>
      <c r="W1716" s="1" t="s">
        <v>8102</v>
      </c>
    </row>
    <row r="1717" spans="1:24">
      <c r="A1717" s="2">
        <v>46049</v>
      </c>
      <c r="B1717" s="1" t="s">
        <v>8103</v>
      </c>
      <c r="C1717" s="1" t="s">
        <v>8104</v>
      </c>
      <c r="D1717" s="1" t="s">
        <v>2564</v>
      </c>
      <c r="E1717" s="1">
        <v>85338</v>
      </c>
      <c r="F1717" s="1" t="s">
        <v>8105</v>
      </c>
      <c r="G1717" s="39" t="s">
        <v>7865</v>
      </c>
      <c r="H1717" s="4" t="s">
        <v>2471</v>
      </c>
      <c r="V1717" s="1">
        <f t="shared" si="26"/>
        <v>1</v>
      </c>
      <c r="W1717" s="1" t="s">
        <v>8106</v>
      </c>
    </row>
    <row r="1718" spans="1:24">
      <c r="A1718" s="2">
        <v>46049</v>
      </c>
      <c r="B1718" s="1" t="s">
        <v>8107</v>
      </c>
      <c r="C1718" s="1" t="s">
        <v>8108</v>
      </c>
      <c r="D1718" s="1" t="s">
        <v>2439</v>
      </c>
      <c r="E1718" s="1">
        <v>85029</v>
      </c>
      <c r="F1718" s="1" t="s">
        <v>8109</v>
      </c>
      <c r="G1718" s="39" t="s">
        <v>7865</v>
      </c>
      <c r="H1718" s="4" t="s">
        <v>2008</v>
      </c>
      <c r="I1718" s="5" t="s">
        <v>2451</v>
      </c>
      <c r="J1718" s="5" t="s">
        <v>24</v>
      </c>
      <c r="K1718" s="5" t="s">
        <v>24</v>
      </c>
      <c r="L1718" s="5" t="s">
        <v>75</v>
      </c>
      <c r="M1718" s="5" t="s">
        <v>24</v>
      </c>
      <c r="N1718" s="5" t="s">
        <v>24</v>
      </c>
      <c r="O1718" s="5" t="s">
        <v>75</v>
      </c>
      <c r="P1718" s="5" t="s">
        <v>2413</v>
      </c>
      <c r="Q1718" s="2">
        <v>46057</v>
      </c>
      <c r="V1718" s="1">
        <f t="shared" si="26"/>
        <v>1</v>
      </c>
      <c r="W1718" s="1" t="s">
        <v>8110</v>
      </c>
    </row>
    <row r="1719" spans="1:24">
      <c r="A1719" s="2">
        <v>46049</v>
      </c>
      <c r="B1719" s="1" t="s">
        <v>6766</v>
      </c>
      <c r="C1719" s="1" t="s">
        <v>8111</v>
      </c>
      <c r="D1719" s="1" t="s">
        <v>2439</v>
      </c>
      <c r="E1719" s="1">
        <v>85050</v>
      </c>
      <c r="F1719" s="1" t="s">
        <v>8112</v>
      </c>
      <c r="G1719" s="39" t="s">
        <v>7865</v>
      </c>
      <c r="H1719" s="4" t="s">
        <v>2401</v>
      </c>
      <c r="V1719" s="1">
        <f t="shared" si="26"/>
        <v>1</v>
      </c>
      <c r="W1719" s="1" t="s">
        <v>8113</v>
      </c>
    </row>
    <row r="1720" spans="1:24">
      <c r="A1720" s="2">
        <v>46049</v>
      </c>
      <c r="B1720" s="1" t="s">
        <v>8114</v>
      </c>
      <c r="C1720" s="1" t="s">
        <v>3006</v>
      </c>
      <c r="D1720" s="1" t="s">
        <v>2564</v>
      </c>
      <c r="E1720" s="1">
        <v>85395</v>
      </c>
      <c r="F1720" s="1" t="s">
        <v>8115</v>
      </c>
      <c r="G1720" s="39" t="s">
        <v>7865</v>
      </c>
      <c r="H1720" s="4" t="s">
        <v>2010</v>
      </c>
      <c r="I1720" s="5" t="s">
        <v>2988</v>
      </c>
      <c r="J1720" s="5" t="s">
        <v>24</v>
      </c>
      <c r="K1720" s="5" t="s">
        <v>24</v>
      </c>
      <c r="L1720" s="5" t="s">
        <v>7158</v>
      </c>
      <c r="M1720" s="5" t="s">
        <v>8116</v>
      </c>
      <c r="N1720" s="5" t="s">
        <v>24</v>
      </c>
      <c r="O1720" s="5" t="s">
        <v>75</v>
      </c>
      <c r="P1720" s="5" t="s">
        <v>2413</v>
      </c>
      <c r="Q1720" s="2">
        <v>45692</v>
      </c>
      <c r="V1720" s="1">
        <f t="shared" si="26"/>
        <v>1</v>
      </c>
      <c r="W1720" s="1" t="s">
        <v>8117</v>
      </c>
    </row>
    <row r="1721" spans="1:24">
      <c r="A1721" s="2">
        <v>46049</v>
      </c>
      <c r="B1721" s="1" t="s">
        <v>5906</v>
      </c>
      <c r="C1721" s="1" t="s">
        <v>8118</v>
      </c>
      <c r="D1721" s="1" t="s">
        <v>2564</v>
      </c>
      <c r="E1721" s="1">
        <v>85395</v>
      </c>
      <c r="F1721" s="1" t="s">
        <v>8119</v>
      </c>
      <c r="G1721" s="39" t="s">
        <v>7865</v>
      </c>
      <c r="H1721" s="4" t="s">
        <v>2012</v>
      </c>
      <c r="I1721" s="5" t="s">
        <v>2597</v>
      </c>
      <c r="J1721" s="5" t="s">
        <v>24</v>
      </c>
      <c r="K1721" s="5" t="s">
        <v>24</v>
      </c>
      <c r="L1721" s="5" t="s">
        <v>75</v>
      </c>
      <c r="M1721" s="5" t="s">
        <v>24</v>
      </c>
      <c r="N1721" s="5" t="s">
        <v>24</v>
      </c>
      <c r="O1721" s="5" t="s">
        <v>75</v>
      </c>
      <c r="P1721" s="5" t="s">
        <v>2413</v>
      </c>
      <c r="Q1721" s="2">
        <v>46057</v>
      </c>
      <c r="V1721" s="1">
        <f t="shared" si="26"/>
        <v>1</v>
      </c>
      <c r="W1721" s="1" t="s">
        <v>8120</v>
      </c>
    </row>
    <row r="1722" spans="1:24">
      <c r="A1722" s="2">
        <v>46049</v>
      </c>
      <c r="B1722" s="1" t="s">
        <v>8121</v>
      </c>
      <c r="C1722" s="1" t="s">
        <v>2929</v>
      </c>
      <c r="D1722" s="1" t="s">
        <v>3438</v>
      </c>
      <c r="E1722" s="1">
        <v>85501</v>
      </c>
      <c r="F1722" s="1" t="s">
        <v>8122</v>
      </c>
      <c r="G1722" s="39" t="s">
        <v>7865</v>
      </c>
      <c r="H1722" s="4" t="s">
        <v>2014</v>
      </c>
      <c r="I1722" s="5" t="s">
        <v>2451</v>
      </c>
      <c r="J1722" s="5" t="s">
        <v>24</v>
      </c>
      <c r="K1722" s="5" t="s">
        <v>24</v>
      </c>
      <c r="L1722" s="5" t="s">
        <v>75</v>
      </c>
      <c r="M1722" s="5" t="s">
        <v>24</v>
      </c>
      <c r="N1722" s="5" t="s">
        <v>24</v>
      </c>
      <c r="O1722" s="5" t="s">
        <v>75</v>
      </c>
      <c r="P1722" s="5" t="s">
        <v>2413</v>
      </c>
      <c r="Q1722" s="2">
        <v>46057</v>
      </c>
      <c r="V1722" s="1">
        <f t="shared" si="26"/>
        <v>1</v>
      </c>
      <c r="W1722" s="1" t="s">
        <v>8123</v>
      </c>
    </row>
    <row r="1723" spans="1:24">
      <c r="A1723" s="2">
        <v>46049</v>
      </c>
      <c r="B1723" s="1" t="s">
        <v>5896</v>
      </c>
      <c r="C1723" s="1" t="s">
        <v>2632</v>
      </c>
      <c r="D1723" s="1" t="s">
        <v>2398</v>
      </c>
      <c r="E1723" s="1">
        <v>85304</v>
      </c>
      <c r="F1723" s="1" t="s">
        <v>8124</v>
      </c>
      <c r="G1723" s="39" t="s">
        <v>7865</v>
      </c>
      <c r="H1723" s="4" t="s">
        <v>2016</v>
      </c>
      <c r="I1723" s="5" t="s">
        <v>7340</v>
      </c>
      <c r="J1723" s="5" t="s">
        <v>75</v>
      </c>
      <c r="K1723" s="5" t="s">
        <v>24</v>
      </c>
      <c r="L1723" s="5" t="s">
        <v>7158</v>
      </c>
      <c r="M1723" s="5" t="s">
        <v>24</v>
      </c>
      <c r="N1723" s="5" t="s">
        <v>24</v>
      </c>
      <c r="O1723" s="5" t="s">
        <v>75</v>
      </c>
      <c r="P1723" s="5" t="s">
        <v>2413</v>
      </c>
      <c r="Q1723" s="2">
        <v>46057</v>
      </c>
      <c r="V1723" s="1">
        <f t="shared" si="26"/>
        <v>1</v>
      </c>
      <c r="W1723" s="1" t="s">
        <v>8125</v>
      </c>
    </row>
    <row r="1724" spans="1:24">
      <c r="A1724" s="2">
        <v>46049</v>
      </c>
      <c r="B1724" s="1" t="s">
        <v>5906</v>
      </c>
      <c r="C1724" s="1" t="s">
        <v>8126</v>
      </c>
      <c r="D1724" s="1" t="s">
        <v>2439</v>
      </c>
      <c r="E1724" s="1">
        <v>85032</v>
      </c>
      <c r="F1724" s="1" t="s">
        <v>8127</v>
      </c>
      <c r="G1724" s="39" t="s">
        <v>7865</v>
      </c>
      <c r="H1724" s="4" t="s">
        <v>2471</v>
      </c>
      <c r="R1724" s="1" t="s">
        <v>8033</v>
      </c>
      <c r="V1724" s="1">
        <f t="shared" si="26"/>
        <v>1</v>
      </c>
      <c r="W1724" s="1" t="s">
        <v>8128</v>
      </c>
    </row>
    <row r="1725" spans="1:24">
      <c r="A1725" s="2">
        <v>46049</v>
      </c>
      <c r="B1725" s="1" t="s">
        <v>8129</v>
      </c>
      <c r="C1725" s="1" t="s">
        <v>2584</v>
      </c>
      <c r="D1725" s="1" t="s">
        <v>2513</v>
      </c>
      <c r="E1725" s="1">
        <v>85254</v>
      </c>
      <c r="F1725" s="1" t="s">
        <v>8130</v>
      </c>
      <c r="G1725" s="39" t="s">
        <v>7865</v>
      </c>
      <c r="H1725" s="4" t="s">
        <v>564</v>
      </c>
      <c r="I1725" s="5" t="s">
        <v>2597</v>
      </c>
      <c r="J1725" s="5" t="s">
        <v>24</v>
      </c>
      <c r="K1725" s="5" t="s">
        <v>24</v>
      </c>
      <c r="L1725" s="5" t="s">
        <v>8131</v>
      </c>
      <c r="M1725" s="5" t="s">
        <v>24</v>
      </c>
      <c r="N1725" s="5" t="s">
        <v>24</v>
      </c>
      <c r="O1725" s="5" t="s">
        <v>75</v>
      </c>
      <c r="Q1725" s="41">
        <v>46057</v>
      </c>
      <c r="R1725" s="1" t="s">
        <v>7066</v>
      </c>
      <c r="V1725" s="1">
        <f t="shared" si="26"/>
        <v>1</v>
      </c>
      <c r="W1725" s="1" t="s">
        <v>8132</v>
      </c>
      <c r="X1725" s="32"/>
    </row>
    <row r="1726" spans="1:24">
      <c r="A1726" s="2">
        <v>46049</v>
      </c>
      <c r="B1726" s="1" t="s">
        <v>8133</v>
      </c>
      <c r="C1726" s="1" t="s">
        <v>8134</v>
      </c>
      <c r="D1726" s="1" t="s">
        <v>2605</v>
      </c>
      <c r="E1726" s="1">
        <v>85345</v>
      </c>
      <c r="F1726" s="1" t="s">
        <v>8135</v>
      </c>
      <c r="G1726" s="39" t="s">
        <v>7865</v>
      </c>
      <c r="H1726" s="4" t="s">
        <v>2018</v>
      </c>
      <c r="I1726" s="5" t="s">
        <v>2988</v>
      </c>
      <c r="J1726" s="5" t="s">
        <v>24</v>
      </c>
      <c r="K1726" s="5" t="s">
        <v>24</v>
      </c>
      <c r="L1726" s="5" t="s">
        <v>7158</v>
      </c>
      <c r="M1726" s="5" t="s">
        <v>24</v>
      </c>
      <c r="N1726" s="5" t="s">
        <v>24</v>
      </c>
      <c r="O1726" s="5" t="s">
        <v>75</v>
      </c>
      <c r="P1726" s="5" t="s">
        <v>2413</v>
      </c>
      <c r="Q1726" s="2">
        <v>46057</v>
      </c>
      <c r="V1726" s="1">
        <f t="shared" si="26"/>
        <v>1</v>
      </c>
      <c r="W1726" s="1" t="s">
        <v>8136</v>
      </c>
    </row>
    <row r="1727" spans="1:24">
      <c r="A1727" s="2">
        <v>46049</v>
      </c>
      <c r="B1727" s="1" t="s">
        <v>8137</v>
      </c>
      <c r="C1727" s="1" t="s">
        <v>8138</v>
      </c>
      <c r="D1727" s="1" t="s">
        <v>2439</v>
      </c>
      <c r="E1727" s="1">
        <v>85029</v>
      </c>
      <c r="F1727" s="1" t="s">
        <v>8139</v>
      </c>
      <c r="G1727" s="39" t="s">
        <v>7865</v>
      </c>
      <c r="H1727" s="4" t="s">
        <v>2401</v>
      </c>
      <c r="V1727" s="1">
        <f t="shared" si="26"/>
        <v>1</v>
      </c>
      <c r="W1727" s="1" t="s">
        <v>8140</v>
      </c>
    </row>
    <row r="1728" spans="1:24">
      <c r="A1728" s="2">
        <v>46049</v>
      </c>
      <c r="B1728" s="1" t="s">
        <v>8141</v>
      </c>
      <c r="C1728" s="1" t="s">
        <v>8142</v>
      </c>
      <c r="D1728" s="1" t="s">
        <v>5174</v>
      </c>
      <c r="E1728" s="1">
        <v>86335</v>
      </c>
      <c r="F1728" s="1" t="s">
        <v>8143</v>
      </c>
      <c r="G1728" s="39" t="s">
        <v>7865</v>
      </c>
      <c r="H1728" s="4" t="s">
        <v>566</v>
      </c>
      <c r="I1728" s="5" t="s">
        <v>2597</v>
      </c>
      <c r="J1728" s="5" t="s">
        <v>24</v>
      </c>
      <c r="K1728" s="5" t="s">
        <v>24</v>
      </c>
      <c r="L1728" s="5" t="s">
        <v>8144</v>
      </c>
      <c r="M1728" s="5" t="s">
        <v>24</v>
      </c>
      <c r="N1728" s="5" t="s">
        <v>24</v>
      </c>
      <c r="O1728" s="5" t="s">
        <v>75</v>
      </c>
      <c r="P1728" s="5" t="s">
        <v>2413</v>
      </c>
      <c r="Q1728" s="2">
        <v>46057</v>
      </c>
      <c r="V1728" s="1">
        <f t="shared" si="26"/>
        <v>1</v>
      </c>
      <c r="W1728" s="1" t="s">
        <v>8145</v>
      </c>
    </row>
    <row r="1729" spans="1:24">
      <c r="A1729" s="2">
        <v>46049</v>
      </c>
      <c r="B1729" s="1" t="s">
        <v>8146</v>
      </c>
      <c r="C1729" s="1" t="s">
        <v>5197</v>
      </c>
      <c r="D1729" s="1" t="s">
        <v>2439</v>
      </c>
      <c r="E1729" s="1">
        <v>85022</v>
      </c>
      <c r="F1729" s="1" t="s">
        <v>8147</v>
      </c>
      <c r="G1729" s="39" t="s">
        <v>7865</v>
      </c>
      <c r="H1729" s="4" t="s">
        <v>2020</v>
      </c>
      <c r="I1729" s="5" t="s">
        <v>7340</v>
      </c>
      <c r="J1729" s="5" t="s">
        <v>24</v>
      </c>
      <c r="K1729" s="5" t="s">
        <v>24</v>
      </c>
      <c r="L1729" s="5" t="s">
        <v>7158</v>
      </c>
      <c r="M1729" s="5" t="s">
        <v>24</v>
      </c>
      <c r="N1729" s="5" t="s">
        <v>24</v>
      </c>
      <c r="O1729" s="5" t="s">
        <v>75</v>
      </c>
      <c r="P1729" s="5" t="s">
        <v>2413</v>
      </c>
      <c r="Q1729" s="2">
        <v>46057</v>
      </c>
      <c r="V1729" s="1">
        <f t="shared" si="26"/>
        <v>1</v>
      </c>
      <c r="W1729" s="1" t="s">
        <v>8148</v>
      </c>
    </row>
    <row r="1730" spans="1:24">
      <c r="A1730" s="2">
        <v>46049</v>
      </c>
      <c r="B1730" s="1" t="s">
        <v>6032</v>
      </c>
      <c r="C1730" s="1" t="s">
        <v>2830</v>
      </c>
      <c r="D1730" s="1" t="s">
        <v>2678</v>
      </c>
      <c r="E1730" s="1">
        <v>85541</v>
      </c>
      <c r="F1730" s="1" t="s">
        <v>8149</v>
      </c>
      <c r="G1730" s="39" t="s">
        <v>7865</v>
      </c>
      <c r="H1730" s="4" t="s">
        <v>568</v>
      </c>
      <c r="I1730" s="5" t="s">
        <v>2597</v>
      </c>
      <c r="J1730" s="5" t="s">
        <v>24</v>
      </c>
      <c r="K1730" s="5" t="s">
        <v>24</v>
      </c>
      <c r="L1730" s="5" t="s">
        <v>8150</v>
      </c>
      <c r="M1730" s="5" t="s">
        <v>24</v>
      </c>
      <c r="N1730" s="5" t="s">
        <v>24</v>
      </c>
      <c r="O1730" s="5" t="s">
        <v>75</v>
      </c>
      <c r="Q1730" s="41">
        <v>46057</v>
      </c>
      <c r="R1730" s="1" t="s">
        <v>7066</v>
      </c>
      <c r="V1730" s="1">
        <f t="shared" ref="V1730:V1793" si="27">IF(OR(ISNUMBER(SEARCH("unable to locate acct",G1730)),ISNUMBER(SEARCH("unknown",G1730)),ISNUMBER(SEARCH("inactive",G1730)),H1730=""),0,1)</f>
        <v>1</v>
      </c>
      <c r="W1730" s="1" t="s">
        <v>8151</v>
      </c>
      <c r="X1730" s="32"/>
    </row>
    <row r="1731" spans="1:24">
      <c r="A1731" s="2">
        <v>46049</v>
      </c>
      <c r="B1731" s="1" t="s">
        <v>8152</v>
      </c>
      <c r="C1731" s="1" t="s">
        <v>5278</v>
      </c>
      <c r="D1731" s="1" t="s">
        <v>2439</v>
      </c>
      <c r="E1731" s="1">
        <v>85053</v>
      </c>
      <c r="F1731" s="1" t="s">
        <v>8153</v>
      </c>
      <c r="G1731" s="39" t="s">
        <v>7865</v>
      </c>
      <c r="H1731" s="4" t="s">
        <v>2022</v>
      </c>
      <c r="I1731" s="5" t="s">
        <v>2420</v>
      </c>
      <c r="J1731" s="5" t="s">
        <v>24</v>
      </c>
      <c r="K1731" s="5" t="s">
        <v>24</v>
      </c>
      <c r="L1731" s="5" t="s">
        <v>75</v>
      </c>
      <c r="M1731" s="5" t="s">
        <v>24</v>
      </c>
      <c r="N1731" s="5" t="s">
        <v>24</v>
      </c>
      <c r="O1731" s="5" t="s">
        <v>75</v>
      </c>
      <c r="P1731" s="5" t="s">
        <v>2413</v>
      </c>
      <c r="Q1731" s="2">
        <v>46057</v>
      </c>
      <c r="V1731" s="1">
        <f t="shared" si="27"/>
        <v>1</v>
      </c>
      <c r="W1731" s="1" t="s">
        <v>8154</v>
      </c>
    </row>
    <row r="1732" spans="1:24">
      <c r="A1732" s="2">
        <v>46049</v>
      </c>
      <c r="B1732" s="1" t="s">
        <v>8155</v>
      </c>
      <c r="C1732" s="1" t="s">
        <v>8156</v>
      </c>
      <c r="D1732" s="1" t="s">
        <v>2605</v>
      </c>
      <c r="E1732" s="1">
        <v>85345</v>
      </c>
      <c r="F1732" s="1" t="s">
        <v>8157</v>
      </c>
      <c r="G1732" s="39" t="s">
        <v>7865</v>
      </c>
      <c r="H1732" s="4" t="s">
        <v>2024</v>
      </c>
      <c r="I1732" s="5" t="s">
        <v>7340</v>
      </c>
      <c r="J1732" s="5" t="s">
        <v>24</v>
      </c>
      <c r="K1732" s="5" t="s">
        <v>24</v>
      </c>
      <c r="L1732" s="5" t="s">
        <v>7158</v>
      </c>
      <c r="M1732" s="5" t="s">
        <v>24</v>
      </c>
      <c r="N1732" s="5" t="s">
        <v>24</v>
      </c>
      <c r="O1732" s="5" t="s">
        <v>75</v>
      </c>
      <c r="P1732" s="5" t="s">
        <v>2413</v>
      </c>
      <c r="Q1732" s="2">
        <v>46057</v>
      </c>
      <c r="V1732" s="1">
        <f t="shared" si="27"/>
        <v>1</v>
      </c>
      <c r="W1732" s="1" t="s">
        <v>8158</v>
      </c>
    </row>
    <row r="1733" spans="1:24">
      <c r="A1733" s="2">
        <v>46049</v>
      </c>
      <c r="B1733" s="1" t="s">
        <v>8159</v>
      </c>
      <c r="C1733" s="1" t="s">
        <v>20</v>
      </c>
      <c r="D1733" s="1" t="s">
        <v>2439</v>
      </c>
      <c r="E1733" s="1">
        <v>85032</v>
      </c>
      <c r="F1733" s="1" t="s">
        <v>8160</v>
      </c>
      <c r="G1733" s="39" t="s">
        <v>7865</v>
      </c>
      <c r="H1733" s="4" t="s">
        <v>2026</v>
      </c>
      <c r="I1733" s="5" t="s">
        <v>2412</v>
      </c>
      <c r="J1733" s="5" t="s">
        <v>24</v>
      </c>
      <c r="K1733" s="5" t="s">
        <v>24</v>
      </c>
      <c r="L1733" s="5" t="s">
        <v>75</v>
      </c>
      <c r="M1733" s="5" t="s">
        <v>24</v>
      </c>
      <c r="N1733" s="5" t="s">
        <v>24</v>
      </c>
      <c r="O1733" s="5" t="s">
        <v>75</v>
      </c>
      <c r="P1733" s="5" t="s">
        <v>2413</v>
      </c>
      <c r="Q1733" s="2">
        <v>46057</v>
      </c>
      <c r="V1733" s="1">
        <f t="shared" si="27"/>
        <v>1</v>
      </c>
      <c r="W1733" s="1" t="s">
        <v>8161</v>
      </c>
    </row>
    <row r="1734" spans="1:24">
      <c r="A1734" s="2">
        <v>46049</v>
      </c>
      <c r="B1734" s="1" t="s">
        <v>8162</v>
      </c>
      <c r="C1734" s="1" t="s">
        <v>8031</v>
      </c>
      <c r="D1734" s="1" t="s">
        <v>2862</v>
      </c>
      <c r="E1734" s="1">
        <v>85335</v>
      </c>
      <c r="F1734" s="1" t="s">
        <v>8163</v>
      </c>
      <c r="G1734" s="39" t="s">
        <v>7865</v>
      </c>
      <c r="H1734" s="4" t="s">
        <v>2028</v>
      </c>
      <c r="I1734" s="5" t="s">
        <v>8061</v>
      </c>
      <c r="J1734" s="5" t="s">
        <v>75</v>
      </c>
      <c r="K1734" s="5" t="s">
        <v>24</v>
      </c>
      <c r="L1734" s="5" t="s">
        <v>75</v>
      </c>
      <c r="M1734" s="5" t="s">
        <v>24</v>
      </c>
      <c r="N1734" s="5" t="s">
        <v>24</v>
      </c>
      <c r="O1734" s="5" t="s">
        <v>75</v>
      </c>
      <c r="P1734" s="5" t="s">
        <v>2413</v>
      </c>
      <c r="Q1734" s="2">
        <v>46057</v>
      </c>
      <c r="V1734" s="1">
        <f t="shared" si="27"/>
        <v>1</v>
      </c>
      <c r="W1734" s="1" t="s">
        <v>8164</v>
      </c>
    </row>
    <row r="1735" spans="1:24">
      <c r="A1735" s="2">
        <v>46049</v>
      </c>
      <c r="B1735" s="1" t="s">
        <v>2850</v>
      </c>
      <c r="C1735" s="1" t="s">
        <v>8165</v>
      </c>
      <c r="D1735" s="1" t="s">
        <v>2439</v>
      </c>
      <c r="E1735" s="1">
        <v>85050</v>
      </c>
      <c r="F1735" s="1" t="s">
        <v>8166</v>
      </c>
      <c r="G1735" s="39" t="s">
        <v>7865</v>
      </c>
      <c r="H1735" s="4" t="s">
        <v>2401</v>
      </c>
      <c r="V1735" s="1">
        <f t="shared" si="27"/>
        <v>1</v>
      </c>
      <c r="W1735" s="1" t="s">
        <v>8167</v>
      </c>
    </row>
    <row r="1736" spans="1:24">
      <c r="A1736" s="2">
        <v>46049</v>
      </c>
      <c r="B1736" s="1" t="s">
        <v>4655</v>
      </c>
      <c r="C1736" s="1" t="s">
        <v>2569</v>
      </c>
      <c r="D1736" s="1" t="s">
        <v>3073</v>
      </c>
      <c r="E1736" s="1">
        <v>85367</v>
      </c>
      <c r="F1736" s="1" t="s">
        <v>8168</v>
      </c>
      <c r="G1736" s="39" t="s">
        <v>7865</v>
      </c>
      <c r="H1736" s="4" t="s">
        <v>2030</v>
      </c>
      <c r="I1736" s="5" t="s">
        <v>2420</v>
      </c>
      <c r="J1736" s="5" t="s">
        <v>24</v>
      </c>
      <c r="K1736" s="5" t="s">
        <v>24</v>
      </c>
      <c r="L1736" s="5" t="s">
        <v>75</v>
      </c>
      <c r="M1736" s="5" t="s">
        <v>24</v>
      </c>
      <c r="N1736" s="5" t="s">
        <v>24</v>
      </c>
      <c r="O1736" s="5" t="s">
        <v>75</v>
      </c>
      <c r="P1736" s="5" t="s">
        <v>2413</v>
      </c>
      <c r="Q1736" s="2">
        <v>46057</v>
      </c>
      <c r="V1736" s="1">
        <f t="shared" si="27"/>
        <v>1</v>
      </c>
      <c r="W1736" s="1" t="s">
        <v>8169</v>
      </c>
    </row>
    <row r="1737" spans="1:24">
      <c r="A1737" s="2">
        <v>46049</v>
      </c>
      <c r="B1737" s="1" t="s">
        <v>8170</v>
      </c>
      <c r="C1737" s="1" t="s">
        <v>6028</v>
      </c>
      <c r="D1737" s="1" t="s">
        <v>3166</v>
      </c>
      <c r="E1737" s="1">
        <v>85375</v>
      </c>
      <c r="F1737" s="1" t="s">
        <v>8171</v>
      </c>
      <c r="G1737" s="39" t="s">
        <v>7865</v>
      </c>
      <c r="H1737" s="4" t="s">
        <v>2032</v>
      </c>
      <c r="I1737" s="5" t="s">
        <v>2420</v>
      </c>
      <c r="J1737" s="5" t="s">
        <v>24</v>
      </c>
      <c r="K1737" s="5" t="s">
        <v>24</v>
      </c>
      <c r="L1737" s="5" t="s">
        <v>75</v>
      </c>
      <c r="M1737" s="5" t="s">
        <v>24</v>
      </c>
      <c r="N1737" s="5" t="s">
        <v>24</v>
      </c>
      <c r="O1737" s="5" t="s">
        <v>75</v>
      </c>
      <c r="P1737" s="5" t="s">
        <v>2413</v>
      </c>
      <c r="Q1737" s="2">
        <v>46057</v>
      </c>
      <c r="V1737" s="1">
        <f t="shared" si="27"/>
        <v>1</v>
      </c>
      <c r="W1737" s="1" t="s">
        <v>8172</v>
      </c>
    </row>
    <row r="1738" spans="1:24">
      <c r="A1738" s="2">
        <v>46049</v>
      </c>
      <c r="B1738" s="1" t="s">
        <v>8173</v>
      </c>
      <c r="C1738" s="1" t="s">
        <v>5909</v>
      </c>
      <c r="D1738" s="1" t="s">
        <v>8174</v>
      </c>
      <c r="E1738" s="1">
        <v>85379</v>
      </c>
      <c r="F1738" s="1" t="s">
        <v>8175</v>
      </c>
      <c r="G1738" s="39" t="s">
        <v>7865</v>
      </c>
      <c r="H1738" s="4" t="s">
        <v>2034</v>
      </c>
      <c r="I1738" s="5" t="s">
        <v>2412</v>
      </c>
      <c r="J1738" s="5" t="s">
        <v>24</v>
      </c>
      <c r="K1738" s="5" t="s">
        <v>24</v>
      </c>
      <c r="L1738" s="5" t="s">
        <v>75</v>
      </c>
      <c r="M1738" s="5" t="s">
        <v>24</v>
      </c>
      <c r="N1738" s="5" t="s">
        <v>24</v>
      </c>
      <c r="O1738" s="5" t="s">
        <v>75</v>
      </c>
      <c r="P1738" s="5" t="s">
        <v>2413</v>
      </c>
      <c r="Q1738" s="2">
        <v>46057</v>
      </c>
      <c r="V1738" s="1">
        <f t="shared" si="27"/>
        <v>1</v>
      </c>
      <c r="W1738" s="1" t="s">
        <v>8176</v>
      </c>
    </row>
    <row r="1739" spans="1:24">
      <c r="A1739" s="2">
        <v>46049</v>
      </c>
      <c r="B1739" s="1" t="s">
        <v>8177</v>
      </c>
      <c r="C1739" s="1" t="s">
        <v>2612</v>
      </c>
      <c r="D1739" s="1" t="s">
        <v>2678</v>
      </c>
      <c r="E1739" s="1">
        <v>85541</v>
      </c>
      <c r="F1739" s="1" t="s">
        <v>8178</v>
      </c>
      <c r="G1739" s="39" t="s">
        <v>7865</v>
      </c>
      <c r="H1739" s="4" t="s">
        <v>712</v>
      </c>
      <c r="I1739" s="5" t="s">
        <v>2412</v>
      </c>
      <c r="J1739" s="5" t="s">
        <v>75</v>
      </c>
      <c r="K1739" s="5" t="s">
        <v>24</v>
      </c>
      <c r="L1739" s="5" t="s">
        <v>75</v>
      </c>
      <c r="M1739" s="5" t="s">
        <v>75</v>
      </c>
      <c r="N1739" s="13">
        <v>502.83</v>
      </c>
      <c r="O1739" s="5" t="s">
        <v>75</v>
      </c>
      <c r="Q1739" s="41">
        <v>46057</v>
      </c>
      <c r="R1739" s="1" t="s">
        <v>7780</v>
      </c>
      <c r="V1739" s="1">
        <f t="shared" si="27"/>
        <v>1</v>
      </c>
      <c r="W1739" s="1" t="s">
        <v>8179</v>
      </c>
      <c r="X1739" s="32"/>
    </row>
    <row r="1740" spans="1:24">
      <c r="A1740" s="2">
        <v>46049</v>
      </c>
      <c r="B1740" s="1" t="s">
        <v>8180</v>
      </c>
      <c r="C1740" s="1" t="s">
        <v>4091</v>
      </c>
      <c r="D1740" s="1" t="s">
        <v>2498</v>
      </c>
      <c r="E1740" s="1">
        <v>85374</v>
      </c>
      <c r="F1740" s="1" t="s">
        <v>8181</v>
      </c>
      <c r="G1740" s="39" t="s">
        <v>7865</v>
      </c>
      <c r="H1740" s="4" t="s">
        <v>714</v>
      </c>
      <c r="I1740" s="5" t="s">
        <v>2412</v>
      </c>
      <c r="J1740" s="5" t="s">
        <v>75</v>
      </c>
      <c r="K1740" s="5" t="s">
        <v>24</v>
      </c>
      <c r="L1740" s="5" t="s">
        <v>75</v>
      </c>
      <c r="M1740" s="5" t="s">
        <v>75</v>
      </c>
      <c r="N1740" s="13">
        <v>2005.59</v>
      </c>
      <c r="O1740" s="5" t="s">
        <v>75</v>
      </c>
      <c r="Q1740" s="2">
        <v>46057</v>
      </c>
      <c r="R1740" s="1" t="s">
        <v>7780</v>
      </c>
      <c r="V1740" s="1">
        <f t="shared" si="27"/>
        <v>1</v>
      </c>
      <c r="W1740" s="1" t="s">
        <v>8182</v>
      </c>
    </row>
    <row r="1741" spans="1:24">
      <c r="A1741" s="2">
        <v>46049</v>
      </c>
      <c r="B1741" s="1" t="s">
        <v>6361</v>
      </c>
      <c r="C1741" s="1" t="s">
        <v>7814</v>
      </c>
      <c r="D1741" s="1" t="s">
        <v>3807</v>
      </c>
      <c r="E1741" s="1">
        <v>85607</v>
      </c>
      <c r="F1741" s="1" t="s">
        <v>8183</v>
      </c>
      <c r="G1741" s="39" t="s">
        <v>7865</v>
      </c>
      <c r="H1741" s="4" t="s">
        <v>2401</v>
      </c>
      <c r="V1741" s="1">
        <f t="shared" si="27"/>
        <v>1</v>
      </c>
      <c r="W1741" s="1" t="s">
        <v>8184</v>
      </c>
    </row>
    <row r="1742" spans="1:24">
      <c r="A1742" s="2">
        <v>46049</v>
      </c>
      <c r="B1742" s="1" t="s">
        <v>2524</v>
      </c>
      <c r="C1742" s="1" t="s">
        <v>2792</v>
      </c>
      <c r="D1742" s="1" t="s">
        <v>2862</v>
      </c>
      <c r="E1742" s="1">
        <v>85335</v>
      </c>
      <c r="F1742" s="1" t="s">
        <v>8185</v>
      </c>
      <c r="G1742" s="39" t="s">
        <v>7865</v>
      </c>
      <c r="H1742" s="4" t="s">
        <v>2036</v>
      </c>
      <c r="I1742" s="5" t="s">
        <v>2420</v>
      </c>
      <c r="J1742" s="5" t="s">
        <v>75</v>
      </c>
      <c r="K1742" s="5" t="s">
        <v>24</v>
      </c>
      <c r="L1742" s="5" t="s">
        <v>75</v>
      </c>
      <c r="M1742" s="5" t="s">
        <v>24</v>
      </c>
      <c r="N1742" s="5" t="s">
        <v>24</v>
      </c>
      <c r="O1742" s="5" t="s">
        <v>75</v>
      </c>
      <c r="P1742" s="5" t="s">
        <v>2413</v>
      </c>
      <c r="Q1742" s="2">
        <v>46057</v>
      </c>
      <c r="V1742" s="1">
        <f t="shared" si="27"/>
        <v>1</v>
      </c>
      <c r="W1742" s="1" t="s">
        <v>8186</v>
      </c>
    </row>
    <row r="1743" spans="1:24">
      <c r="A1743" s="2">
        <v>46049</v>
      </c>
      <c r="B1743" s="1" t="s">
        <v>2796</v>
      </c>
      <c r="C1743" s="1" t="s">
        <v>2796</v>
      </c>
      <c r="D1743" s="1" t="s">
        <v>2498</v>
      </c>
      <c r="E1743" s="1">
        <v>85378</v>
      </c>
      <c r="F1743" s="1" t="s">
        <v>8187</v>
      </c>
      <c r="G1743" s="39" t="s">
        <v>7865</v>
      </c>
      <c r="H1743" s="4" t="s">
        <v>2401</v>
      </c>
      <c r="V1743" s="1">
        <f t="shared" si="27"/>
        <v>1</v>
      </c>
      <c r="W1743" s="1" t="s">
        <v>8188</v>
      </c>
    </row>
    <row r="1744" spans="1:24">
      <c r="A1744" s="2">
        <v>46049</v>
      </c>
      <c r="B1744" s="1" t="s">
        <v>6525</v>
      </c>
      <c r="C1744" s="1" t="s">
        <v>8189</v>
      </c>
      <c r="D1744" s="1" t="s">
        <v>5174</v>
      </c>
      <c r="E1744" s="1">
        <v>86335</v>
      </c>
      <c r="F1744" s="1" t="s">
        <v>8190</v>
      </c>
      <c r="G1744" s="39" t="s">
        <v>7865</v>
      </c>
      <c r="H1744" s="4" t="s">
        <v>2038</v>
      </c>
      <c r="I1744" s="5" t="s">
        <v>2597</v>
      </c>
      <c r="J1744" s="5" t="s">
        <v>24</v>
      </c>
      <c r="K1744" s="5" t="s">
        <v>24</v>
      </c>
      <c r="L1744" s="5" t="s">
        <v>75</v>
      </c>
      <c r="M1744" s="5" t="s">
        <v>24</v>
      </c>
      <c r="N1744" s="5" t="s">
        <v>24</v>
      </c>
      <c r="O1744" s="5" t="s">
        <v>75</v>
      </c>
      <c r="P1744" s="5" t="s">
        <v>2413</v>
      </c>
      <c r="Q1744" s="2">
        <v>46057</v>
      </c>
      <c r="V1744" s="1">
        <f t="shared" si="27"/>
        <v>1</v>
      </c>
      <c r="W1744" s="1" t="s">
        <v>8191</v>
      </c>
    </row>
    <row r="1745" spans="1:24">
      <c r="A1745" s="2">
        <v>46049</v>
      </c>
      <c r="B1745" s="1" t="s">
        <v>8192</v>
      </c>
      <c r="C1745" s="1" t="s">
        <v>8193</v>
      </c>
      <c r="D1745" s="1" t="s">
        <v>2439</v>
      </c>
      <c r="E1745" s="1">
        <v>85024</v>
      </c>
      <c r="F1745" s="1" t="s">
        <v>8194</v>
      </c>
      <c r="G1745" s="39" t="s">
        <v>7865</v>
      </c>
      <c r="H1745" s="4" t="s">
        <v>2040</v>
      </c>
      <c r="I1745" s="5" t="s">
        <v>2412</v>
      </c>
      <c r="J1745" s="5" t="s">
        <v>24</v>
      </c>
      <c r="K1745" s="5" t="s">
        <v>24</v>
      </c>
      <c r="L1745" s="5" t="s">
        <v>75</v>
      </c>
      <c r="M1745" s="5" t="s">
        <v>24</v>
      </c>
      <c r="N1745" s="5" t="s">
        <v>24</v>
      </c>
      <c r="O1745" s="5" t="s">
        <v>75</v>
      </c>
      <c r="P1745" s="5" t="s">
        <v>2413</v>
      </c>
      <c r="Q1745" s="2">
        <v>46057</v>
      </c>
      <c r="V1745" s="1">
        <f t="shared" si="27"/>
        <v>1</v>
      </c>
      <c r="W1745" s="1" t="s">
        <v>8195</v>
      </c>
    </row>
    <row r="1746" spans="1:24">
      <c r="A1746" s="2">
        <v>46049</v>
      </c>
      <c r="B1746" s="1" t="s">
        <v>4510</v>
      </c>
      <c r="C1746" s="1" t="s">
        <v>4179</v>
      </c>
      <c r="D1746" s="1" t="s">
        <v>2439</v>
      </c>
      <c r="E1746" s="1">
        <v>85015</v>
      </c>
      <c r="F1746" s="1" t="s">
        <v>8196</v>
      </c>
      <c r="G1746" s="39" t="s">
        <v>7865</v>
      </c>
      <c r="H1746" s="4" t="s">
        <v>2401</v>
      </c>
      <c r="V1746" s="1">
        <f t="shared" si="27"/>
        <v>1</v>
      </c>
      <c r="W1746" s="1" t="s">
        <v>8197</v>
      </c>
    </row>
    <row r="1747" spans="1:24">
      <c r="A1747" s="2">
        <v>46049</v>
      </c>
      <c r="B1747" s="1" t="s">
        <v>8198</v>
      </c>
      <c r="C1747" s="1" t="s">
        <v>8199</v>
      </c>
      <c r="D1747" s="1" t="s">
        <v>7296</v>
      </c>
      <c r="E1747" s="1">
        <v>86047</v>
      </c>
      <c r="F1747" s="1" t="s">
        <v>8200</v>
      </c>
      <c r="G1747" s="39" t="s">
        <v>7865</v>
      </c>
      <c r="H1747" s="4" t="s">
        <v>570</v>
      </c>
      <c r="I1747" s="5" t="s">
        <v>2451</v>
      </c>
      <c r="J1747" s="5" t="s">
        <v>24</v>
      </c>
      <c r="K1747" s="5" t="s">
        <v>24</v>
      </c>
      <c r="L1747" s="5" t="s">
        <v>8201</v>
      </c>
      <c r="M1747" s="5" t="s">
        <v>24</v>
      </c>
      <c r="N1747" s="5" t="s">
        <v>24</v>
      </c>
      <c r="O1747" s="5" t="s">
        <v>75</v>
      </c>
      <c r="Q1747" s="41">
        <v>46057</v>
      </c>
      <c r="R1747" s="1" t="s">
        <v>7066</v>
      </c>
      <c r="V1747" s="1">
        <f t="shared" si="27"/>
        <v>1</v>
      </c>
      <c r="W1747" s="1" t="s">
        <v>8202</v>
      </c>
      <c r="X1747" s="32"/>
    </row>
    <row r="1748" spans="1:24">
      <c r="A1748" s="2">
        <v>46049</v>
      </c>
      <c r="B1748" s="1" t="s">
        <v>8203</v>
      </c>
      <c r="C1748" s="1" t="s">
        <v>3254</v>
      </c>
      <c r="D1748" s="1" t="s">
        <v>2564</v>
      </c>
      <c r="E1748" s="1">
        <v>85338</v>
      </c>
      <c r="F1748" s="1" t="s">
        <v>8204</v>
      </c>
      <c r="G1748" s="39" t="s">
        <v>7865</v>
      </c>
      <c r="H1748" s="4" t="s">
        <v>2042</v>
      </c>
      <c r="I1748" s="5" t="s">
        <v>2412</v>
      </c>
      <c r="J1748" s="5" t="s">
        <v>24</v>
      </c>
      <c r="K1748" s="5" t="s">
        <v>24</v>
      </c>
      <c r="L1748" s="5" t="s">
        <v>75</v>
      </c>
      <c r="M1748" s="5" t="s">
        <v>24</v>
      </c>
      <c r="N1748" s="5" t="s">
        <v>24</v>
      </c>
      <c r="O1748" s="5" t="s">
        <v>75</v>
      </c>
      <c r="P1748" s="5" t="s">
        <v>2413</v>
      </c>
      <c r="Q1748" s="2">
        <v>46058</v>
      </c>
      <c r="V1748" s="1">
        <f t="shared" si="27"/>
        <v>1</v>
      </c>
      <c r="W1748" s="1" t="s">
        <v>8205</v>
      </c>
    </row>
    <row r="1749" spans="1:24">
      <c r="A1749" s="2">
        <v>46049</v>
      </c>
      <c r="B1749" s="1" t="s">
        <v>8206</v>
      </c>
      <c r="C1749" s="1" t="s">
        <v>6517</v>
      </c>
      <c r="D1749" s="1" t="s">
        <v>2513</v>
      </c>
      <c r="E1749" s="1">
        <v>85254</v>
      </c>
      <c r="F1749" s="1" t="s">
        <v>8207</v>
      </c>
      <c r="G1749" s="39" t="s">
        <v>7865</v>
      </c>
      <c r="H1749" s="4" t="s">
        <v>2044</v>
      </c>
      <c r="I1749" s="5" t="s">
        <v>2412</v>
      </c>
      <c r="J1749" s="5" t="s">
        <v>24</v>
      </c>
      <c r="K1749" s="5" t="s">
        <v>24</v>
      </c>
      <c r="L1749" s="5" t="s">
        <v>75</v>
      </c>
      <c r="M1749" s="5" t="s">
        <v>24</v>
      </c>
      <c r="N1749" s="5" t="s">
        <v>24</v>
      </c>
      <c r="O1749" s="5" t="s">
        <v>75</v>
      </c>
      <c r="P1749" s="5" t="s">
        <v>2413</v>
      </c>
      <c r="Q1749" s="2">
        <v>46058</v>
      </c>
      <c r="V1749" s="1">
        <f t="shared" si="27"/>
        <v>1</v>
      </c>
      <c r="W1749" s="1" t="s">
        <v>8208</v>
      </c>
    </row>
    <row r="1750" spans="1:24">
      <c r="A1750" s="2">
        <v>46049</v>
      </c>
      <c r="B1750" s="1" t="s">
        <v>8209</v>
      </c>
      <c r="C1750" s="1" t="s">
        <v>7079</v>
      </c>
      <c r="D1750" s="1" t="s">
        <v>3073</v>
      </c>
      <c r="E1750" s="1">
        <v>85364</v>
      </c>
      <c r="F1750" s="1" t="s">
        <v>8210</v>
      </c>
      <c r="G1750" s="39" t="s">
        <v>7865</v>
      </c>
      <c r="H1750" s="4" t="s">
        <v>2046</v>
      </c>
      <c r="I1750" s="5" t="s">
        <v>2988</v>
      </c>
      <c r="J1750" s="5" t="s">
        <v>24</v>
      </c>
      <c r="K1750" s="5" t="s">
        <v>24</v>
      </c>
      <c r="L1750" s="5" t="s">
        <v>7158</v>
      </c>
      <c r="M1750" s="5" t="s">
        <v>24</v>
      </c>
      <c r="N1750" s="5" t="s">
        <v>24</v>
      </c>
      <c r="O1750" s="5" t="s">
        <v>75</v>
      </c>
      <c r="P1750" s="5" t="s">
        <v>2413</v>
      </c>
      <c r="Q1750" s="2">
        <v>46058</v>
      </c>
      <c r="V1750" s="1">
        <f t="shared" si="27"/>
        <v>1</v>
      </c>
      <c r="W1750" s="1" t="s">
        <v>8211</v>
      </c>
    </row>
    <row r="1751" spans="1:24">
      <c r="A1751" s="2">
        <v>46049</v>
      </c>
      <c r="B1751" s="1" t="s">
        <v>3447</v>
      </c>
      <c r="C1751" s="1" t="s">
        <v>8212</v>
      </c>
      <c r="D1751" s="1" t="s">
        <v>2398</v>
      </c>
      <c r="E1751" s="1">
        <v>85304</v>
      </c>
      <c r="F1751" s="1" t="s">
        <v>8213</v>
      </c>
      <c r="G1751" s="39" t="s">
        <v>7865</v>
      </c>
      <c r="H1751" s="4" t="s">
        <v>2048</v>
      </c>
      <c r="I1751" s="5" t="s">
        <v>2412</v>
      </c>
      <c r="J1751" s="5" t="s">
        <v>24</v>
      </c>
      <c r="K1751" s="5" t="s">
        <v>24</v>
      </c>
      <c r="L1751" s="5" t="s">
        <v>75</v>
      </c>
      <c r="M1751" s="5" t="s">
        <v>24</v>
      </c>
      <c r="N1751" s="5" t="s">
        <v>24</v>
      </c>
      <c r="O1751" s="5" t="s">
        <v>75</v>
      </c>
      <c r="P1751" s="5" t="s">
        <v>2413</v>
      </c>
      <c r="Q1751" s="2">
        <v>46058</v>
      </c>
      <c r="V1751" s="1">
        <f t="shared" si="27"/>
        <v>1</v>
      </c>
      <c r="W1751" s="1" t="s">
        <v>8214</v>
      </c>
    </row>
    <row r="1752" spans="1:24">
      <c r="A1752" s="2">
        <v>46049</v>
      </c>
      <c r="B1752" s="1" t="s">
        <v>8215</v>
      </c>
      <c r="C1752" s="1" t="s">
        <v>8216</v>
      </c>
      <c r="D1752" s="1" t="s">
        <v>2570</v>
      </c>
      <c r="E1752" s="1">
        <v>85326</v>
      </c>
      <c r="F1752" s="1" t="s">
        <v>8217</v>
      </c>
      <c r="G1752" s="39" t="s">
        <v>7865</v>
      </c>
      <c r="H1752" s="4" t="s">
        <v>2401</v>
      </c>
      <c r="V1752" s="1">
        <f t="shared" si="27"/>
        <v>1</v>
      </c>
      <c r="W1752" s="1" t="s">
        <v>8218</v>
      </c>
    </row>
    <row r="1753" spans="1:24">
      <c r="A1753" s="2">
        <v>46049</v>
      </c>
      <c r="B1753" s="1" t="s">
        <v>8219</v>
      </c>
      <c r="C1753" s="1" t="s">
        <v>2521</v>
      </c>
      <c r="D1753" s="1" t="s">
        <v>2439</v>
      </c>
      <c r="E1753" s="1">
        <v>85020</v>
      </c>
      <c r="F1753" s="1" t="s">
        <v>8220</v>
      </c>
      <c r="G1753" s="39" t="s">
        <v>7865</v>
      </c>
      <c r="H1753" s="4" t="s">
        <v>716</v>
      </c>
      <c r="I1753" s="5" t="s">
        <v>2412</v>
      </c>
      <c r="J1753" s="5" t="s">
        <v>24</v>
      </c>
      <c r="K1753" s="5" t="s">
        <v>24</v>
      </c>
      <c r="L1753" s="5" t="s">
        <v>75</v>
      </c>
      <c r="M1753" s="5" t="s">
        <v>75</v>
      </c>
      <c r="N1753" s="13">
        <v>393.41</v>
      </c>
      <c r="O1753" s="5" t="s">
        <v>75</v>
      </c>
      <c r="Q1753" s="41">
        <v>46058</v>
      </c>
      <c r="R1753" s="1" t="s">
        <v>7780</v>
      </c>
      <c r="V1753" s="1">
        <f t="shared" si="27"/>
        <v>1</v>
      </c>
      <c r="W1753" s="1" t="s">
        <v>8221</v>
      </c>
      <c r="X1753" s="32"/>
    </row>
    <row r="1754" spans="1:24">
      <c r="A1754" s="2">
        <v>46049</v>
      </c>
      <c r="B1754" s="1" t="s">
        <v>8222</v>
      </c>
      <c r="C1754" s="1" t="s">
        <v>2417</v>
      </c>
      <c r="D1754" s="1" t="s">
        <v>6576</v>
      </c>
      <c r="E1754" s="1">
        <v>86337</v>
      </c>
      <c r="F1754" s="1" t="s">
        <v>8223</v>
      </c>
      <c r="G1754" s="39" t="s">
        <v>7865</v>
      </c>
      <c r="H1754" s="4" t="s">
        <v>2401</v>
      </c>
      <c r="V1754" s="1">
        <f t="shared" si="27"/>
        <v>1</v>
      </c>
      <c r="W1754" s="1" t="s">
        <v>8224</v>
      </c>
    </row>
    <row r="1755" spans="1:24">
      <c r="A1755" s="2">
        <v>46049</v>
      </c>
      <c r="B1755" s="1" t="s">
        <v>8225</v>
      </c>
      <c r="C1755" s="1" t="s">
        <v>4484</v>
      </c>
      <c r="D1755" s="1" t="s">
        <v>2439</v>
      </c>
      <c r="E1755" s="1">
        <v>85028</v>
      </c>
      <c r="F1755" s="1" t="s">
        <v>8226</v>
      </c>
      <c r="G1755" s="39" t="s">
        <v>7865</v>
      </c>
      <c r="H1755" s="4" t="s">
        <v>2050</v>
      </c>
      <c r="I1755" s="5" t="s">
        <v>2412</v>
      </c>
      <c r="J1755" s="5" t="s">
        <v>24</v>
      </c>
      <c r="K1755" s="5" t="s">
        <v>24</v>
      </c>
      <c r="L1755" s="5" t="s">
        <v>75</v>
      </c>
      <c r="M1755" s="5" t="s">
        <v>24</v>
      </c>
      <c r="N1755" s="5" t="s">
        <v>24</v>
      </c>
      <c r="O1755" s="5" t="s">
        <v>75</v>
      </c>
      <c r="P1755" s="5" t="s">
        <v>2413</v>
      </c>
      <c r="Q1755" s="2">
        <v>46058</v>
      </c>
      <c r="V1755" s="1">
        <f t="shared" si="27"/>
        <v>1</v>
      </c>
      <c r="W1755" s="1" t="s">
        <v>8227</v>
      </c>
    </row>
    <row r="1756" spans="1:24">
      <c r="A1756" s="2">
        <v>46049</v>
      </c>
      <c r="B1756" s="1" t="s">
        <v>8228</v>
      </c>
      <c r="C1756" s="1" t="s">
        <v>2851</v>
      </c>
      <c r="D1756" s="1" t="s">
        <v>2439</v>
      </c>
      <c r="E1756" s="1">
        <v>85022</v>
      </c>
      <c r="F1756" s="1" t="s">
        <v>8229</v>
      </c>
      <c r="G1756" s="39" t="s">
        <v>7865</v>
      </c>
      <c r="H1756" s="4" t="s">
        <v>2401</v>
      </c>
      <c r="V1756" s="1">
        <f t="shared" si="27"/>
        <v>1</v>
      </c>
      <c r="W1756" s="1" t="s">
        <v>8230</v>
      </c>
    </row>
    <row r="1757" spans="1:24">
      <c r="A1757" s="2">
        <v>46049</v>
      </c>
      <c r="B1757" s="1" t="s">
        <v>3270</v>
      </c>
      <c r="C1757" s="1" t="s">
        <v>2527</v>
      </c>
      <c r="D1757" s="1" t="s">
        <v>2674</v>
      </c>
      <c r="E1757" s="1">
        <v>86315</v>
      </c>
      <c r="F1757" s="1" t="s">
        <v>8231</v>
      </c>
      <c r="G1757" s="39" t="s">
        <v>7865</v>
      </c>
      <c r="H1757" s="4" t="s">
        <v>2052</v>
      </c>
      <c r="I1757" s="5" t="s">
        <v>2451</v>
      </c>
      <c r="J1757" s="5" t="s">
        <v>24</v>
      </c>
      <c r="K1757" s="5" t="s">
        <v>24</v>
      </c>
      <c r="L1757" s="5" t="s">
        <v>75</v>
      </c>
      <c r="M1757" s="5" t="s">
        <v>24</v>
      </c>
      <c r="N1757" s="5" t="s">
        <v>24</v>
      </c>
      <c r="O1757" s="5" t="s">
        <v>75</v>
      </c>
      <c r="P1757" s="5" t="s">
        <v>2413</v>
      </c>
      <c r="Q1757" s="2">
        <v>46058</v>
      </c>
      <c r="V1757" s="1">
        <f t="shared" si="27"/>
        <v>1</v>
      </c>
      <c r="W1757" s="1" t="s">
        <v>8232</v>
      </c>
    </row>
    <row r="1758" spans="1:24">
      <c r="A1758" s="2">
        <v>46049</v>
      </c>
      <c r="B1758" s="1" t="s">
        <v>3722</v>
      </c>
      <c r="C1758" s="1" t="s">
        <v>2521</v>
      </c>
      <c r="D1758" s="1" t="s">
        <v>3073</v>
      </c>
      <c r="E1758" s="1">
        <v>85365</v>
      </c>
      <c r="F1758" s="1" t="s">
        <v>8233</v>
      </c>
      <c r="G1758" s="39" t="s">
        <v>7865</v>
      </c>
      <c r="H1758" s="4" t="s">
        <v>2054</v>
      </c>
      <c r="I1758" s="5" t="s">
        <v>2412</v>
      </c>
      <c r="J1758" s="5" t="s">
        <v>75</v>
      </c>
      <c r="K1758" s="5" t="s">
        <v>24</v>
      </c>
      <c r="L1758" s="5" t="s">
        <v>75</v>
      </c>
      <c r="M1758" s="5" t="s">
        <v>24</v>
      </c>
      <c r="N1758" s="5" t="s">
        <v>24</v>
      </c>
      <c r="O1758" s="5" t="s">
        <v>75</v>
      </c>
      <c r="P1758" s="5" t="s">
        <v>2413</v>
      </c>
      <c r="Q1758" s="2">
        <v>46058</v>
      </c>
      <c r="V1758" s="1">
        <f t="shared" si="27"/>
        <v>1</v>
      </c>
      <c r="W1758" s="1" t="s">
        <v>8234</v>
      </c>
    </row>
    <row r="1759" spans="1:24">
      <c r="A1759" s="2">
        <v>46049</v>
      </c>
      <c r="B1759" s="1" t="s">
        <v>8235</v>
      </c>
      <c r="C1759" s="1" t="s">
        <v>8236</v>
      </c>
      <c r="D1759" s="1" t="s">
        <v>2439</v>
      </c>
      <c r="E1759" s="1">
        <v>85085</v>
      </c>
      <c r="F1759" s="1" t="s">
        <v>8237</v>
      </c>
      <c r="G1759" s="39" t="s">
        <v>7865</v>
      </c>
      <c r="H1759" s="4" t="s">
        <v>2401</v>
      </c>
      <c r="V1759" s="1">
        <f t="shared" si="27"/>
        <v>1</v>
      </c>
      <c r="W1759" s="1" t="s">
        <v>8238</v>
      </c>
    </row>
    <row r="1760" spans="1:24">
      <c r="A1760" s="2">
        <v>46049</v>
      </c>
      <c r="B1760" s="1" t="s">
        <v>3461</v>
      </c>
      <c r="C1760" s="1" t="s">
        <v>8239</v>
      </c>
      <c r="D1760" s="1" t="s">
        <v>5020</v>
      </c>
      <c r="E1760" s="1">
        <v>85321</v>
      </c>
      <c r="F1760" s="1" t="s">
        <v>8240</v>
      </c>
      <c r="G1760" s="39" t="s">
        <v>7865</v>
      </c>
      <c r="H1760" s="4" t="s">
        <v>2056</v>
      </c>
      <c r="I1760" s="5" t="s">
        <v>2451</v>
      </c>
      <c r="J1760" s="5" t="s">
        <v>24</v>
      </c>
      <c r="K1760" s="5" t="s">
        <v>24</v>
      </c>
      <c r="L1760" s="5" t="s">
        <v>75</v>
      </c>
      <c r="M1760" s="5" t="s">
        <v>24</v>
      </c>
      <c r="N1760" s="5" t="s">
        <v>24</v>
      </c>
      <c r="O1760" s="5" t="s">
        <v>75</v>
      </c>
      <c r="P1760" s="5" t="s">
        <v>2413</v>
      </c>
      <c r="Q1760" s="2">
        <v>46058</v>
      </c>
      <c r="V1760" s="1">
        <f t="shared" si="27"/>
        <v>1</v>
      </c>
      <c r="W1760" s="1" t="s">
        <v>8241</v>
      </c>
    </row>
    <row r="1761" spans="1:24">
      <c r="A1761" s="2">
        <v>46049</v>
      </c>
      <c r="B1761" s="1" t="s">
        <v>8242</v>
      </c>
      <c r="C1761" s="1" t="s">
        <v>6334</v>
      </c>
      <c r="D1761" s="1" t="s">
        <v>2843</v>
      </c>
      <c r="E1761" s="1">
        <v>85123</v>
      </c>
      <c r="F1761" s="1" t="s">
        <v>8243</v>
      </c>
      <c r="G1761" s="39" t="s">
        <v>7865</v>
      </c>
      <c r="H1761" s="4" t="s">
        <v>2058</v>
      </c>
      <c r="I1761" s="5" t="s">
        <v>2412</v>
      </c>
      <c r="J1761" s="5" t="s">
        <v>24</v>
      </c>
      <c r="K1761" s="5" t="s">
        <v>24</v>
      </c>
      <c r="L1761" s="5" t="s">
        <v>75</v>
      </c>
      <c r="M1761" s="5" t="s">
        <v>24</v>
      </c>
      <c r="N1761" s="5" t="s">
        <v>24</v>
      </c>
      <c r="O1761" s="5" t="s">
        <v>75</v>
      </c>
      <c r="P1761" s="5" t="s">
        <v>2413</v>
      </c>
      <c r="Q1761" s="2">
        <v>46058</v>
      </c>
      <c r="V1761" s="1">
        <f t="shared" si="27"/>
        <v>1</v>
      </c>
      <c r="W1761" s="1" t="s">
        <v>8244</v>
      </c>
    </row>
    <row r="1762" spans="1:24">
      <c r="A1762" s="2">
        <v>46049</v>
      </c>
      <c r="B1762" s="1" t="s">
        <v>3447</v>
      </c>
      <c r="C1762" s="1" t="s">
        <v>5909</v>
      </c>
      <c r="D1762" s="1" t="s">
        <v>2498</v>
      </c>
      <c r="E1762" s="1">
        <v>85379</v>
      </c>
      <c r="F1762" s="1" t="s">
        <v>8245</v>
      </c>
      <c r="G1762" s="39" t="s">
        <v>7865</v>
      </c>
      <c r="H1762" s="4" t="s">
        <v>2060</v>
      </c>
      <c r="I1762" s="5" t="s">
        <v>2412</v>
      </c>
      <c r="J1762" s="5" t="s">
        <v>24</v>
      </c>
      <c r="K1762" s="5" t="s">
        <v>24</v>
      </c>
      <c r="L1762" s="5" t="s">
        <v>75</v>
      </c>
      <c r="M1762" s="5" t="s">
        <v>24</v>
      </c>
      <c r="N1762" s="5" t="s">
        <v>24</v>
      </c>
      <c r="O1762" s="5" t="s">
        <v>75</v>
      </c>
      <c r="P1762" s="5" t="s">
        <v>2413</v>
      </c>
      <c r="Q1762" s="2">
        <v>46058</v>
      </c>
      <c r="V1762" s="1">
        <f t="shared" si="27"/>
        <v>1</v>
      </c>
      <c r="W1762" s="131" t="s">
        <v>8246</v>
      </c>
    </row>
    <row r="1763" spans="1:24">
      <c r="A1763" s="2">
        <v>46049</v>
      </c>
      <c r="B1763" s="1" t="s">
        <v>5852</v>
      </c>
      <c r="C1763" s="1" t="s">
        <v>5964</v>
      </c>
      <c r="D1763" s="1" t="s">
        <v>8247</v>
      </c>
      <c r="E1763" s="1">
        <v>86334</v>
      </c>
      <c r="F1763" s="1" t="s">
        <v>8248</v>
      </c>
      <c r="G1763" s="39" t="s">
        <v>7865</v>
      </c>
      <c r="H1763" s="4" t="s">
        <v>2062</v>
      </c>
      <c r="I1763" s="5" t="s">
        <v>2420</v>
      </c>
      <c r="J1763" s="5" t="s">
        <v>24</v>
      </c>
      <c r="K1763" s="5" t="s">
        <v>24</v>
      </c>
      <c r="L1763" s="5" t="s">
        <v>75</v>
      </c>
      <c r="M1763" s="5" t="s">
        <v>24</v>
      </c>
      <c r="N1763" s="5" t="s">
        <v>24</v>
      </c>
      <c r="O1763" s="5" t="s">
        <v>75</v>
      </c>
      <c r="P1763" s="5" t="s">
        <v>2413</v>
      </c>
      <c r="Q1763" s="2">
        <v>46058</v>
      </c>
      <c r="V1763" s="1">
        <f t="shared" si="27"/>
        <v>1</v>
      </c>
      <c r="W1763" s="1" t="s">
        <v>8249</v>
      </c>
    </row>
    <row r="1764" spans="1:24">
      <c r="A1764" s="2">
        <v>46049</v>
      </c>
      <c r="B1764" s="1" t="s">
        <v>4713</v>
      </c>
      <c r="C1764" s="1" t="s">
        <v>8250</v>
      </c>
      <c r="D1764" s="1" t="s">
        <v>2439</v>
      </c>
      <c r="E1764" s="1">
        <v>85023</v>
      </c>
      <c r="F1764" s="1" t="s">
        <v>8251</v>
      </c>
      <c r="G1764" s="39" t="s">
        <v>7865</v>
      </c>
      <c r="H1764" s="4" t="s">
        <v>2064</v>
      </c>
      <c r="I1764" s="5" t="s">
        <v>2412</v>
      </c>
      <c r="J1764" s="5" t="s">
        <v>75</v>
      </c>
      <c r="K1764" s="5" t="s">
        <v>24</v>
      </c>
      <c r="L1764" s="5" t="s">
        <v>75</v>
      </c>
      <c r="M1764" s="5" t="s">
        <v>24</v>
      </c>
      <c r="N1764" s="5" t="s">
        <v>24</v>
      </c>
      <c r="O1764" s="5" t="s">
        <v>75</v>
      </c>
      <c r="P1764" s="5" t="s">
        <v>2413</v>
      </c>
      <c r="Q1764" s="2">
        <v>46058</v>
      </c>
      <c r="V1764" s="1">
        <f t="shared" si="27"/>
        <v>1</v>
      </c>
      <c r="W1764" s="1" t="s">
        <v>8252</v>
      </c>
    </row>
    <row r="1765" spans="1:24">
      <c r="A1765" s="2">
        <v>46049</v>
      </c>
      <c r="B1765" s="1" t="s">
        <v>8253</v>
      </c>
      <c r="C1765" s="1" t="s">
        <v>8254</v>
      </c>
      <c r="D1765" s="1" t="s">
        <v>2513</v>
      </c>
      <c r="E1765" s="1">
        <v>85260</v>
      </c>
      <c r="F1765" s="1" t="s">
        <v>8255</v>
      </c>
      <c r="G1765" s="39" t="s">
        <v>7865</v>
      </c>
      <c r="H1765" s="4" t="s">
        <v>2401</v>
      </c>
      <c r="V1765" s="1">
        <f t="shared" si="27"/>
        <v>1</v>
      </c>
      <c r="W1765" s="1" t="s">
        <v>8256</v>
      </c>
    </row>
    <row r="1766" spans="1:24">
      <c r="A1766" s="2">
        <v>46049</v>
      </c>
      <c r="B1766" s="1" t="s">
        <v>6260</v>
      </c>
      <c r="C1766" s="1" t="s">
        <v>3165</v>
      </c>
      <c r="D1766" s="1" t="s">
        <v>6419</v>
      </c>
      <c r="E1766" s="1">
        <v>86324</v>
      </c>
      <c r="F1766" s="1" t="s">
        <v>8257</v>
      </c>
      <c r="G1766" s="39" t="s">
        <v>7865</v>
      </c>
      <c r="H1766" s="4" t="s">
        <v>2401</v>
      </c>
      <c r="V1766" s="1">
        <f t="shared" si="27"/>
        <v>1</v>
      </c>
      <c r="W1766" s="1" t="s">
        <v>8258</v>
      </c>
    </row>
    <row r="1767" spans="1:24">
      <c r="A1767" s="2">
        <v>46049</v>
      </c>
      <c r="B1767" s="1" t="s">
        <v>8259</v>
      </c>
      <c r="C1767" s="1" t="s">
        <v>8260</v>
      </c>
      <c r="D1767" s="1" t="s">
        <v>2498</v>
      </c>
      <c r="E1767" s="1">
        <v>85388</v>
      </c>
      <c r="F1767" s="1" t="s">
        <v>8261</v>
      </c>
      <c r="G1767" s="39" t="s">
        <v>7865</v>
      </c>
      <c r="H1767" s="4" t="s">
        <v>2066</v>
      </c>
      <c r="I1767" s="5" t="s">
        <v>2412</v>
      </c>
      <c r="J1767" s="5" t="s">
        <v>24</v>
      </c>
      <c r="K1767" s="5" t="s">
        <v>24</v>
      </c>
      <c r="L1767" s="5" t="s">
        <v>75</v>
      </c>
      <c r="M1767" s="5" t="s">
        <v>24</v>
      </c>
      <c r="N1767" s="5" t="s">
        <v>24</v>
      </c>
      <c r="O1767" s="5" t="s">
        <v>75</v>
      </c>
      <c r="P1767" s="5" t="s">
        <v>2413</v>
      </c>
      <c r="Q1767" s="2">
        <v>46058</v>
      </c>
      <c r="V1767" s="1">
        <f t="shared" si="27"/>
        <v>1</v>
      </c>
      <c r="W1767" s="1" t="s">
        <v>8262</v>
      </c>
    </row>
    <row r="1768" spans="1:24">
      <c r="A1768" s="2">
        <v>46049</v>
      </c>
      <c r="B1768" s="1" t="s">
        <v>5644</v>
      </c>
      <c r="C1768" s="1" t="s">
        <v>8263</v>
      </c>
      <c r="D1768" s="1" t="s">
        <v>3615</v>
      </c>
      <c r="E1768" s="1">
        <v>85268</v>
      </c>
      <c r="F1768" s="1" t="s">
        <v>8264</v>
      </c>
      <c r="G1768" s="39" t="s">
        <v>7865</v>
      </c>
      <c r="H1768" s="4" t="s">
        <v>2401</v>
      </c>
      <c r="V1768" s="1">
        <f t="shared" si="27"/>
        <v>1</v>
      </c>
      <c r="W1768" s="1" t="s">
        <v>8265</v>
      </c>
    </row>
    <row r="1769" spans="1:24">
      <c r="A1769" s="2">
        <v>46049</v>
      </c>
      <c r="B1769" s="1" t="s">
        <v>8266</v>
      </c>
      <c r="C1769" s="1" t="s">
        <v>8267</v>
      </c>
      <c r="D1769" s="1" t="s">
        <v>2678</v>
      </c>
      <c r="E1769" s="1">
        <v>85541</v>
      </c>
      <c r="F1769" s="1" t="s">
        <v>8268</v>
      </c>
      <c r="G1769" s="39" t="s">
        <v>7865</v>
      </c>
      <c r="H1769" s="4" t="s">
        <v>2401</v>
      </c>
      <c r="V1769" s="1">
        <f t="shared" si="27"/>
        <v>1</v>
      </c>
      <c r="W1769" s="1" t="s">
        <v>8269</v>
      </c>
    </row>
    <row r="1770" spans="1:24">
      <c r="A1770" s="2">
        <v>46049</v>
      </c>
      <c r="B1770" s="1" t="s">
        <v>8270</v>
      </c>
      <c r="C1770" s="1" t="s">
        <v>3530</v>
      </c>
      <c r="D1770" s="1" t="s">
        <v>2398</v>
      </c>
      <c r="E1770" s="1">
        <v>85303</v>
      </c>
      <c r="F1770" s="1" t="s">
        <v>8271</v>
      </c>
      <c r="G1770" s="39" t="s">
        <v>7865</v>
      </c>
      <c r="H1770" s="4" t="s">
        <v>2401</v>
      </c>
      <c r="V1770" s="1">
        <f t="shared" si="27"/>
        <v>1</v>
      </c>
      <c r="W1770" s="1" t="s">
        <v>8272</v>
      </c>
    </row>
    <row r="1771" spans="1:24">
      <c r="A1771" s="2">
        <v>46049</v>
      </c>
      <c r="B1771" s="1" t="s">
        <v>7310</v>
      </c>
      <c r="C1771" s="1" t="s">
        <v>7428</v>
      </c>
      <c r="D1771" s="1" t="s">
        <v>2475</v>
      </c>
      <c r="E1771" s="1">
        <v>85351</v>
      </c>
      <c r="F1771" s="1" t="s">
        <v>8273</v>
      </c>
      <c r="G1771" s="39" t="s">
        <v>7865</v>
      </c>
      <c r="H1771" s="4" t="s">
        <v>2068</v>
      </c>
      <c r="I1771" s="5" t="s">
        <v>7340</v>
      </c>
      <c r="J1771" s="5" t="s">
        <v>24</v>
      </c>
      <c r="K1771" s="5" t="s">
        <v>24</v>
      </c>
      <c r="L1771" s="5" t="s">
        <v>7158</v>
      </c>
      <c r="M1771" s="5" t="s">
        <v>24</v>
      </c>
      <c r="N1771" s="5" t="s">
        <v>24</v>
      </c>
      <c r="O1771" s="5" t="s">
        <v>75</v>
      </c>
      <c r="P1771" s="5" t="s">
        <v>2413</v>
      </c>
      <c r="Q1771" s="2">
        <v>46058</v>
      </c>
      <c r="V1771" s="1">
        <f t="shared" si="27"/>
        <v>1</v>
      </c>
      <c r="W1771" s="1" t="s">
        <v>8274</v>
      </c>
    </row>
    <row r="1772" spans="1:24">
      <c r="A1772" s="2">
        <v>46049</v>
      </c>
      <c r="B1772" s="1" t="s">
        <v>8275</v>
      </c>
      <c r="C1772" s="1" t="s">
        <v>2929</v>
      </c>
      <c r="D1772" s="1" t="s">
        <v>7273</v>
      </c>
      <c r="E1772" s="1">
        <v>85086</v>
      </c>
      <c r="F1772" s="1" t="s">
        <v>8276</v>
      </c>
      <c r="G1772" s="39" t="s">
        <v>7865</v>
      </c>
      <c r="H1772" s="4" t="s">
        <v>2070</v>
      </c>
      <c r="I1772" s="5" t="s">
        <v>2412</v>
      </c>
      <c r="J1772" s="5" t="s">
        <v>24</v>
      </c>
      <c r="K1772" s="5" t="s">
        <v>24</v>
      </c>
      <c r="L1772" s="5" t="s">
        <v>75</v>
      </c>
      <c r="M1772" s="5" t="s">
        <v>24</v>
      </c>
      <c r="N1772" s="5" t="s">
        <v>24</v>
      </c>
      <c r="O1772" s="5" t="s">
        <v>75</v>
      </c>
      <c r="P1772" s="5" t="s">
        <v>2413</v>
      </c>
      <c r="Q1772" s="2">
        <v>46058</v>
      </c>
      <c r="V1772" s="1">
        <f t="shared" si="27"/>
        <v>1</v>
      </c>
      <c r="W1772" s="1" t="s">
        <v>8277</v>
      </c>
    </row>
    <row r="1773" spans="1:24">
      <c r="A1773" s="2">
        <v>46049</v>
      </c>
      <c r="B1773" s="1" t="s">
        <v>7571</v>
      </c>
      <c r="C1773" s="1" t="s">
        <v>8278</v>
      </c>
      <c r="D1773" s="1" t="s">
        <v>2950</v>
      </c>
      <c r="E1773" s="1">
        <v>86004</v>
      </c>
      <c r="F1773" s="1" t="s">
        <v>8279</v>
      </c>
      <c r="G1773" s="39" t="s">
        <v>7865</v>
      </c>
      <c r="H1773" s="4" t="s">
        <v>2072</v>
      </c>
      <c r="I1773" s="5" t="s">
        <v>2451</v>
      </c>
      <c r="J1773" s="5" t="s">
        <v>75</v>
      </c>
      <c r="K1773" s="5" t="s">
        <v>24</v>
      </c>
      <c r="L1773" s="5" t="s">
        <v>75</v>
      </c>
      <c r="M1773" s="5" t="s">
        <v>24</v>
      </c>
      <c r="N1773" s="5" t="s">
        <v>24</v>
      </c>
      <c r="O1773" s="5" t="s">
        <v>75</v>
      </c>
      <c r="P1773" s="5" t="s">
        <v>2413</v>
      </c>
      <c r="Q1773" s="2">
        <v>46058</v>
      </c>
      <c r="V1773" s="1">
        <f t="shared" si="27"/>
        <v>1</v>
      </c>
      <c r="W1773" s="1" t="s">
        <v>8280</v>
      </c>
    </row>
    <row r="1774" spans="1:24">
      <c r="A1774" s="2">
        <v>46049</v>
      </c>
      <c r="B1774" s="1" t="s">
        <v>8281</v>
      </c>
      <c r="C1774" s="1" t="s">
        <v>8282</v>
      </c>
      <c r="D1774" s="1" t="s">
        <v>3073</v>
      </c>
      <c r="E1774" s="1">
        <v>85364</v>
      </c>
      <c r="F1774" s="1" t="s">
        <v>8283</v>
      </c>
      <c r="G1774" s="39" t="s">
        <v>7865</v>
      </c>
      <c r="H1774" s="4" t="s">
        <v>2401</v>
      </c>
      <c r="Q1774" s="18"/>
      <c r="V1774" s="1">
        <f t="shared" si="27"/>
        <v>1</v>
      </c>
      <c r="W1774" s="1" t="s">
        <v>8284</v>
      </c>
      <c r="X1774" s="34"/>
    </row>
    <row r="1775" spans="1:24">
      <c r="A1775" s="2">
        <v>46049</v>
      </c>
      <c r="B1775" s="1" t="s">
        <v>8285</v>
      </c>
      <c r="C1775" s="1" t="s">
        <v>5964</v>
      </c>
      <c r="D1775" s="1" t="s">
        <v>2475</v>
      </c>
      <c r="E1775" s="1">
        <v>85373</v>
      </c>
      <c r="F1775" s="1" t="s">
        <v>8286</v>
      </c>
      <c r="G1775" s="39" t="s">
        <v>7865</v>
      </c>
      <c r="H1775" s="4" t="s">
        <v>2074</v>
      </c>
      <c r="I1775" s="5" t="s">
        <v>6911</v>
      </c>
      <c r="J1775" s="5" t="s">
        <v>75</v>
      </c>
      <c r="K1775" s="5" t="s">
        <v>24</v>
      </c>
      <c r="L1775" s="5" t="s">
        <v>7158</v>
      </c>
      <c r="M1775" s="5" t="s">
        <v>24</v>
      </c>
      <c r="N1775" s="5" t="s">
        <v>24</v>
      </c>
      <c r="O1775" s="5" t="s">
        <v>75</v>
      </c>
      <c r="P1775" s="5" t="s">
        <v>2413</v>
      </c>
      <c r="Q1775" s="2">
        <v>46058</v>
      </c>
      <c r="V1775" s="1">
        <f t="shared" si="27"/>
        <v>1</v>
      </c>
      <c r="W1775" s="1" t="s">
        <v>8287</v>
      </c>
    </row>
    <row r="1776" spans="1:24">
      <c r="A1776" s="2">
        <v>46049</v>
      </c>
      <c r="B1776" s="1" t="s">
        <v>8288</v>
      </c>
      <c r="C1776" s="1" t="s">
        <v>8289</v>
      </c>
      <c r="D1776" s="1" t="s">
        <v>2465</v>
      </c>
      <c r="E1776" s="1">
        <v>86323</v>
      </c>
      <c r="F1776" s="1" t="s">
        <v>8290</v>
      </c>
      <c r="G1776" s="39" t="s">
        <v>7865</v>
      </c>
      <c r="H1776" s="4" t="s">
        <v>718</v>
      </c>
      <c r="I1776" s="5" t="s">
        <v>2412</v>
      </c>
      <c r="J1776" s="5" t="s">
        <v>75</v>
      </c>
      <c r="K1776" s="5" t="s">
        <v>24</v>
      </c>
      <c r="L1776" s="5" t="s">
        <v>75</v>
      </c>
      <c r="M1776" s="5" t="s">
        <v>75</v>
      </c>
      <c r="N1776" s="13">
        <v>1048.1600000000001</v>
      </c>
      <c r="O1776" s="5" t="s">
        <v>75</v>
      </c>
      <c r="Q1776" s="41">
        <v>46058</v>
      </c>
      <c r="R1776" s="1" t="s">
        <v>8291</v>
      </c>
      <c r="V1776" s="1">
        <f t="shared" si="27"/>
        <v>1</v>
      </c>
      <c r="W1776" s="1" t="s">
        <v>8292</v>
      </c>
      <c r="X1776" s="32"/>
    </row>
    <row r="1777" spans="1:23">
      <c r="A1777" s="2">
        <v>46049</v>
      </c>
      <c r="B1777" s="1" t="s">
        <v>3009</v>
      </c>
      <c r="C1777" s="1" t="s">
        <v>3117</v>
      </c>
      <c r="D1777" s="1" t="s">
        <v>2498</v>
      </c>
      <c r="E1777" s="1">
        <v>85388</v>
      </c>
      <c r="F1777" s="1" t="s">
        <v>8293</v>
      </c>
      <c r="G1777" s="39" t="s">
        <v>7865</v>
      </c>
      <c r="H1777" s="4" t="s">
        <v>2076</v>
      </c>
      <c r="I1777" s="5" t="s">
        <v>2412</v>
      </c>
      <c r="J1777" s="5" t="s">
        <v>24</v>
      </c>
      <c r="K1777" s="5" t="s">
        <v>24</v>
      </c>
      <c r="L1777" s="5" t="s">
        <v>75</v>
      </c>
      <c r="M1777" s="5" t="s">
        <v>24</v>
      </c>
      <c r="N1777" s="5" t="s">
        <v>24</v>
      </c>
      <c r="O1777" s="5" t="s">
        <v>75</v>
      </c>
      <c r="P1777" s="5" t="s">
        <v>2413</v>
      </c>
      <c r="Q1777" s="2">
        <v>46058</v>
      </c>
      <c r="R1777" s="1" t="s">
        <v>8294</v>
      </c>
      <c r="V1777" s="1">
        <f t="shared" si="27"/>
        <v>1</v>
      </c>
      <c r="W1777" s="1" t="s">
        <v>8295</v>
      </c>
    </row>
    <row r="1778" spans="1:23">
      <c r="A1778" s="2">
        <v>46049</v>
      </c>
      <c r="B1778" s="1" t="s">
        <v>5701</v>
      </c>
      <c r="C1778" s="1" t="s">
        <v>3666</v>
      </c>
      <c r="D1778" s="1" t="s">
        <v>2570</v>
      </c>
      <c r="E1778" s="1">
        <v>85396</v>
      </c>
      <c r="F1778" s="1" t="s">
        <v>8296</v>
      </c>
      <c r="G1778" s="39" t="s">
        <v>7865</v>
      </c>
      <c r="H1778" s="4" t="s">
        <v>2078</v>
      </c>
      <c r="I1778" s="5" t="s">
        <v>7340</v>
      </c>
      <c r="J1778" s="5" t="s">
        <v>24</v>
      </c>
      <c r="K1778" s="5" t="s">
        <v>24</v>
      </c>
      <c r="L1778" s="5" t="s">
        <v>7158</v>
      </c>
      <c r="M1778" s="5" t="s">
        <v>24</v>
      </c>
      <c r="N1778" s="5" t="s">
        <v>24</v>
      </c>
      <c r="O1778" s="5" t="s">
        <v>75</v>
      </c>
      <c r="P1778" s="5" t="s">
        <v>2413</v>
      </c>
      <c r="Q1778" s="2">
        <v>46058</v>
      </c>
      <c r="V1778" s="1">
        <f t="shared" si="27"/>
        <v>1</v>
      </c>
      <c r="W1778" s="1" t="s">
        <v>8297</v>
      </c>
    </row>
    <row r="1779" spans="1:23">
      <c r="A1779" s="2">
        <v>46049</v>
      </c>
      <c r="B1779" s="1" t="s">
        <v>2787</v>
      </c>
      <c r="C1779" s="1" t="s">
        <v>8298</v>
      </c>
      <c r="D1779" s="1" t="s">
        <v>2518</v>
      </c>
      <c r="E1779" s="1">
        <v>85233</v>
      </c>
      <c r="F1779" s="1" t="s">
        <v>8299</v>
      </c>
      <c r="G1779" s="39" t="s">
        <v>7865</v>
      </c>
      <c r="H1779" s="4" t="s">
        <v>2471</v>
      </c>
      <c r="R1779" s="1" t="s">
        <v>8033</v>
      </c>
      <c r="V1779" s="1">
        <f t="shared" si="27"/>
        <v>1</v>
      </c>
      <c r="W1779" s="1" t="s">
        <v>8300</v>
      </c>
    </row>
    <row r="1780" spans="1:23">
      <c r="A1780" s="2">
        <v>46049</v>
      </c>
      <c r="B1780" s="1" t="s">
        <v>8301</v>
      </c>
      <c r="C1780" s="1" t="s">
        <v>8302</v>
      </c>
      <c r="D1780" s="1" t="s">
        <v>2439</v>
      </c>
      <c r="E1780" s="1">
        <v>85029</v>
      </c>
      <c r="F1780" s="1" t="s">
        <v>8303</v>
      </c>
      <c r="G1780" s="39" t="s">
        <v>7865</v>
      </c>
      <c r="H1780" s="4" t="s">
        <v>2401</v>
      </c>
      <c r="V1780" s="1">
        <f t="shared" si="27"/>
        <v>1</v>
      </c>
      <c r="W1780" s="1" t="s">
        <v>8304</v>
      </c>
    </row>
    <row r="1781" spans="1:23">
      <c r="A1781" s="2">
        <v>46049</v>
      </c>
      <c r="B1781" s="1" t="s">
        <v>8305</v>
      </c>
      <c r="C1781" s="1" t="s">
        <v>2444</v>
      </c>
      <c r="D1781" s="1" t="s">
        <v>2498</v>
      </c>
      <c r="E1781" s="1">
        <v>85374</v>
      </c>
      <c r="F1781" s="1" t="s">
        <v>8306</v>
      </c>
      <c r="G1781" s="39" t="s">
        <v>7865</v>
      </c>
      <c r="H1781" s="4" t="s">
        <v>2080</v>
      </c>
      <c r="I1781" s="5" t="s">
        <v>2420</v>
      </c>
      <c r="J1781" s="5" t="s">
        <v>24</v>
      </c>
      <c r="K1781" s="5" t="s">
        <v>24</v>
      </c>
      <c r="L1781" s="5" t="s">
        <v>75</v>
      </c>
      <c r="M1781" s="5" t="s">
        <v>24</v>
      </c>
      <c r="N1781" s="5" t="s">
        <v>24</v>
      </c>
      <c r="O1781" s="5" t="s">
        <v>75</v>
      </c>
      <c r="P1781" s="5" t="s">
        <v>2413</v>
      </c>
      <c r="Q1781" s="2">
        <v>46058</v>
      </c>
      <c r="V1781" s="1">
        <f t="shared" si="27"/>
        <v>1</v>
      </c>
      <c r="W1781" s="1" t="s">
        <v>8307</v>
      </c>
    </row>
    <row r="1782" spans="1:23">
      <c r="A1782" s="2">
        <v>46049</v>
      </c>
      <c r="B1782" s="1" t="s">
        <v>8308</v>
      </c>
      <c r="C1782" s="1" t="s">
        <v>2527</v>
      </c>
      <c r="D1782" s="1" t="s">
        <v>2570</v>
      </c>
      <c r="E1782" s="1">
        <v>85326</v>
      </c>
      <c r="F1782" s="1" t="s">
        <v>8309</v>
      </c>
      <c r="G1782" s="39" t="s">
        <v>7865</v>
      </c>
      <c r="H1782" s="4" t="s">
        <v>2401</v>
      </c>
      <c r="R1782" s="1" t="s">
        <v>8033</v>
      </c>
      <c r="V1782" s="1">
        <f t="shared" si="27"/>
        <v>1</v>
      </c>
      <c r="W1782" s="1" t="s">
        <v>8310</v>
      </c>
    </row>
    <row r="1783" spans="1:23">
      <c r="A1783" s="2">
        <v>46049</v>
      </c>
      <c r="B1783" s="1" t="s">
        <v>8311</v>
      </c>
      <c r="C1783" s="1" t="s">
        <v>3974</v>
      </c>
      <c r="D1783" s="1" t="s">
        <v>2886</v>
      </c>
      <c r="E1783" s="1">
        <v>85361</v>
      </c>
      <c r="F1783" s="1" t="s">
        <v>8312</v>
      </c>
      <c r="G1783" s="39" t="s">
        <v>7865</v>
      </c>
      <c r="H1783" s="4" t="s">
        <v>2471</v>
      </c>
      <c r="V1783" s="1">
        <f t="shared" si="27"/>
        <v>1</v>
      </c>
      <c r="W1783" s="1" t="s">
        <v>8313</v>
      </c>
    </row>
    <row r="1784" spans="1:23">
      <c r="A1784" s="2">
        <v>46049</v>
      </c>
      <c r="B1784" s="1" t="s">
        <v>5361</v>
      </c>
      <c r="C1784" s="1" t="s">
        <v>7591</v>
      </c>
      <c r="D1784" s="1" t="s">
        <v>2439</v>
      </c>
      <c r="E1784" s="1">
        <v>85032</v>
      </c>
      <c r="F1784" s="1" t="s">
        <v>8314</v>
      </c>
      <c r="G1784" s="39" t="s">
        <v>7865</v>
      </c>
      <c r="H1784" s="4" t="s">
        <v>2082</v>
      </c>
      <c r="I1784" s="5" t="s">
        <v>2451</v>
      </c>
      <c r="J1784" s="5" t="s">
        <v>24</v>
      </c>
      <c r="K1784" s="5" t="s">
        <v>24</v>
      </c>
      <c r="L1784" s="5" t="s">
        <v>75</v>
      </c>
      <c r="M1784" s="5" t="s">
        <v>24</v>
      </c>
      <c r="N1784" s="5" t="s">
        <v>24</v>
      </c>
      <c r="O1784" s="5" t="s">
        <v>75</v>
      </c>
      <c r="P1784" s="5" t="s">
        <v>2413</v>
      </c>
      <c r="Q1784" s="2">
        <v>46058</v>
      </c>
      <c r="V1784" s="1">
        <f t="shared" si="27"/>
        <v>1</v>
      </c>
      <c r="W1784" s="1" t="s">
        <v>8315</v>
      </c>
    </row>
    <row r="1785" spans="1:23">
      <c r="A1785" s="2">
        <v>46049</v>
      </c>
      <c r="B1785" s="1" t="s">
        <v>2725</v>
      </c>
      <c r="C1785" s="1" t="s">
        <v>8316</v>
      </c>
      <c r="D1785" s="1" t="s">
        <v>2969</v>
      </c>
      <c r="E1785" s="1">
        <v>85323</v>
      </c>
      <c r="F1785" s="1" t="s">
        <v>8317</v>
      </c>
      <c r="G1785" s="39" t="s">
        <v>7865</v>
      </c>
      <c r="H1785" s="4" t="s">
        <v>87</v>
      </c>
      <c r="R1785" s="1" t="s">
        <v>8033</v>
      </c>
      <c r="V1785" s="1">
        <f t="shared" si="27"/>
        <v>1</v>
      </c>
      <c r="W1785" s="1" t="s">
        <v>8318</v>
      </c>
    </row>
    <row r="1786" spans="1:23">
      <c r="A1786" s="2">
        <v>46049</v>
      </c>
      <c r="B1786" s="1" t="s">
        <v>8319</v>
      </c>
      <c r="C1786" s="1" t="s">
        <v>8320</v>
      </c>
      <c r="D1786" s="1" t="s">
        <v>2398</v>
      </c>
      <c r="E1786" s="1">
        <v>85308</v>
      </c>
      <c r="F1786" s="1" t="s">
        <v>8321</v>
      </c>
      <c r="G1786" s="39" t="s">
        <v>7865</v>
      </c>
      <c r="H1786" s="4" t="s">
        <v>2401</v>
      </c>
      <c r="V1786" s="1">
        <f t="shared" si="27"/>
        <v>1</v>
      </c>
      <c r="W1786" s="1" t="s">
        <v>8322</v>
      </c>
    </row>
    <row r="1787" spans="1:23">
      <c r="A1787" s="2">
        <v>46049</v>
      </c>
      <c r="B1787" s="1" t="s">
        <v>8323</v>
      </c>
      <c r="C1787" s="1" t="s">
        <v>5918</v>
      </c>
      <c r="D1787" s="1" t="s">
        <v>2439</v>
      </c>
      <c r="E1787" s="1">
        <v>85017</v>
      </c>
      <c r="F1787" s="1" t="s">
        <v>8324</v>
      </c>
      <c r="G1787" s="39" t="s">
        <v>7865</v>
      </c>
      <c r="H1787" s="4" t="s">
        <v>572</v>
      </c>
      <c r="I1787" s="5" t="s">
        <v>2514</v>
      </c>
      <c r="J1787" s="5" t="s">
        <v>24</v>
      </c>
      <c r="K1787" s="5" t="s">
        <v>24</v>
      </c>
      <c r="L1787" s="5" t="s">
        <v>8325</v>
      </c>
      <c r="M1787" s="5" t="s">
        <v>24</v>
      </c>
      <c r="N1787" s="5" t="s">
        <v>24</v>
      </c>
      <c r="O1787" s="5" t="s">
        <v>75</v>
      </c>
      <c r="P1787" s="5" t="s">
        <v>2413</v>
      </c>
      <c r="Q1787" s="2">
        <v>46058</v>
      </c>
      <c r="V1787" s="1">
        <f t="shared" si="27"/>
        <v>1</v>
      </c>
      <c r="W1787" s="1" t="s">
        <v>8326</v>
      </c>
    </row>
    <row r="1788" spans="1:23">
      <c r="A1788" s="2">
        <v>46049</v>
      </c>
      <c r="B1788" s="1" t="s">
        <v>8327</v>
      </c>
      <c r="C1788" s="1" t="s">
        <v>7202</v>
      </c>
      <c r="D1788" s="1" t="s">
        <v>2439</v>
      </c>
      <c r="E1788" s="1">
        <v>85032</v>
      </c>
      <c r="F1788" s="1" t="s">
        <v>8328</v>
      </c>
      <c r="G1788" s="39" t="s">
        <v>7865</v>
      </c>
      <c r="H1788" s="4" t="s">
        <v>2084</v>
      </c>
      <c r="I1788" s="5" t="s">
        <v>2514</v>
      </c>
      <c r="J1788" s="5" t="s">
        <v>24</v>
      </c>
      <c r="K1788" s="5" t="s">
        <v>24</v>
      </c>
      <c r="L1788" s="5" t="s">
        <v>75</v>
      </c>
      <c r="M1788" s="5" t="s">
        <v>24</v>
      </c>
      <c r="N1788" s="5" t="s">
        <v>24</v>
      </c>
      <c r="O1788" s="5" t="s">
        <v>75</v>
      </c>
      <c r="P1788" s="5" t="s">
        <v>2413</v>
      </c>
      <c r="Q1788" s="2">
        <v>46058</v>
      </c>
      <c r="V1788" s="1">
        <f t="shared" si="27"/>
        <v>1</v>
      </c>
      <c r="W1788" s="1" t="s">
        <v>8329</v>
      </c>
    </row>
    <row r="1789" spans="1:23">
      <c r="A1789" s="2">
        <v>46049</v>
      </c>
      <c r="B1789" s="1" t="s">
        <v>8330</v>
      </c>
      <c r="C1789" s="1" t="s">
        <v>2574</v>
      </c>
      <c r="D1789" s="1" t="s">
        <v>2678</v>
      </c>
      <c r="E1789" s="1">
        <v>85541</v>
      </c>
      <c r="F1789" s="1" t="s">
        <v>8331</v>
      </c>
      <c r="G1789" s="39" t="s">
        <v>7865</v>
      </c>
      <c r="H1789" s="4" t="s">
        <v>2086</v>
      </c>
      <c r="I1789" s="5" t="s">
        <v>2451</v>
      </c>
      <c r="J1789" s="5" t="s">
        <v>24</v>
      </c>
      <c r="K1789" s="5" t="s">
        <v>24</v>
      </c>
      <c r="L1789" s="5" t="s">
        <v>75</v>
      </c>
      <c r="M1789" s="5" t="s">
        <v>24</v>
      </c>
      <c r="N1789" s="5" t="s">
        <v>24</v>
      </c>
      <c r="O1789" s="5" t="s">
        <v>75</v>
      </c>
      <c r="P1789" s="5" t="s">
        <v>2413</v>
      </c>
      <c r="Q1789" s="2">
        <v>46058</v>
      </c>
      <c r="V1789" s="1">
        <f t="shared" si="27"/>
        <v>1</v>
      </c>
      <c r="W1789" s="1" t="s">
        <v>8332</v>
      </c>
    </row>
    <row r="1790" spans="1:23">
      <c r="A1790" s="2">
        <v>46049</v>
      </c>
      <c r="B1790" s="1" t="s">
        <v>8333</v>
      </c>
      <c r="C1790" s="1" t="s">
        <v>3117</v>
      </c>
      <c r="D1790" s="1" t="s">
        <v>2605</v>
      </c>
      <c r="E1790" s="1">
        <v>85382</v>
      </c>
      <c r="F1790" s="1" t="s">
        <v>8334</v>
      </c>
      <c r="G1790" s="39" t="s">
        <v>7865</v>
      </c>
      <c r="H1790" s="4" t="s">
        <v>2401</v>
      </c>
      <c r="V1790" s="1">
        <f t="shared" si="27"/>
        <v>1</v>
      </c>
      <c r="W1790" s="1" t="s">
        <v>8335</v>
      </c>
    </row>
    <row r="1791" spans="1:23">
      <c r="A1791" s="2">
        <v>46049</v>
      </c>
      <c r="B1791" s="1" t="s">
        <v>8336</v>
      </c>
      <c r="C1791" s="1" t="s">
        <v>8337</v>
      </c>
      <c r="D1791" s="1" t="s">
        <v>8338</v>
      </c>
      <c r="E1791" s="1">
        <v>85544</v>
      </c>
      <c r="F1791" s="1" t="s">
        <v>8339</v>
      </c>
      <c r="G1791" s="39" t="s">
        <v>7865</v>
      </c>
      <c r="H1791" s="4" t="s">
        <v>574</v>
      </c>
      <c r="I1791" s="5" t="s">
        <v>2412</v>
      </c>
      <c r="J1791" s="5" t="s">
        <v>75</v>
      </c>
      <c r="K1791" s="5" t="s">
        <v>24</v>
      </c>
      <c r="L1791" s="5" t="s">
        <v>8340</v>
      </c>
      <c r="M1791" s="5" t="s">
        <v>24</v>
      </c>
      <c r="N1791" s="5" t="s">
        <v>24</v>
      </c>
      <c r="O1791" s="5" t="s">
        <v>75</v>
      </c>
      <c r="P1791" s="5" t="s">
        <v>2413</v>
      </c>
      <c r="Q1791" s="2">
        <v>46058</v>
      </c>
      <c r="V1791" s="1">
        <f t="shared" si="27"/>
        <v>1</v>
      </c>
      <c r="W1791" s="1" t="s">
        <v>8341</v>
      </c>
    </row>
    <row r="1792" spans="1:23">
      <c r="A1792" s="2">
        <v>46049</v>
      </c>
      <c r="B1792" s="1" t="s">
        <v>8342</v>
      </c>
      <c r="C1792" s="1" t="s">
        <v>2485</v>
      </c>
      <c r="D1792" s="1" t="s">
        <v>2570</v>
      </c>
      <c r="E1792" s="1">
        <v>85326</v>
      </c>
      <c r="F1792" s="1" t="s">
        <v>8343</v>
      </c>
      <c r="G1792" s="39" t="s">
        <v>7865</v>
      </c>
      <c r="H1792" s="4" t="s">
        <v>2088</v>
      </c>
      <c r="I1792" s="5" t="s">
        <v>2412</v>
      </c>
      <c r="J1792" s="5" t="s">
        <v>24</v>
      </c>
      <c r="K1792" s="5" t="s">
        <v>24</v>
      </c>
      <c r="L1792" s="5" t="s">
        <v>75</v>
      </c>
      <c r="M1792" s="5" t="s">
        <v>24</v>
      </c>
      <c r="N1792" s="5" t="s">
        <v>24</v>
      </c>
      <c r="O1792" s="5" t="s">
        <v>75</v>
      </c>
      <c r="P1792" s="5" t="s">
        <v>2413</v>
      </c>
      <c r="Q1792" s="2">
        <v>46058</v>
      </c>
      <c r="V1792" s="1">
        <f t="shared" si="27"/>
        <v>1</v>
      </c>
      <c r="W1792" s="1" t="s">
        <v>8344</v>
      </c>
    </row>
    <row r="1793" spans="1:24">
      <c r="A1793" s="2">
        <v>46049</v>
      </c>
      <c r="B1793" s="1" t="s">
        <v>8345</v>
      </c>
      <c r="C1793" s="1" t="s">
        <v>8346</v>
      </c>
      <c r="D1793" s="1" t="s">
        <v>2439</v>
      </c>
      <c r="E1793" s="1">
        <v>85029</v>
      </c>
      <c r="F1793" s="1" t="s">
        <v>8347</v>
      </c>
      <c r="G1793" s="39" t="s">
        <v>7865</v>
      </c>
      <c r="H1793" s="4" t="s">
        <v>2401</v>
      </c>
      <c r="V1793" s="1">
        <f t="shared" si="27"/>
        <v>1</v>
      </c>
      <c r="W1793" s="1" t="s">
        <v>8348</v>
      </c>
    </row>
    <row r="1794" spans="1:24">
      <c r="A1794" s="2">
        <v>46049</v>
      </c>
      <c r="B1794" s="1" t="s">
        <v>2796</v>
      </c>
      <c r="C1794" s="1" t="s">
        <v>8349</v>
      </c>
      <c r="D1794" s="1" t="s">
        <v>3166</v>
      </c>
      <c r="E1794" s="1">
        <v>85375</v>
      </c>
      <c r="F1794" s="1" t="s">
        <v>8350</v>
      </c>
      <c r="G1794" s="39" t="s">
        <v>7865</v>
      </c>
      <c r="H1794" s="4" t="s">
        <v>2090</v>
      </c>
      <c r="I1794" s="5" t="s">
        <v>2988</v>
      </c>
      <c r="J1794" s="5" t="s">
        <v>24</v>
      </c>
      <c r="K1794" s="5" t="s">
        <v>24</v>
      </c>
      <c r="L1794" s="5" t="s">
        <v>7158</v>
      </c>
      <c r="M1794" s="5" t="s">
        <v>24</v>
      </c>
      <c r="N1794" s="5" t="s">
        <v>24</v>
      </c>
      <c r="O1794" s="5" t="s">
        <v>75</v>
      </c>
      <c r="P1794" s="5" t="s">
        <v>2413</v>
      </c>
      <c r="Q1794" s="2">
        <v>46058</v>
      </c>
      <c r="V1794" s="1">
        <f t="shared" ref="V1794:V1857" si="28">IF(OR(ISNUMBER(SEARCH("unable to locate acct",G1794)),ISNUMBER(SEARCH("unknown",G1794)),ISNUMBER(SEARCH("inactive",G1794)),H1794=""),0,1)</f>
        <v>1</v>
      </c>
      <c r="W1794" s="1" t="s">
        <v>8351</v>
      </c>
    </row>
    <row r="1795" spans="1:24">
      <c r="A1795" s="2">
        <v>46049</v>
      </c>
      <c r="B1795" s="1" t="s">
        <v>8352</v>
      </c>
      <c r="C1795" s="1" t="s">
        <v>2512</v>
      </c>
      <c r="D1795" s="1" t="s">
        <v>2439</v>
      </c>
      <c r="E1795" s="1">
        <v>85032</v>
      </c>
      <c r="F1795" s="1" t="s">
        <v>8353</v>
      </c>
      <c r="G1795" s="39" t="s">
        <v>7865</v>
      </c>
      <c r="H1795" s="4" t="s">
        <v>576</v>
      </c>
      <c r="I1795" s="5" t="s">
        <v>2432</v>
      </c>
      <c r="J1795" s="5" t="s">
        <v>24</v>
      </c>
      <c r="K1795" s="5" t="s">
        <v>24</v>
      </c>
      <c r="L1795" s="5" t="s">
        <v>7619</v>
      </c>
      <c r="M1795" s="5" t="s">
        <v>24</v>
      </c>
      <c r="N1795" s="5" t="s">
        <v>24</v>
      </c>
      <c r="O1795" s="5" t="s">
        <v>75</v>
      </c>
      <c r="P1795" s="5" t="s">
        <v>2413</v>
      </c>
      <c r="Q1795" s="2">
        <v>46058</v>
      </c>
      <c r="V1795" s="1">
        <f t="shared" si="28"/>
        <v>1</v>
      </c>
      <c r="W1795" s="1" t="s">
        <v>8354</v>
      </c>
    </row>
    <row r="1796" spans="1:24">
      <c r="A1796" s="2">
        <v>46049</v>
      </c>
      <c r="B1796" s="1" t="s">
        <v>8355</v>
      </c>
      <c r="C1796" s="1" t="s">
        <v>5900</v>
      </c>
      <c r="D1796" s="1" t="s">
        <v>2439</v>
      </c>
      <c r="E1796" s="1">
        <v>85024</v>
      </c>
      <c r="F1796" s="1" t="s">
        <v>8356</v>
      </c>
      <c r="G1796" s="39" t="s">
        <v>7865</v>
      </c>
      <c r="H1796" s="4" t="s">
        <v>2092</v>
      </c>
      <c r="I1796" s="5" t="s">
        <v>2412</v>
      </c>
      <c r="J1796" s="5" t="s">
        <v>24</v>
      </c>
      <c r="K1796" s="5" t="s">
        <v>24</v>
      </c>
      <c r="L1796" s="5" t="s">
        <v>75</v>
      </c>
      <c r="M1796" s="5" t="s">
        <v>24</v>
      </c>
      <c r="N1796" s="5" t="s">
        <v>24</v>
      </c>
      <c r="O1796" s="5" t="s">
        <v>75</v>
      </c>
      <c r="P1796" s="5" t="s">
        <v>2413</v>
      </c>
      <c r="Q1796" s="2">
        <v>46058</v>
      </c>
      <c r="V1796" s="1">
        <f t="shared" si="28"/>
        <v>1</v>
      </c>
      <c r="W1796" s="1" t="s">
        <v>8357</v>
      </c>
    </row>
    <row r="1797" spans="1:24">
      <c r="A1797" s="2">
        <v>46049</v>
      </c>
      <c r="B1797" s="1" t="s">
        <v>8358</v>
      </c>
      <c r="C1797" s="1" t="s">
        <v>7881</v>
      </c>
      <c r="D1797" s="1" t="s">
        <v>4682</v>
      </c>
      <c r="E1797" s="1">
        <v>85201</v>
      </c>
      <c r="F1797" s="1" t="s">
        <v>8359</v>
      </c>
      <c r="G1797" s="39" t="s">
        <v>7865</v>
      </c>
      <c r="H1797" s="4" t="s">
        <v>2401</v>
      </c>
      <c r="V1797" s="1">
        <f t="shared" si="28"/>
        <v>1</v>
      </c>
      <c r="W1797" s="1" t="s">
        <v>8360</v>
      </c>
    </row>
    <row r="1798" spans="1:24">
      <c r="A1798" s="2">
        <v>46049</v>
      </c>
      <c r="B1798" s="1" t="s">
        <v>8361</v>
      </c>
      <c r="C1798" s="1" t="s">
        <v>2754</v>
      </c>
      <c r="D1798" s="1" t="s">
        <v>4682</v>
      </c>
      <c r="E1798" s="1">
        <v>85207</v>
      </c>
      <c r="F1798" s="1" t="s">
        <v>8362</v>
      </c>
      <c r="G1798" s="39" t="s">
        <v>7865</v>
      </c>
      <c r="H1798" s="4" t="s">
        <v>2401</v>
      </c>
      <c r="V1798" s="1">
        <f t="shared" si="28"/>
        <v>1</v>
      </c>
      <c r="W1798" s="1" t="s">
        <v>8363</v>
      </c>
    </row>
    <row r="1799" spans="1:24">
      <c r="A1799" s="2">
        <v>46049</v>
      </c>
      <c r="B1799" s="1" t="s">
        <v>8364</v>
      </c>
      <c r="C1799" s="1" t="s">
        <v>7863</v>
      </c>
      <c r="D1799" s="1" t="s">
        <v>2398</v>
      </c>
      <c r="E1799" s="1">
        <v>85302</v>
      </c>
      <c r="F1799" s="1" t="s">
        <v>8365</v>
      </c>
      <c r="G1799" s="39" t="s">
        <v>7865</v>
      </c>
      <c r="H1799" s="4" t="s">
        <v>2401</v>
      </c>
      <c r="V1799" s="1">
        <f t="shared" si="28"/>
        <v>1</v>
      </c>
      <c r="W1799" s="1" t="s">
        <v>8366</v>
      </c>
    </row>
    <row r="1800" spans="1:24">
      <c r="A1800" s="2">
        <v>46049</v>
      </c>
      <c r="B1800" s="1" t="s">
        <v>8367</v>
      </c>
      <c r="C1800" s="1" t="s">
        <v>3221</v>
      </c>
      <c r="D1800" s="1" t="s">
        <v>3166</v>
      </c>
      <c r="E1800" s="1">
        <v>85375</v>
      </c>
      <c r="F1800" s="1" t="s">
        <v>8368</v>
      </c>
      <c r="G1800" s="39" t="s">
        <v>7865</v>
      </c>
      <c r="H1800" s="4" t="s">
        <v>2094</v>
      </c>
      <c r="I1800" s="5" t="s">
        <v>2420</v>
      </c>
      <c r="J1800" s="5" t="s">
        <v>75</v>
      </c>
      <c r="K1800" s="5" t="s">
        <v>24</v>
      </c>
      <c r="L1800" s="5" t="s">
        <v>75</v>
      </c>
      <c r="M1800" s="5" t="s">
        <v>24</v>
      </c>
      <c r="N1800" s="5" t="s">
        <v>24</v>
      </c>
      <c r="O1800" s="5" t="s">
        <v>75</v>
      </c>
      <c r="P1800" s="5" t="s">
        <v>2413</v>
      </c>
      <c r="Q1800" s="2">
        <v>46058</v>
      </c>
      <c r="V1800" s="1">
        <f t="shared" si="28"/>
        <v>1</v>
      </c>
      <c r="W1800" s="1" t="s">
        <v>8369</v>
      </c>
    </row>
    <row r="1801" spans="1:24">
      <c r="A1801" s="2">
        <v>46049</v>
      </c>
      <c r="B1801" s="1" t="s">
        <v>8370</v>
      </c>
      <c r="C1801" s="1" t="s">
        <v>2521</v>
      </c>
      <c r="D1801" s="1" t="s">
        <v>2465</v>
      </c>
      <c r="E1801" s="1">
        <v>86323</v>
      </c>
      <c r="F1801" s="1" t="s">
        <v>8371</v>
      </c>
      <c r="G1801" s="39" t="s">
        <v>7865</v>
      </c>
      <c r="H1801" s="4" t="s">
        <v>2096</v>
      </c>
      <c r="I1801" s="5" t="s">
        <v>2451</v>
      </c>
      <c r="J1801" s="5" t="s">
        <v>75</v>
      </c>
      <c r="K1801" s="5" t="s">
        <v>24</v>
      </c>
      <c r="L1801" s="5" t="s">
        <v>75</v>
      </c>
      <c r="M1801" s="5" t="s">
        <v>24</v>
      </c>
      <c r="N1801" s="5" t="s">
        <v>24</v>
      </c>
      <c r="O1801" s="5" t="s">
        <v>75</v>
      </c>
      <c r="P1801" s="5" t="s">
        <v>2413</v>
      </c>
      <c r="Q1801" s="33">
        <v>46058</v>
      </c>
      <c r="V1801" s="1">
        <f t="shared" si="28"/>
        <v>1</v>
      </c>
      <c r="W1801" s="1" t="s">
        <v>8372</v>
      </c>
      <c r="X1801" s="34"/>
    </row>
    <row r="1802" spans="1:24">
      <c r="A1802" s="2">
        <v>46049</v>
      </c>
      <c r="B1802" s="1" t="s">
        <v>8373</v>
      </c>
      <c r="C1802" s="1" t="s">
        <v>3050</v>
      </c>
      <c r="D1802" s="1" t="s">
        <v>2800</v>
      </c>
      <c r="E1802" s="1">
        <v>85225</v>
      </c>
      <c r="F1802" s="1" t="s">
        <v>8374</v>
      </c>
      <c r="G1802" s="39" t="s">
        <v>7865</v>
      </c>
      <c r="H1802" s="4" t="s">
        <v>2401</v>
      </c>
      <c r="V1802" s="1">
        <f t="shared" si="28"/>
        <v>1</v>
      </c>
      <c r="W1802" s="1" t="s">
        <v>8375</v>
      </c>
    </row>
    <row r="1803" spans="1:24">
      <c r="A1803" s="2">
        <v>46049</v>
      </c>
      <c r="B1803" s="1" t="s">
        <v>8376</v>
      </c>
      <c r="C1803" s="1" t="s">
        <v>2574</v>
      </c>
      <c r="D1803" s="1" t="s">
        <v>2398</v>
      </c>
      <c r="E1803" s="1">
        <v>85308</v>
      </c>
      <c r="F1803" s="1" t="s">
        <v>8377</v>
      </c>
      <c r="G1803" s="39" t="s">
        <v>7865</v>
      </c>
      <c r="H1803" s="4" t="s">
        <v>2401</v>
      </c>
      <c r="V1803" s="1">
        <f t="shared" si="28"/>
        <v>1</v>
      </c>
      <c r="W1803" s="1" t="s">
        <v>8378</v>
      </c>
    </row>
    <row r="1804" spans="1:24">
      <c r="A1804" s="2">
        <v>46049</v>
      </c>
      <c r="B1804" s="1" t="s">
        <v>8379</v>
      </c>
      <c r="C1804" s="1" t="s">
        <v>8380</v>
      </c>
      <c r="D1804" s="1" t="s">
        <v>2605</v>
      </c>
      <c r="E1804" s="1">
        <v>85383</v>
      </c>
      <c r="F1804" s="1" t="s">
        <v>8381</v>
      </c>
      <c r="G1804" s="39" t="s">
        <v>7865</v>
      </c>
      <c r="H1804" s="4" t="s">
        <v>2401</v>
      </c>
      <c r="V1804" s="1">
        <f t="shared" si="28"/>
        <v>1</v>
      </c>
      <c r="W1804" s="1" t="s">
        <v>8382</v>
      </c>
    </row>
    <row r="1805" spans="1:24">
      <c r="A1805" s="2">
        <v>46049</v>
      </c>
      <c r="B1805" s="1" t="s">
        <v>7874</v>
      </c>
      <c r="C1805" s="1" t="s">
        <v>8383</v>
      </c>
      <c r="D1805" s="1" t="s">
        <v>7273</v>
      </c>
      <c r="E1805" s="1">
        <v>85043</v>
      </c>
      <c r="F1805" s="1" t="s">
        <v>8384</v>
      </c>
      <c r="G1805" s="39" t="s">
        <v>7865</v>
      </c>
      <c r="H1805" s="4" t="s">
        <v>2401</v>
      </c>
      <c r="V1805" s="1">
        <f t="shared" si="28"/>
        <v>1</v>
      </c>
      <c r="W1805" s="1" t="s">
        <v>8385</v>
      </c>
    </row>
    <row r="1806" spans="1:24">
      <c r="A1806" s="2">
        <v>46049</v>
      </c>
      <c r="B1806" s="1" t="s">
        <v>8386</v>
      </c>
      <c r="C1806" s="1" t="s">
        <v>5971</v>
      </c>
      <c r="D1806" s="1" t="s">
        <v>2398</v>
      </c>
      <c r="E1806" s="1">
        <v>85306</v>
      </c>
      <c r="F1806" s="1" t="s">
        <v>8387</v>
      </c>
      <c r="G1806" s="39" t="s">
        <v>7865</v>
      </c>
      <c r="H1806" s="4" t="s">
        <v>2401</v>
      </c>
      <c r="V1806" s="1">
        <f t="shared" si="28"/>
        <v>1</v>
      </c>
      <c r="W1806" s="1" t="s">
        <v>8388</v>
      </c>
    </row>
    <row r="1807" spans="1:24">
      <c r="A1807" s="2">
        <v>46049</v>
      </c>
      <c r="B1807" s="1" t="s">
        <v>8389</v>
      </c>
      <c r="C1807" s="1" t="s">
        <v>2632</v>
      </c>
      <c r="D1807" s="1" t="s">
        <v>2518</v>
      </c>
      <c r="E1807" s="1">
        <v>85233</v>
      </c>
      <c r="F1807" s="1" t="s">
        <v>8390</v>
      </c>
      <c r="G1807" s="39" t="s">
        <v>7865</v>
      </c>
      <c r="H1807" s="4" t="s">
        <v>2098</v>
      </c>
      <c r="I1807" s="5" t="s">
        <v>2988</v>
      </c>
      <c r="J1807" s="5" t="s">
        <v>24</v>
      </c>
      <c r="K1807" s="5" t="s">
        <v>24</v>
      </c>
      <c r="L1807" s="5" t="s">
        <v>7158</v>
      </c>
      <c r="M1807" s="5" t="s">
        <v>24</v>
      </c>
      <c r="N1807" s="5" t="s">
        <v>24</v>
      </c>
      <c r="O1807" s="5" t="s">
        <v>75</v>
      </c>
      <c r="P1807" s="5" t="s">
        <v>2413</v>
      </c>
      <c r="Q1807" s="2">
        <v>46058</v>
      </c>
      <c r="V1807" s="1">
        <f t="shared" si="28"/>
        <v>1</v>
      </c>
      <c r="W1807" s="1" t="s">
        <v>8391</v>
      </c>
    </row>
    <row r="1808" spans="1:24">
      <c r="A1808" s="2">
        <v>46049</v>
      </c>
      <c r="B1808" s="1" t="s">
        <v>8392</v>
      </c>
      <c r="C1808" s="1" t="s">
        <v>8393</v>
      </c>
      <c r="D1808" s="1" t="s">
        <v>4888</v>
      </c>
      <c r="E1808" s="1">
        <v>85128</v>
      </c>
      <c r="F1808" s="1" t="s">
        <v>8394</v>
      </c>
      <c r="G1808" s="39" t="s">
        <v>7865</v>
      </c>
      <c r="H1808" s="4" t="s">
        <v>2100</v>
      </c>
      <c r="I1808" s="5" t="s">
        <v>2420</v>
      </c>
      <c r="J1808" s="5" t="s">
        <v>24</v>
      </c>
      <c r="K1808" s="5" t="s">
        <v>24</v>
      </c>
      <c r="L1808" s="5" t="s">
        <v>75</v>
      </c>
      <c r="M1808" s="5" t="s">
        <v>24</v>
      </c>
      <c r="N1808" s="5" t="s">
        <v>24</v>
      </c>
      <c r="O1808" s="5" t="s">
        <v>75</v>
      </c>
      <c r="P1808" s="5" t="s">
        <v>2413</v>
      </c>
      <c r="Q1808" s="2">
        <v>46058</v>
      </c>
      <c r="V1808" s="1">
        <f t="shared" si="28"/>
        <v>1</v>
      </c>
      <c r="W1808" s="1" t="s">
        <v>8395</v>
      </c>
    </row>
    <row r="1809" spans="1:24">
      <c r="A1809" s="2">
        <v>46049</v>
      </c>
      <c r="B1809" s="1" t="s">
        <v>8209</v>
      </c>
      <c r="C1809" s="1" t="s">
        <v>7079</v>
      </c>
      <c r="D1809" s="1" t="s">
        <v>3073</v>
      </c>
      <c r="E1809" s="1">
        <v>85364</v>
      </c>
      <c r="F1809" s="1" t="s">
        <v>8396</v>
      </c>
      <c r="G1809" s="39" t="s">
        <v>7865</v>
      </c>
      <c r="H1809" s="4" t="s">
        <v>2046</v>
      </c>
      <c r="I1809" s="5" t="s">
        <v>2988</v>
      </c>
      <c r="J1809" s="5" t="s">
        <v>24</v>
      </c>
      <c r="K1809" s="5" t="s">
        <v>24</v>
      </c>
      <c r="L1809" s="5" t="s">
        <v>7158</v>
      </c>
      <c r="M1809" s="5" t="s">
        <v>24</v>
      </c>
      <c r="N1809" s="5" t="s">
        <v>24</v>
      </c>
      <c r="O1809" s="5" t="s">
        <v>75</v>
      </c>
      <c r="P1809" s="5" t="s">
        <v>2413</v>
      </c>
      <c r="Q1809" s="2">
        <v>46058</v>
      </c>
      <c r="V1809" s="1">
        <f t="shared" si="28"/>
        <v>1</v>
      </c>
      <c r="W1809" s="1" t="s">
        <v>8397</v>
      </c>
    </row>
    <row r="1810" spans="1:24">
      <c r="A1810" s="2">
        <v>46049</v>
      </c>
      <c r="B1810" s="1" t="s">
        <v>8398</v>
      </c>
      <c r="C1810" s="1" t="s">
        <v>8399</v>
      </c>
      <c r="D1810" s="1" t="s">
        <v>2439</v>
      </c>
      <c r="E1810" s="1">
        <v>85015</v>
      </c>
      <c r="F1810" s="1" t="s">
        <v>8400</v>
      </c>
      <c r="G1810" s="39" t="s">
        <v>7865</v>
      </c>
      <c r="H1810" s="4" t="s">
        <v>2401</v>
      </c>
      <c r="V1810" s="1">
        <f t="shared" si="28"/>
        <v>1</v>
      </c>
      <c r="W1810" s="1" t="s">
        <v>8401</v>
      </c>
    </row>
    <row r="1811" spans="1:24">
      <c r="A1811" s="2">
        <v>46048</v>
      </c>
      <c r="B1811" s="1" t="s">
        <v>8402</v>
      </c>
      <c r="C1811" s="1" t="s">
        <v>8403</v>
      </c>
      <c r="D1811" s="1" t="s">
        <v>2843</v>
      </c>
      <c r="E1811" s="1">
        <v>85123</v>
      </c>
      <c r="F1811" s="1" t="s">
        <v>8404</v>
      </c>
      <c r="G1811" s="39" t="s">
        <v>7865</v>
      </c>
      <c r="H1811" s="4" t="s">
        <v>2103</v>
      </c>
      <c r="I1811" s="5" t="s">
        <v>2412</v>
      </c>
      <c r="J1811" s="5" t="s">
        <v>24</v>
      </c>
      <c r="K1811" s="5" t="s">
        <v>24</v>
      </c>
      <c r="L1811" s="5" t="s">
        <v>75</v>
      </c>
      <c r="M1811" s="5" t="s">
        <v>24</v>
      </c>
      <c r="N1811" s="5" t="s">
        <v>24</v>
      </c>
      <c r="O1811" s="5" t="s">
        <v>75</v>
      </c>
      <c r="P1811" s="5" t="s">
        <v>2413</v>
      </c>
      <c r="Q1811" s="2">
        <v>46058</v>
      </c>
      <c r="V1811" s="1">
        <f t="shared" si="28"/>
        <v>1</v>
      </c>
      <c r="W1811" s="1" t="s">
        <v>8405</v>
      </c>
    </row>
    <row r="1812" spans="1:24">
      <c r="A1812" s="2">
        <v>46055</v>
      </c>
      <c r="B1812" s="1" t="s">
        <v>6151</v>
      </c>
      <c r="C1812" s="1" t="s">
        <v>3065</v>
      </c>
      <c r="D1812" s="1" t="s">
        <v>2439</v>
      </c>
      <c r="E1812" s="1">
        <v>85022</v>
      </c>
      <c r="F1812" s="1" t="s">
        <v>8406</v>
      </c>
      <c r="G1812" s="39" t="s">
        <v>8407</v>
      </c>
      <c r="H1812" s="4" t="s">
        <v>1558</v>
      </c>
      <c r="I1812" s="5" t="s">
        <v>2412</v>
      </c>
      <c r="J1812" s="5" t="s">
        <v>24</v>
      </c>
      <c r="K1812" s="5" t="s">
        <v>24</v>
      </c>
      <c r="L1812" s="5" t="s">
        <v>75</v>
      </c>
      <c r="M1812" s="5" t="s">
        <v>24</v>
      </c>
      <c r="N1812" s="5" t="s">
        <v>24</v>
      </c>
      <c r="O1812" s="5" t="s">
        <v>75</v>
      </c>
      <c r="P1812" s="5" t="s">
        <v>2413</v>
      </c>
      <c r="Q1812" s="2">
        <v>46058</v>
      </c>
      <c r="V1812" s="1">
        <f t="shared" si="28"/>
        <v>1</v>
      </c>
      <c r="W1812" s="131" t="s">
        <v>8408</v>
      </c>
    </row>
    <row r="1813" spans="1:24">
      <c r="A1813" s="2">
        <v>46055</v>
      </c>
      <c r="B1813" s="1" t="s">
        <v>7833</v>
      </c>
      <c r="C1813" s="1" t="s">
        <v>7834</v>
      </c>
      <c r="D1813" s="1" t="s">
        <v>2674</v>
      </c>
      <c r="E1813" s="1">
        <v>86314</v>
      </c>
      <c r="F1813" s="1" t="s">
        <v>8409</v>
      </c>
      <c r="G1813" s="39" t="s">
        <v>8407</v>
      </c>
      <c r="H1813" s="4" t="s">
        <v>1938</v>
      </c>
      <c r="I1813" s="5" t="s">
        <v>2420</v>
      </c>
      <c r="J1813" s="5" t="s">
        <v>24</v>
      </c>
      <c r="K1813" s="5" t="s">
        <v>24</v>
      </c>
      <c r="L1813" s="5" t="s">
        <v>75</v>
      </c>
      <c r="M1813" s="5" t="s">
        <v>24</v>
      </c>
      <c r="N1813" s="5" t="s">
        <v>24</v>
      </c>
      <c r="O1813" s="5" t="s">
        <v>75</v>
      </c>
      <c r="P1813" s="5" t="s">
        <v>2413</v>
      </c>
      <c r="Q1813" s="2">
        <v>46058</v>
      </c>
      <c r="V1813" s="1">
        <f t="shared" si="28"/>
        <v>1</v>
      </c>
      <c r="W1813" s="1" t="s">
        <v>8410</v>
      </c>
    </row>
    <row r="1814" spans="1:24">
      <c r="A1814" s="2">
        <v>46055</v>
      </c>
      <c r="B1814" s="1" t="s">
        <v>7829</v>
      </c>
      <c r="C1814" s="1" t="s">
        <v>4717</v>
      </c>
      <c r="D1814" s="1" t="s">
        <v>2475</v>
      </c>
      <c r="E1814" s="1">
        <v>85351</v>
      </c>
      <c r="F1814" s="1" t="s">
        <v>8411</v>
      </c>
      <c r="G1814" s="39" t="s">
        <v>8407</v>
      </c>
      <c r="H1814" s="4" t="s">
        <v>1936</v>
      </c>
      <c r="I1814" s="5" t="s">
        <v>2412</v>
      </c>
      <c r="J1814" s="5" t="s">
        <v>24</v>
      </c>
      <c r="K1814" s="5" t="s">
        <v>24</v>
      </c>
      <c r="L1814" s="5" t="s">
        <v>75</v>
      </c>
      <c r="M1814" s="5" t="s">
        <v>24</v>
      </c>
      <c r="N1814" s="5" t="s">
        <v>24</v>
      </c>
      <c r="O1814" s="5" t="s">
        <v>75</v>
      </c>
      <c r="P1814" s="5" t="s">
        <v>2413</v>
      </c>
      <c r="Q1814" s="2">
        <v>46058</v>
      </c>
      <c r="V1814" s="1">
        <f t="shared" si="28"/>
        <v>1</v>
      </c>
      <c r="W1814" s="1" t="s">
        <v>8412</v>
      </c>
    </row>
    <row r="1815" spans="1:24">
      <c r="A1815" s="2">
        <v>46055</v>
      </c>
      <c r="B1815" s="1" t="s">
        <v>2612</v>
      </c>
      <c r="C1815" s="1" t="s">
        <v>4577</v>
      </c>
      <c r="D1815" s="1" t="s">
        <v>2439</v>
      </c>
      <c r="E1815" s="1">
        <v>85023</v>
      </c>
      <c r="F1815" s="1" t="s">
        <v>8413</v>
      </c>
      <c r="G1815" s="39" t="s">
        <v>8407</v>
      </c>
      <c r="H1815" s="4" t="s">
        <v>2106</v>
      </c>
      <c r="I1815" s="5" t="s">
        <v>2412</v>
      </c>
      <c r="J1815" s="5" t="s">
        <v>24</v>
      </c>
      <c r="K1815" s="5" t="s">
        <v>24</v>
      </c>
      <c r="L1815" s="5" t="s">
        <v>75</v>
      </c>
      <c r="M1815" s="5" t="s">
        <v>24</v>
      </c>
      <c r="N1815" s="5" t="s">
        <v>24</v>
      </c>
      <c r="O1815" s="5" t="s">
        <v>75</v>
      </c>
      <c r="P1815" s="5" t="s">
        <v>2413</v>
      </c>
      <c r="Q1815" s="2">
        <v>46058</v>
      </c>
      <c r="V1815" s="1">
        <f t="shared" si="28"/>
        <v>1</v>
      </c>
      <c r="W1815" s="1" t="s">
        <v>8414</v>
      </c>
    </row>
    <row r="1816" spans="1:24">
      <c r="A1816" s="2">
        <v>46055</v>
      </c>
      <c r="B1816" s="1" t="s">
        <v>8415</v>
      </c>
      <c r="C1816" s="1" t="s">
        <v>8416</v>
      </c>
      <c r="D1816" s="1" t="s">
        <v>3073</v>
      </c>
      <c r="E1816" s="1">
        <v>85364</v>
      </c>
      <c r="F1816" s="1" t="s">
        <v>8417</v>
      </c>
      <c r="G1816" s="39" t="s">
        <v>8407</v>
      </c>
      <c r="H1816" s="4" t="s">
        <v>90</v>
      </c>
      <c r="I1816" s="5" t="s">
        <v>2597</v>
      </c>
      <c r="J1816" s="5" t="s">
        <v>75</v>
      </c>
      <c r="K1816" s="5" t="s">
        <v>24</v>
      </c>
      <c r="L1816" s="5" t="s">
        <v>8418</v>
      </c>
      <c r="M1816" s="5" t="s">
        <v>75</v>
      </c>
      <c r="N1816" s="13">
        <v>163.08000000000001</v>
      </c>
      <c r="O1816" s="5" t="s">
        <v>75</v>
      </c>
      <c r="Q1816" s="41">
        <v>46058</v>
      </c>
      <c r="R1816" s="1" t="s">
        <v>8419</v>
      </c>
      <c r="V1816" s="1">
        <f t="shared" si="28"/>
        <v>1</v>
      </c>
      <c r="W1816" s="1" t="s">
        <v>8420</v>
      </c>
      <c r="X1816" s="32"/>
    </row>
    <row r="1817" spans="1:24">
      <c r="A1817" s="2">
        <v>46055</v>
      </c>
      <c r="B1817" s="1" t="s">
        <v>5591</v>
      </c>
      <c r="C1817" s="1" t="s">
        <v>2601</v>
      </c>
      <c r="D1817" s="1" t="s">
        <v>2950</v>
      </c>
      <c r="E1817" s="1">
        <v>86001</v>
      </c>
      <c r="F1817" s="1" t="s">
        <v>8421</v>
      </c>
      <c r="G1817" s="39" t="s">
        <v>8407</v>
      </c>
      <c r="H1817" s="4" t="s">
        <v>2471</v>
      </c>
      <c r="V1817" s="1">
        <f t="shared" si="28"/>
        <v>1</v>
      </c>
      <c r="W1817" s="1" t="s">
        <v>8422</v>
      </c>
    </row>
    <row r="1818" spans="1:24">
      <c r="A1818" s="2">
        <v>46055</v>
      </c>
      <c r="B1818" s="1" t="s">
        <v>8423</v>
      </c>
      <c r="C1818" s="1" t="s">
        <v>2991</v>
      </c>
      <c r="D1818" s="1" t="s">
        <v>2950</v>
      </c>
      <c r="E1818" s="1">
        <v>86001</v>
      </c>
      <c r="F1818" s="1" t="s">
        <v>8424</v>
      </c>
      <c r="G1818" s="39" t="s">
        <v>8407</v>
      </c>
      <c r="H1818" s="4" t="s">
        <v>2108</v>
      </c>
      <c r="I1818" s="5" t="s">
        <v>2597</v>
      </c>
      <c r="J1818" s="5" t="s">
        <v>24</v>
      </c>
      <c r="K1818" s="5" t="s">
        <v>24</v>
      </c>
      <c r="L1818" s="5" t="s">
        <v>75</v>
      </c>
      <c r="M1818" s="5" t="s">
        <v>24</v>
      </c>
      <c r="N1818" s="5" t="s">
        <v>24</v>
      </c>
      <c r="O1818" s="5" t="s">
        <v>75</v>
      </c>
      <c r="P1818" s="5" t="s">
        <v>2413</v>
      </c>
      <c r="Q1818" s="2">
        <v>46058</v>
      </c>
      <c r="V1818" s="1">
        <f t="shared" si="28"/>
        <v>1</v>
      </c>
      <c r="W1818" s="1" t="s">
        <v>8425</v>
      </c>
    </row>
    <row r="1819" spans="1:24">
      <c r="A1819" s="2">
        <v>46055</v>
      </c>
      <c r="B1819" s="1" t="s">
        <v>2908</v>
      </c>
      <c r="C1819" s="1" t="s">
        <v>2667</v>
      </c>
      <c r="D1819" s="1" t="s">
        <v>2605</v>
      </c>
      <c r="E1819" s="1">
        <v>85345</v>
      </c>
      <c r="F1819" s="1" t="s">
        <v>8426</v>
      </c>
      <c r="G1819" s="39" t="s">
        <v>8407</v>
      </c>
      <c r="H1819" s="4" t="s">
        <v>2401</v>
      </c>
      <c r="V1819" s="1">
        <f t="shared" si="28"/>
        <v>1</v>
      </c>
      <c r="W1819" s="1" t="s">
        <v>8427</v>
      </c>
    </row>
    <row r="1820" spans="1:24">
      <c r="A1820" s="2">
        <v>46055</v>
      </c>
      <c r="B1820" s="1" t="s">
        <v>2908</v>
      </c>
      <c r="C1820" s="1" t="s">
        <v>3245</v>
      </c>
      <c r="D1820" s="1" t="s">
        <v>2605</v>
      </c>
      <c r="E1820" s="1">
        <v>85345</v>
      </c>
      <c r="F1820" s="1" t="s">
        <v>8428</v>
      </c>
      <c r="G1820" s="39" t="s">
        <v>8407</v>
      </c>
      <c r="H1820" s="4" t="s">
        <v>2401</v>
      </c>
      <c r="V1820" s="1">
        <f t="shared" si="28"/>
        <v>1</v>
      </c>
      <c r="W1820" s="1" t="s">
        <v>8429</v>
      </c>
    </row>
    <row r="1821" spans="1:24">
      <c r="A1821" s="2">
        <v>46055</v>
      </c>
      <c r="B1821" s="1" t="s">
        <v>8430</v>
      </c>
      <c r="C1821" s="1" t="s">
        <v>3050</v>
      </c>
      <c r="D1821" s="1" t="s">
        <v>2439</v>
      </c>
      <c r="E1821" s="1">
        <v>85020</v>
      </c>
      <c r="F1821" s="1" t="s">
        <v>8431</v>
      </c>
      <c r="G1821" s="39" t="s">
        <v>8407</v>
      </c>
      <c r="H1821" s="4" t="s">
        <v>2401</v>
      </c>
      <c r="V1821" s="1">
        <f t="shared" si="28"/>
        <v>1</v>
      </c>
      <c r="W1821" s="1" t="s">
        <v>8432</v>
      </c>
    </row>
    <row r="1822" spans="1:24">
      <c r="A1822" s="2">
        <v>46055</v>
      </c>
      <c r="B1822" s="1" t="s">
        <v>8433</v>
      </c>
      <c r="C1822" s="1" t="s">
        <v>2726</v>
      </c>
      <c r="D1822" s="1" t="s">
        <v>2439</v>
      </c>
      <c r="E1822" s="1">
        <v>85029</v>
      </c>
      <c r="F1822" s="1" t="s">
        <v>8434</v>
      </c>
      <c r="G1822" s="39" t="s">
        <v>8407</v>
      </c>
      <c r="H1822" s="4" t="s">
        <v>2401</v>
      </c>
      <c r="V1822" s="1">
        <f t="shared" si="28"/>
        <v>1</v>
      </c>
      <c r="W1822" s="1" t="s">
        <v>8435</v>
      </c>
    </row>
    <row r="1823" spans="1:24">
      <c r="A1823" s="2">
        <v>46055</v>
      </c>
      <c r="B1823" s="1" t="s">
        <v>5113</v>
      </c>
      <c r="C1823" s="1" t="s">
        <v>4568</v>
      </c>
      <c r="D1823" s="1" t="s">
        <v>2439</v>
      </c>
      <c r="E1823" s="1">
        <v>85009</v>
      </c>
      <c r="F1823" s="1" t="s">
        <v>8436</v>
      </c>
      <c r="G1823" s="39" t="s">
        <v>8407</v>
      </c>
      <c r="H1823" s="4" t="s">
        <v>2110</v>
      </c>
      <c r="I1823" s="5" t="s">
        <v>2451</v>
      </c>
      <c r="J1823" s="5" t="s">
        <v>75</v>
      </c>
      <c r="K1823" s="5" t="s">
        <v>24</v>
      </c>
      <c r="L1823" s="5" t="s">
        <v>75</v>
      </c>
      <c r="M1823" s="5" t="s">
        <v>24</v>
      </c>
      <c r="N1823" s="5" t="s">
        <v>24</v>
      </c>
      <c r="O1823" s="5" t="s">
        <v>75</v>
      </c>
      <c r="P1823" s="5" t="s">
        <v>2413</v>
      </c>
      <c r="Q1823" s="2">
        <v>46058</v>
      </c>
      <c r="V1823" s="1">
        <f t="shared" si="28"/>
        <v>1</v>
      </c>
      <c r="W1823" s="1" t="s">
        <v>8437</v>
      </c>
    </row>
    <row r="1824" spans="1:24">
      <c r="A1824" s="2">
        <v>46055</v>
      </c>
      <c r="B1824" s="1" t="s">
        <v>8438</v>
      </c>
      <c r="C1824" s="1" t="s">
        <v>8439</v>
      </c>
      <c r="D1824" s="1" t="s">
        <v>2439</v>
      </c>
      <c r="E1824" s="1">
        <v>85023</v>
      </c>
      <c r="F1824" s="1" t="s">
        <v>8440</v>
      </c>
      <c r="G1824" s="39" t="s">
        <v>8407</v>
      </c>
      <c r="H1824" s="4" t="s">
        <v>2401</v>
      </c>
      <c r="V1824" s="1">
        <f t="shared" si="28"/>
        <v>1</v>
      </c>
      <c r="W1824" s="1" t="s">
        <v>8441</v>
      </c>
    </row>
    <row r="1825" spans="1:24">
      <c r="A1825" s="2">
        <v>46055</v>
      </c>
      <c r="B1825" s="1" t="s">
        <v>8442</v>
      </c>
      <c r="C1825" s="1" t="s">
        <v>6517</v>
      </c>
      <c r="D1825" s="1" t="s">
        <v>2465</v>
      </c>
      <c r="E1825" s="1">
        <v>86323</v>
      </c>
      <c r="F1825" s="1" t="s">
        <v>8443</v>
      </c>
      <c r="G1825" s="39" t="s">
        <v>8407</v>
      </c>
      <c r="H1825" s="4" t="s">
        <v>2112</v>
      </c>
      <c r="I1825" s="5" t="s">
        <v>2451</v>
      </c>
      <c r="J1825" s="5" t="s">
        <v>24</v>
      </c>
      <c r="K1825" s="5" t="s">
        <v>24</v>
      </c>
      <c r="L1825" s="5" t="s">
        <v>75</v>
      </c>
      <c r="M1825" s="5" t="s">
        <v>24</v>
      </c>
      <c r="N1825" s="5" t="s">
        <v>24</v>
      </c>
      <c r="O1825" s="5" t="s">
        <v>75</v>
      </c>
      <c r="P1825" s="5" t="s">
        <v>2413</v>
      </c>
      <c r="Q1825" s="2">
        <v>46058</v>
      </c>
      <c r="V1825" s="1">
        <f t="shared" si="28"/>
        <v>1</v>
      </c>
      <c r="W1825" s="1" t="s">
        <v>8444</v>
      </c>
    </row>
    <row r="1826" spans="1:24">
      <c r="A1826" s="2">
        <v>46055</v>
      </c>
      <c r="B1826" s="1" t="s">
        <v>8445</v>
      </c>
      <c r="C1826" s="1" t="s">
        <v>2745</v>
      </c>
      <c r="D1826" s="1" t="s">
        <v>2950</v>
      </c>
      <c r="E1826" s="1">
        <v>86001</v>
      </c>
      <c r="F1826" s="1" t="s">
        <v>8446</v>
      </c>
      <c r="G1826" s="39" t="s">
        <v>8407</v>
      </c>
      <c r="H1826" s="4" t="s">
        <v>2114</v>
      </c>
      <c r="I1826" s="5" t="s">
        <v>2451</v>
      </c>
      <c r="J1826" s="5" t="s">
        <v>24</v>
      </c>
      <c r="K1826" s="5" t="s">
        <v>24</v>
      </c>
      <c r="L1826" s="5" t="s">
        <v>75</v>
      </c>
      <c r="M1826" s="5" t="s">
        <v>24</v>
      </c>
      <c r="N1826" s="5" t="s">
        <v>24</v>
      </c>
      <c r="O1826" s="5" t="s">
        <v>75</v>
      </c>
      <c r="P1826" s="5" t="s">
        <v>2413</v>
      </c>
      <c r="Q1826" s="2">
        <v>46058</v>
      </c>
      <c r="V1826" s="1">
        <f t="shared" si="28"/>
        <v>1</v>
      </c>
      <c r="W1826" s="1" t="s">
        <v>8447</v>
      </c>
    </row>
    <row r="1827" spans="1:24">
      <c r="A1827" s="2">
        <v>46055</v>
      </c>
      <c r="B1827" s="1" t="s">
        <v>8448</v>
      </c>
      <c r="C1827" s="1" t="s">
        <v>8449</v>
      </c>
      <c r="D1827" s="1" t="s">
        <v>2513</v>
      </c>
      <c r="E1827" s="1">
        <v>85258</v>
      </c>
      <c r="F1827" s="1" t="s">
        <v>8450</v>
      </c>
      <c r="G1827" s="39" t="s">
        <v>8407</v>
      </c>
      <c r="H1827" s="4" t="s">
        <v>2116</v>
      </c>
      <c r="I1827" s="5" t="s">
        <v>2597</v>
      </c>
      <c r="J1827" s="5" t="s">
        <v>24</v>
      </c>
      <c r="K1827" s="5" t="s">
        <v>24</v>
      </c>
      <c r="L1827" s="5" t="s">
        <v>75</v>
      </c>
      <c r="M1827" s="5" t="s">
        <v>24</v>
      </c>
      <c r="N1827" s="5" t="s">
        <v>24</v>
      </c>
      <c r="O1827" s="5" t="s">
        <v>75</v>
      </c>
      <c r="P1827" s="5" t="s">
        <v>2413</v>
      </c>
      <c r="Q1827" s="2">
        <v>46058</v>
      </c>
      <c r="V1827" s="1">
        <f t="shared" si="28"/>
        <v>1</v>
      </c>
      <c r="W1827" s="1" t="s">
        <v>8451</v>
      </c>
    </row>
    <row r="1828" spans="1:24">
      <c r="A1828" s="2">
        <v>46055</v>
      </c>
      <c r="B1828" s="1" t="s">
        <v>7860</v>
      </c>
      <c r="C1828" s="1" t="s">
        <v>4919</v>
      </c>
      <c r="D1828" s="1" t="s">
        <v>3166</v>
      </c>
      <c r="E1828" s="1">
        <v>85375</v>
      </c>
      <c r="F1828" s="1" t="s">
        <v>8452</v>
      </c>
      <c r="G1828" s="39" t="s">
        <v>8407</v>
      </c>
      <c r="H1828" s="4" t="s">
        <v>694</v>
      </c>
      <c r="I1828" s="5" t="s">
        <v>2420</v>
      </c>
      <c r="J1828" s="5" t="s">
        <v>24</v>
      </c>
      <c r="K1828" s="5" t="s">
        <v>24</v>
      </c>
      <c r="L1828" s="5" t="s">
        <v>75</v>
      </c>
      <c r="M1828" s="5" t="s">
        <v>75</v>
      </c>
      <c r="N1828" s="13">
        <v>72.2</v>
      </c>
      <c r="O1828" s="5" t="s">
        <v>75</v>
      </c>
      <c r="P1828" s="5" t="s">
        <v>2413</v>
      </c>
      <c r="Q1828" s="2">
        <v>46058</v>
      </c>
      <c r="V1828" s="1">
        <f t="shared" si="28"/>
        <v>1</v>
      </c>
      <c r="W1828" s="1" t="s">
        <v>8453</v>
      </c>
    </row>
    <row r="1829" spans="1:24">
      <c r="A1829" s="2">
        <v>46055</v>
      </c>
      <c r="B1829" s="1" t="s">
        <v>5964</v>
      </c>
      <c r="C1829" s="1" t="s">
        <v>2635</v>
      </c>
      <c r="D1829" s="1" t="s">
        <v>3211</v>
      </c>
      <c r="E1829" s="1">
        <v>86326</v>
      </c>
      <c r="F1829" s="1" t="s">
        <v>8454</v>
      </c>
      <c r="G1829" s="39" t="s">
        <v>8407</v>
      </c>
      <c r="H1829" s="4" t="s">
        <v>1500</v>
      </c>
      <c r="I1829" s="5" t="s">
        <v>2420</v>
      </c>
      <c r="J1829" s="5" t="s">
        <v>24</v>
      </c>
      <c r="K1829" s="5" t="s">
        <v>24</v>
      </c>
      <c r="L1829" s="5" t="s">
        <v>75</v>
      </c>
      <c r="M1829" s="5" t="s">
        <v>24</v>
      </c>
      <c r="N1829" s="5" t="s">
        <v>24</v>
      </c>
      <c r="O1829" s="5" t="s">
        <v>75</v>
      </c>
      <c r="P1829" s="5" t="s">
        <v>2413</v>
      </c>
      <c r="Q1829" s="2">
        <v>46058</v>
      </c>
      <c r="V1829" s="1">
        <f t="shared" si="28"/>
        <v>1</v>
      </c>
      <c r="W1829" s="1" t="s">
        <v>8455</v>
      </c>
    </row>
    <row r="1830" spans="1:24">
      <c r="A1830" s="2">
        <v>46055</v>
      </c>
      <c r="B1830" s="1" t="s">
        <v>8456</v>
      </c>
      <c r="C1830" s="1" t="s">
        <v>8457</v>
      </c>
      <c r="D1830" s="1" t="s">
        <v>3945</v>
      </c>
      <c r="E1830" s="1">
        <v>85390</v>
      </c>
      <c r="F1830" s="1" t="s">
        <v>8458</v>
      </c>
      <c r="G1830" s="39" t="s">
        <v>8459</v>
      </c>
      <c r="H1830" s="4" t="s">
        <v>2401</v>
      </c>
      <c r="V1830" s="1">
        <f t="shared" si="28"/>
        <v>1</v>
      </c>
      <c r="W1830" s="1" t="s">
        <v>8460</v>
      </c>
    </row>
    <row r="1831" spans="1:24">
      <c r="A1831" s="2">
        <v>46055</v>
      </c>
      <c r="B1831" s="1" t="s">
        <v>8461</v>
      </c>
      <c r="C1831" s="1" t="s">
        <v>5679</v>
      </c>
      <c r="D1831" s="1" t="s">
        <v>3815</v>
      </c>
      <c r="E1831" s="1">
        <v>85355</v>
      </c>
      <c r="F1831" s="1" t="s">
        <v>8462</v>
      </c>
      <c r="G1831" s="39" t="s">
        <v>8459</v>
      </c>
      <c r="H1831" s="4" t="s">
        <v>2119</v>
      </c>
      <c r="I1831" s="5" t="s">
        <v>2412</v>
      </c>
      <c r="J1831" s="5" t="s">
        <v>24</v>
      </c>
      <c r="K1831" s="5" t="s">
        <v>24</v>
      </c>
      <c r="L1831" s="5" t="s">
        <v>75</v>
      </c>
      <c r="M1831" s="5" t="s">
        <v>24</v>
      </c>
      <c r="N1831" s="5" t="s">
        <v>24</v>
      </c>
      <c r="O1831" s="5" t="s">
        <v>75</v>
      </c>
      <c r="P1831" s="5" t="s">
        <v>2413</v>
      </c>
      <c r="Q1831" s="2">
        <v>46058</v>
      </c>
      <c r="V1831" s="1">
        <f t="shared" si="28"/>
        <v>1</v>
      </c>
      <c r="W1831" s="1" t="s">
        <v>8463</v>
      </c>
    </row>
    <row r="1832" spans="1:24">
      <c r="A1832" s="2">
        <v>46055</v>
      </c>
      <c r="B1832" s="1" t="s">
        <v>8464</v>
      </c>
      <c r="C1832" s="1" t="s">
        <v>7207</v>
      </c>
      <c r="D1832" s="1" t="s">
        <v>2843</v>
      </c>
      <c r="E1832" s="1">
        <v>85123</v>
      </c>
      <c r="F1832" s="1" t="s">
        <v>8465</v>
      </c>
      <c r="G1832" s="39" t="s">
        <v>8459</v>
      </c>
      <c r="H1832" s="4" t="s">
        <v>578</v>
      </c>
      <c r="I1832" s="5" t="s">
        <v>2432</v>
      </c>
      <c r="J1832" s="5" t="s">
        <v>24</v>
      </c>
      <c r="K1832" s="5" t="s">
        <v>24</v>
      </c>
      <c r="L1832" s="5" t="s">
        <v>8466</v>
      </c>
      <c r="M1832" s="5" t="s">
        <v>24</v>
      </c>
      <c r="N1832" s="5" t="s">
        <v>24</v>
      </c>
      <c r="O1832" s="5" t="s">
        <v>75</v>
      </c>
      <c r="Q1832" s="41">
        <v>46058</v>
      </c>
      <c r="R1832" s="1" t="s">
        <v>7066</v>
      </c>
      <c r="V1832" s="1">
        <f t="shared" si="28"/>
        <v>1</v>
      </c>
      <c r="W1832" s="1" t="s">
        <v>8467</v>
      </c>
      <c r="X1832" s="32"/>
    </row>
    <row r="1833" spans="1:24">
      <c r="A1833" s="2">
        <v>46055</v>
      </c>
      <c r="B1833" s="1" t="s">
        <v>2635</v>
      </c>
      <c r="C1833" s="1" t="s">
        <v>7837</v>
      </c>
      <c r="D1833" s="1" t="s">
        <v>2605</v>
      </c>
      <c r="E1833" s="1">
        <v>85383</v>
      </c>
      <c r="F1833" s="1" t="s">
        <v>8468</v>
      </c>
      <c r="G1833" s="39" t="s">
        <v>8459</v>
      </c>
      <c r="H1833" s="4" t="s">
        <v>1940</v>
      </c>
      <c r="I1833" s="5" t="s">
        <v>2412</v>
      </c>
      <c r="J1833" s="5" t="s">
        <v>75</v>
      </c>
      <c r="K1833" s="5" t="s">
        <v>24</v>
      </c>
      <c r="L1833" s="5" t="s">
        <v>75</v>
      </c>
      <c r="M1833" s="5" t="s">
        <v>24</v>
      </c>
      <c r="N1833" s="5" t="s">
        <v>24</v>
      </c>
      <c r="O1833" s="5" t="s">
        <v>75</v>
      </c>
      <c r="Q1833" s="41">
        <v>46058</v>
      </c>
      <c r="R1833" s="1" t="s">
        <v>7780</v>
      </c>
      <c r="V1833" s="1">
        <f t="shared" si="28"/>
        <v>1</v>
      </c>
      <c r="W1833" s="1" t="s">
        <v>8469</v>
      </c>
      <c r="X1833" s="32"/>
    </row>
    <row r="1834" spans="1:24">
      <c r="A1834" s="2">
        <v>46055</v>
      </c>
      <c r="B1834" s="1" t="s">
        <v>5563</v>
      </c>
      <c r="C1834" s="1" t="s">
        <v>2912</v>
      </c>
      <c r="D1834" s="1" t="s">
        <v>2439</v>
      </c>
      <c r="E1834" s="1">
        <v>85020</v>
      </c>
      <c r="F1834" s="1" t="s">
        <v>8470</v>
      </c>
      <c r="G1834" s="39" t="s">
        <v>8459</v>
      </c>
      <c r="H1834" s="4" t="s">
        <v>1378</v>
      </c>
      <c r="I1834" s="5" t="s">
        <v>2988</v>
      </c>
      <c r="J1834" s="5" t="s">
        <v>24</v>
      </c>
      <c r="K1834" s="5" t="s">
        <v>24</v>
      </c>
      <c r="L1834" s="5" t="s">
        <v>7158</v>
      </c>
      <c r="M1834" s="5" t="s">
        <v>24</v>
      </c>
      <c r="N1834" s="5" t="s">
        <v>24</v>
      </c>
      <c r="O1834" s="5" t="s">
        <v>75</v>
      </c>
      <c r="P1834" s="5" t="s">
        <v>2413</v>
      </c>
      <c r="Q1834" s="2">
        <v>46058</v>
      </c>
      <c r="V1834" s="1">
        <f t="shared" si="28"/>
        <v>1</v>
      </c>
      <c r="W1834" s="1" t="s">
        <v>8471</v>
      </c>
    </row>
    <row r="1835" spans="1:24">
      <c r="A1835" s="2">
        <v>46055</v>
      </c>
      <c r="B1835" s="1" t="s">
        <v>8472</v>
      </c>
      <c r="C1835" s="1" t="s">
        <v>8473</v>
      </c>
      <c r="D1835" s="1" t="s">
        <v>2513</v>
      </c>
      <c r="E1835" s="1">
        <v>85258</v>
      </c>
      <c r="F1835" s="1" t="s">
        <v>8474</v>
      </c>
      <c r="G1835" s="39" t="s">
        <v>8459</v>
      </c>
      <c r="H1835" s="4" t="s">
        <v>2123</v>
      </c>
      <c r="I1835" s="5" t="s">
        <v>2659</v>
      </c>
      <c r="J1835" s="5" t="s">
        <v>24</v>
      </c>
      <c r="K1835" s="5" t="s">
        <v>24</v>
      </c>
      <c r="L1835" s="5" t="s">
        <v>75</v>
      </c>
      <c r="M1835" s="5" t="s">
        <v>24</v>
      </c>
      <c r="N1835" s="5" t="s">
        <v>24</v>
      </c>
      <c r="O1835" s="5" t="s">
        <v>75</v>
      </c>
      <c r="P1835" s="5" t="s">
        <v>2413</v>
      </c>
      <c r="Q1835" s="2">
        <v>46058</v>
      </c>
      <c r="V1835" s="1">
        <f t="shared" si="28"/>
        <v>1</v>
      </c>
      <c r="W1835" s="1" t="s">
        <v>8475</v>
      </c>
    </row>
    <row r="1836" spans="1:24">
      <c r="A1836" s="2">
        <v>46055</v>
      </c>
      <c r="B1836" s="1" t="s">
        <v>2631</v>
      </c>
      <c r="C1836" s="1" t="s">
        <v>2632</v>
      </c>
      <c r="D1836" s="1" t="s">
        <v>2405</v>
      </c>
      <c r="E1836" s="1" t="s">
        <v>2405</v>
      </c>
      <c r="F1836" s="1" t="s">
        <v>8476</v>
      </c>
      <c r="G1836" s="39" t="s">
        <v>8477</v>
      </c>
      <c r="H1836" s="4" t="s">
        <v>2401</v>
      </c>
      <c r="R1836" s="1" t="s">
        <v>7368</v>
      </c>
      <c r="V1836" s="1">
        <f t="shared" si="28"/>
        <v>1</v>
      </c>
      <c r="W1836" s="1" t="s">
        <v>8478</v>
      </c>
    </row>
    <row r="1837" spans="1:24">
      <c r="A1837" s="2">
        <v>46055</v>
      </c>
      <c r="B1837" s="1" t="s">
        <v>2409</v>
      </c>
      <c r="C1837" s="1" t="s">
        <v>4437</v>
      </c>
      <c r="D1837" s="1" t="s">
        <v>2398</v>
      </c>
      <c r="E1837" s="1">
        <v>85310</v>
      </c>
      <c r="F1837" s="1" t="s">
        <v>8479</v>
      </c>
      <c r="G1837" s="39" t="s">
        <v>8480</v>
      </c>
      <c r="H1837" s="4" t="s">
        <v>2331</v>
      </c>
      <c r="I1837" s="5" t="s">
        <v>2412</v>
      </c>
      <c r="J1837" s="5" t="s">
        <v>24</v>
      </c>
      <c r="K1837" s="5" t="s">
        <v>24</v>
      </c>
      <c r="L1837" s="5" t="s">
        <v>75</v>
      </c>
      <c r="M1837" s="5" t="s">
        <v>24</v>
      </c>
      <c r="N1837" s="5" t="s">
        <v>24</v>
      </c>
      <c r="O1837" s="5" t="s">
        <v>75</v>
      </c>
      <c r="P1837" s="5" t="s">
        <v>2413</v>
      </c>
      <c r="Q1837" s="2">
        <v>46058</v>
      </c>
      <c r="V1837" s="1">
        <f t="shared" si="28"/>
        <v>1</v>
      </c>
      <c r="W1837" s="1" t="s">
        <v>8481</v>
      </c>
    </row>
    <row r="1838" spans="1:24">
      <c r="A1838" s="2">
        <v>46056</v>
      </c>
      <c r="B1838" s="1" t="s">
        <v>7170</v>
      </c>
      <c r="C1838" s="1" t="s">
        <v>8482</v>
      </c>
      <c r="D1838" s="1" t="s">
        <v>2862</v>
      </c>
      <c r="E1838" s="1">
        <v>85335</v>
      </c>
      <c r="F1838" s="1" t="s">
        <v>8483</v>
      </c>
      <c r="G1838" s="39" t="s">
        <v>8484</v>
      </c>
      <c r="H1838" s="4" t="s">
        <v>2401</v>
      </c>
      <c r="Q1838" s="134"/>
      <c r="V1838" s="1">
        <f t="shared" si="28"/>
        <v>1</v>
      </c>
      <c r="W1838" s="1" t="s">
        <v>8485</v>
      </c>
    </row>
    <row r="1839" spans="1:24">
      <c r="A1839" s="2">
        <v>46056</v>
      </c>
      <c r="B1839" s="1" t="s">
        <v>8486</v>
      </c>
      <c r="C1839" s="1" t="s">
        <v>3050</v>
      </c>
      <c r="D1839" s="1" t="s">
        <v>2475</v>
      </c>
      <c r="E1839" s="1">
        <v>85373</v>
      </c>
      <c r="F1839" s="1" t="s">
        <v>8487</v>
      </c>
      <c r="G1839" s="39" t="s">
        <v>8484</v>
      </c>
      <c r="H1839" s="4" t="s">
        <v>2401</v>
      </c>
      <c r="Q1839" s="134"/>
      <c r="V1839" s="1">
        <f t="shared" si="28"/>
        <v>1</v>
      </c>
      <c r="W1839" s="1" t="s">
        <v>8488</v>
      </c>
    </row>
    <row r="1840" spans="1:24">
      <c r="A1840" s="2">
        <v>46056</v>
      </c>
      <c r="B1840" s="1" t="s">
        <v>5434</v>
      </c>
      <c r="C1840" s="1" t="s">
        <v>8489</v>
      </c>
      <c r="D1840" s="1" t="s">
        <v>3166</v>
      </c>
      <c r="E1840" s="1">
        <v>85375</v>
      </c>
      <c r="F1840" s="1" t="s">
        <v>8490</v>
      </c>
      <c r="G1840" s="39" t="s">
        <v>8491</v>
      </c>
      <c r="H1840" s="4" t="s">
        <v>2125</v>
      </c>
      <c r="I1840" s="5" t="s">
        <v>2420</v>
      </c>
      <c r="J1840" s="5" t="s">
        <v>24</v>
      </c>
      <c r="K1840" s="5" t="s">
        <v>24</v>
      </c>
      <c r="L1840" s="5" t="s">
        <v>75</v>
      </c>
      <c r="M1840" s="5" t="s">
        <v>24</v>
      </c>
      <c r="N1840" s="5" t="s">
        <v>24</v>
      </c>
      <c r="O1840" s="5" t="s">
        <v>75</v>
      </c>
      <c r="P1840" s="5" t="s">
        <v>2413</v>
      </c>
      <c r="Q1840" s="135">
        <v>46062</v>
      </c>
      <c r="V1840" s="1">
        <f t="shared" si="28"/>
        <v>1</v>
      </c>
      <c r="W1840" s="1" t="s">
        <v>8492</v>
      </c>
    </row>
    <row r="1841" spans="1:23">
      <c r="A1841" s="2">
        <v>46056</v>
      </c>
      <c r="B1841" s="1" t="s">
        <v>8493</v>
      </c>
      <c r="C1841" s="1" t="s">
        <v>2643</v>
      </c>
      <c r="D1841" s="1" t="s">
        <v>2439</v>
      </c>
      <c r="E1841" s="1">
        <v>85029</v>
      </c>
      <c r="F1841" s="1" t="s">
        <v>8494</v>
      </c>
      <c r="G1841" s="39" t="s">
        <v>8491</v>
      </c>
      <c r="H1841" s="4" t="s">
        <v>720</v>
      </c>
      <c r="I1841" s="5" t="s">
        <v>2412</v>
      </c>
      <c r="J1841" s="5" t="s">
        <v>24</v>
      </c>
      <c r="K1841" s="5" t="s">
        <v>24</v>
      </c>
      <c r="L1841" s="5" t="s">
        <v>75</v>
      </c>
      <c r="M1841" s="5" t="s">
        <v>75</v>
      </c>
      <c r="N1841" s="13">
        <v>450.33</v>
      </c>
      <c r="O1841" s="5" t="s">
        <v>75</v>
      </c>
      <c r="Q1841" s="136">
        <v>44966</v>
      </c>
      <c r="R1841" s="1" t="s">
        <v>7780</v>
      </c>
      <c r="V1841" s="1">
        <f t="shared" si="28"/>
        <v>1</v>
      </c>
      <c r="W1841" s="1" t="s">
        <v>8495</v>
      </c>
    </row>
    <row r="1842" spans="1:23">
      <c r="A1842" s="2">
        <v>46056</v>
      </c>
      <c r="B1842" s="1" t="s">
        <v>8496</v>
      </c>
      <c r="C1842" s="1" t="s">
        <v>3610</v>
      </c>
      <c r="D1842" s="1" t="s">
        <v>2570</v>
      </c>
      <c r="E1842" s="1">
        <v>85396</v>
      </c>
      <c r="F1842" s="1" t="s">
        <v>8497</v>
      </c>
      <c r="G1842" s="39" t="s">
        <v>8491</v>
      </c>
      <c r="H1842" s="4" t="s">
        <v>2127</v>
      </c>
      <c r="I1842" s="5" t="s">
        <v>2514</v>
      </c>
      <c r="J1842" s="5" t="s">
        <v>24</v>
      </c>
      <c r="K1842" s="5" t="s">
        <v>24</v>
      </c>
      <c r="L1842" s="5" t="s">
        <v>75</v>
      </c>
      <c r="M1842" s="5" t="s">
        <v>24</v>
      </c>
      <c r="N1842" s="5" t="s">
        <v>24</v>
      </c>
      <c r="O1842" s="5" t="s">
        <v>75</v>
      </c>
      <c r="P1842" s="5" t="s">
        <v>2413</v>
      </c>
      <c r="Q1842" s="135">
        <v>46062</v>
      </c>
      <c r="V1842" s="1">
        <f t="shared" si="28"/>
        <v>1</v>
      </c>
      <c r="W1842" s="1" t="s">
        <v>8498</v>
      </c>
    </row>
    <row r="1843" spans="1:23">
      <c r="A1843" s="2">
        <v>46057</v>
      </c>
      <c r="B1843" s="1" t="s">
        <v>8499</v>
      </c>
      <c r="C1843" s="1" t="s">
        <v>4151</v>
      </c>
      <c r="D1843" s="1" t="s">
        <v>8500</v>
      </c>
      <c r="E1843" s="1">
        <v>85937</v>
      </c>
      <c r="F1843" s="1" t="s">
        <v>8501</v>
      </c>
      <c r="G1843" s="39" t="s">
        <v>8502</v>
      </c>
      <c r="H1843" s="4" t="s">
        <v>2401</v>
      </c>
      <c r="Q1843" s="134"/>
      <c r="V1843" s="1">
        <f t="shared" si="28"/>
        <v>1</v>
      </c>
      <c r="W1843" s="1" t="s">
        <v>8503</v>
      </c>
    </row>
    <row r="1844" spans="1:23">
      <c r="A1844" s="2">
        <v>46057</v>
      </c>
      <c r="B1844" s="1" t="s">
        <v>8504</v>
      </c>
      <c r="C1844" s="1" t="s">
        <v>2405</v>
      </c>
      <c r="D1844" s="1" t="s">
        <v>2405</v>
      </c>
      <c r="E1844" s="1" t="s">
        <v>7784</v>
      </c>
      <c r="F1844" s="1" t="s">
        <v>8505</v>
      </c>
      <c r="G1844" s="39" t="s">
        <v>8506</v>
      </c>
      <c r="H1844" s="4" t="s">
        <v>2401</v>
      </c>
      <c r="Q1844" s="134"/>
      <c r="V1844" s="1">
        <f t="shared" si="28"/>
        <v>1</v>
      </c>
      <c r="W1844" s="1" t="s">
        <v>8507</v>
      </c>
    </row>
    <row r="1845" spans="1:23">
      <c r="A1845" s="2">
        <v>46058</v>
      </c>
      <c r="B1845" s="1" t="s">
        <v>8508</v>
      </c>
      <c r="C1845" s="1" t="s">
        <v>8509</v>
      </c>
      <c r="D1845" s="1" t="s">
        <v>3303</v>
      </c>
      <c r="E1845" s="1">
        <v>86305</v>
      </c>
      <c r="F1845" s="1" t="s">
        <v>8510</v>
      </c>
      <c r="G1845" s="39" t="s">
        <v>8511</v>
      </c>
      <c r="H1845" s="4" t="s">
        <v>2129</v>
      </c>
      <c r="I1845" s="5" t="s">
        <v>2412</v>
      </c>
      <c r="J1845" s="5" t="s">
        <v>24</v>
      </c>
      <c r="K1845" s="5" t="s">
        <v>24</v>
      </c>
      <c r="L1845" s="5" t="s">
        <v>75</v>
      </c>
      <c r="M1845" s="5" t="s">
        <v>24</v>
      </c>
      <c r="N1845" s="5" t="s">
        <v>24</v>
      </c>
      <c r="O1845" s="5" t="s">
        <v>75</v>
      </c>
      <c r="P1845" s="5" t="s">
        <v>2413</v>
      </c>
      <c r="Q1845" s="135">
        <v>46062</v>
      </c>
      <c r="V1845" s="1">
        <f t="shared" si="28"/>
        <v>1</v>
      </c>
      <c r="W1845" s="1" t="s">
        <v>8512</v>
      </c>
    </row>
    <row r="1846" spans="1:23">
      <c r="A1846" s="2">
        <v>46058</v>
      </c>
      <c r="B1846" s="1" t="s">
        <v>3101</v>
      </c>
      <c r="C1846" s="1" t="s">
        <v>8513</v>
      </c>
      <c r="D1846" s="1" t="s">
        <v>3118</v>
      </c>
      <c r="E1846" s="1">
        <v>85350</v>
      </c>
      <c r="F1846" s="1" t="s">
        <v>8514</v>
      </c>
      <c r="G1846" s="39" t="s">
        <v>8511</v>
      </c>
      <c r="H1846" s="4" t="s">
        <v>2131</v>
      </c>
      <c r="I1846" s="5" t="s">
        <v>2988</v>
      </c>
      <c r="J1846" s="5" t="s">
        <v>24</v>
      </c>
      <c r="K1846" s="5" t="s">
        <v>24</v>
      </c>
      <c r="L1846" s="5" t="s">
        <v>7158</v>
      </c>
      <c r="M1846" s="5" t="s">
        <v>24</v>
      </c>
      <c r="N1846" s="5" t="s">
        <v>24</v>
      </c>
      <c r="O1846" s="5" t="s">
        <v>75</v>
      </c>
      <c r="P1846" s="5" t="s">
        <v>2413</v>
      </c>
      <c r="Q1846" s="135">
        <v>46062</v>
      </c>
      <c r="V1846" s="1">
        <f t="shared" si="28"/>
        <v>1</v>
      </c>
      <c r="W1846" s="1" t="s">
        <v>8515</v>
      </c>
    </row>
    <row r="1847" spans="1:23">
      <c r="A1847" s="2">
        <v>46058</v>
      </c>
      <c r="B1847" s="1" t="s">
        <v>5734</v>
      </c>
      <c r="C1847" s="1" t="s">
        <v>5909</v>
      </c>
      <c r="D1847" s="1" t="s">
        <v>2564</v>
      </c>
      <c r="E1847" s="1">
        <v>85338</v>
      </c>
      <c r="F1847" s="1" t="s">
        <v>8516</v>
      </c>
      <c r="G1847" s="39" t="s">
        <v>8511</v>
      </c>
      <c r="H1847" s="4" t="s">
        <v>580</v>
      </c>
      <c r="I1847" s="5" t="s">
        <v>2420</v>
      </c>
      <c r="J1847" s="5" t="s">
        <v>24</v>
      </c>
      <c r="K1847" s="5" t="s">
        <v>24</v>
      </c>
      <c r="L1847" s="5" t="s">
        <v>8517</v>
      </c>
      <c r="M1847" s="5" t="s">
        <v>24</v>
      </c>
      <c r="N1847" s="5" t="s">
        <v>24</v>
      </c>
      <c r="O1847" s="5" t="s">
        <v>75</v>
      </c>
      <c r="P1847" s="5" t="s">
        <v>2413</v>
      </c>
      <c r="Q1847" s="135">
        <v>46062</v>
      </c>
      <c r="V1847" s="1">
        <f t="shared" si="28"/>
        <v>1</v>
      </c>
      <c r="W1847" s="1" t="s">
        <v>8518</v>
      </c>
    </row>
    <row r="1848" spans="1:23">
      <c r="A1848" s="2">
        <v>46058</v>
      </c>
      <c r="B1848" s="1" t="s">
        <v>8519</v>
      </c>
      <c r="C1848" s="1" t="s">
        <v>8520</v>
      </c>
      <c r="D1848" s="1" t="s">
        <v>2439</v>
      </c>
      <c r="E1848" s="1">
        <v>85022</v>
      </c>
      <c r="F1848" s="1" t="s">
        <v>8521</v>
      </c>
      <c r="G1848" s="39" t="s">
        <v>8511</v>
      </c>
      <c r="H1848" s="4" t="s">
        <v>2401</v>
      </c>
      <c r="Q1848" s="134"/>
      <c r="V1848" s="1">
        <f t="shared" si="28"/>
        <v>1</v>
      </c>
      <c r="W1848" s="1" t="s">
        <v>8522</v>
      </c>
    </row>
    <row r="1849" spans="1:23">
      <c r="A1849" s="2">
        <v>46059</v>
      </c>
      <c r="B1849" s="1" t="s">
        <v>8523</v>
      </c>
      <c r="C1849" s="1" t="s">
        <v>5575</v>
      </c>
      <c r="D1849" s="1" t="s">
        <v>2439</v>
      </c>
      <c r="E1849" s="1">
        <v>85028</v>
      </c>
      <c r="F1849" s="1" t="s">
        <v>8524</v>
      </c>
      <c r="G1849" s="39" t="s">
        <v>8525</v>
      </c>
      <c r="H1849" s="4" t="s">
        <v>2133</v>
      </c>
      <c r="I1849" s="5" t="s">
        <v>2412</v>
      </c>
      <c r="J1849" s="5" t="s">
        <v>24</v>
      </c>
      <c r="K1849" s="5" t="s">
        <v>24</v>
      </c>
      <c r="L1849" s="5" t="s">
        <v>75</v>
      </c>
      <c r="M1849" s="5" t="s">
        <v>24</v>
      </c>
      <c r="N1849" s="5" t="s">
        <v>24</v>
      </c>
      <c r="O1849" s="5" t="s">
        <v>75</v>
      </c>
      <c r="P1849" s="5" t="s">
        <v>2413</v>
      </c>
      <c r="Q1849" s="135">
        <v>46062</v>
      </c>
      <c r="R1849" s="1" t="s">
        <v>8526</v>
      </c>
      <c r="V1849" s="1">
        <f t="shared" si="28"/>
        <v>1</v>
      </c>
      <c r="W1849" s="1" t="s">
        <v>8527</v>
      </c>
    </row>
    <row r="1850" spans="1:23">
      <c r="A1850" s="2">
        <v>46059</v>
      </c>
      <c r="B1850" s="1" t="s">
        <v>8528</v>
      </c>
      <c r="C1850" s="1" t="s">
        <v>8118</v>
      </c>
      <c r="D1850" s="1" t="s">
        <v>2439</v>
      </c>
      <c r="E1850" s="1">
        <v>85054</v>
      </c>
      <c r="F1850" s="1" t="s">
        <v>8529</v>
      </c>
      <c r="G1850" s="39" t="s">
        <v>8525</v>
      </c>
      <c r="H1850" s="4" t="s">
        <v>2401</v>
      </c>
      <c r="Q1850" s="134"/>
      <c r="V1850" s="1">
        <f t="shared" si="28"/>
        <v>1</v>
      </c>
      <c r="W1850" s="1" t="s">
        <v>8530</v>
      </c>
    </row>
    <row r="1851" spans="1:23">
      <c r="A1851" s="2">
        <v>46062</v>
      </c>
      <c r="B1851" s="1" t="s">
        <v>3663</v>
      </c>
      <c r="C1851" s="1" t="s">
        <v>2524</v>
      </c>
      <c r="D1851" s="1" t="s">
        <v>2439</v>
      </c>
      <c r="E1851" s="1">
        <v>85086</v>
      </c>
      <c r="F1851" s="1" t="s">
        <v>8531</v>
      </c>
      <c r="G1851" s="39" t="s">
        <v>8532</v>
      </c>
      <c r="H1851" s="4" t="s">
        <v>2471</v>
      </c>
      <c r="Q1851" s="134"/>
      <c r="R1851" s="1" t="s">
        <v>8033</v>
      </c>
      <c r="V1851" s="1">
        <f t="shared" si="28"/>
        <v>1</v>
      </c>
      <c r="W1851" s="1" t="s">
        <v>8533</v>
      </c>
    </row>
    <row r="1852" spans="1:23">
      <c r="A1852" s="2">
        <v>46062</v>
      </c>
      <c r="B1852" s="1" t="s">
        <v>4510</v>
      </c>
      <c r="C1852" s="1" t="s">
        <v>4447</v>
      </c>
      <c r="D1852" s="1" t="s">
        <v>2800</v>
      </c>
      <c r="E1852" s="1">
        <v>85225</v>
      </c>
      <c r="F1852" s="1" t="s">
        <v>8534</v>
      </c>
      <c r="G1852" s="39" t="s">
        <v>8532</v>
      </c>
      <c r="H1852" s="4" t="s">
        <v>2135</v>
      </c>
      <c r="I1852" s="5" t="s">
        <v>2451</v>
      </c>
      <c r="J1852" s="5" t="s">
        <v>75</v>
      </c>
      <c r="K1852" s="5" t="s">
        <v>24</v>
      </c>
      <c r="L1852" s="5" t="s">
        <v>75</v>
      </c>
      <c r="M1852" s="5" t="s">
        <v>24</v>
      </c>
      <c r="N1852" s="5" t="s">
        <v>24</v>
      </c>
      <c r="O1852" s="5" t="s">
        <v>75</v>
      </c>
      <c r="P1852" s="5" t="s">
        <v>2413</v>
      </c>
      <c r="Q1852" s="135">
        <v>46062</v>
      </c>
      <c r="V1852" s="1">
        <f t="shared" si="28"/>
        <v>1</v>
      </c>
      <c r="W1852" s="1" t="s">
        <v>8535</v>
      </c>
    </row>
    <row r="1853" spans="1:23">
      <c r="A1853" s="2">
        <v>46062</v>
      </c>
      <c r="B1853" s="1" t="s">
        <v>8536</v>
      </c>
      <c r="C1853" s="1" t="s">
        <v>2733</v>
      </c>
      <c r="D1853" s="1" t="s">
        <v>2439</v>
      </c>
      <c r="E1853" s="1">
        <v>85022</v>
      </c>
      <c r="F1853" s="1" t="s">
        <v>8537</v>
      </c>
      <c r="G1853" s="39" t="s">
        <v>8532</v>
      </c>
      <c r="H1853" s="4" t="s">
        <v>2137</v>
      </c>
      <c r="I1853" s="5" t="s">
        <v>2412</v>
      </c>
      <c r="J1853" s="5" t="s">
        <v>24</v>
      </c>
      <c r="K1853" s="5" t="s">
        <v>24</v>
      </c>
      <c r="L1853" s="5" t="s">
        <v>75</v>
      </c>
      <c r="M1853" s="5" t="s">
        <v>24</v>
      </c>
      <c r="N1853" s="5" t="s">
        <v>24</v>
      </c>
      <c r="O1853" s="5" t="s">
        <v>75</v>
      </c>
      <c r="P1853" s="5" t="s">
        <v>2413</v>
      </c>
      <c r="Q1853" s="135">
        <v>46062</v>
      </c>
      <c r="R1853" s="1" t="s">
        <v>3555</v>
      </c>
      <c r="V1853" s="1">
        <f t="shared" si="28"/>
        <v>1</v>
      </c>
      <c r="W1853" s="1" t="s">
        <v>8538</v>
      </c>
    </row>
    <row r="1854" spans="1:23">
      <c r="A1854" s="2">
        <v>46064</v>
      </c>
      <c r="B1854" s="1" t="s">
        <v>8539</v>
      </c>
      <c r="C1854" s="1" t="s">
        <v>2924</v>
      </c>
      <c r="D1854" s="1" t="s">
        <v>2475</v>
      </c>
      <c r="E1854" s="1">
        <v>85351</v>
      </c>
      <c r="F1854" s="1" t="s">
        <v>8540</v>
      </c>
      <c r="G1854" s="39" t="s">
        <v>8541</v>
      </c>
      <c r="H1854" s="4" t="s">
        <v>2139</v>
      </c>
      <c r="I1854" s="5" t="s">
        <v>2412</v>
      </c>
      <c r="J1854" s="5" t="s">
        <v>24</v>
      </c>
      <c r="K1854" s="5" t="s">
        <v>24</v>
      </c>
      <c r="L1854" s="5" t="s">
        <v>75</v>
      </c>
      <c r="M1854" s="5" t="s">
        <v>24</v>
      </c>
      <c r="N1854" s="5" t="s">
        <v>24</v>
      </c>
      <c r="O1854" s="5" t="s">
        <v>75</v>
      </c>
      <c r="P1854" s="5" t="s">
        <v>2413</v>
      </c>
      <c r="Q1854" s="137">
        <v>46066</v>
      </c>
      <c r="V1854" s="1">
        <f t="shared" si="28"/>
        <v>1</v>
      </c>
      <c r="W1854" s="1" t="s">
        <v>8542</v>
      </c>
    </row>
    <row r="1855" spans="1:23">
      <c r="A1855" s="2">
        <v>46064</v>
      </c>
      <c r="B1855" s="1" t="s">
        <v>8543</v>
      </c>
      <c r="C1855" s="1" t="s">
        <v>3900</v>
      </c>
      <c r="D1855" s="1" t="s">
        <v>3303</v>
      </c>
      <c r="E1855" s="1">
        <v>86303</v>
      </c>
      <c r="F1855" s="1" t="s">
        <v>8544</v>
      </c>
      <c r="G1855" s="39" t="s">
        <v>8541</v>
      </c>
      <c r="H1855" s="4" t="s">
        <v>2141</v>
      </c>
      <c r="I1855" s="5" t="s">
        <v>2451</v>
      </c>
      <c r="J1855" s="5" t="s">
        <v>75</v>
      </c>
      <c r="K1855" s="5" t="s">
        <v>24</v>
      </c>
      <c r="L1855" s="5" t="s">
        <v>75</v>
      </c>
      <c r="M1855" s="5" t="s">
        <v>24</v>
      </c>
      <c r="N1855" s="5" t="s">
        <v>24</v>
      </c>
      <c r="O1855" s="5" t="s">
        <v>75</v>
      </c>
      <c r="P1855" s="5" t="s">
        <v>2413</v>
      </c>
      <c r="Q1855" s="137">
        <v>46066</v>
      </c>
      <c r="V1855" s="1">
        <f t="shared" si="28"/>
        <v>1</v>
      </c>
      <c r="W1855" s="1" t="s">
        <v>8545</v>
      </c>
    </row>
    <row r="1856" spans="1:23">
      <c r="A1856" s="2">
        <v>46064</v>
      </c>
      <c r="B1856" s="1" t="s">
        <v>8546</v>
      </c>
      <c r="C1856" s="1" t="s">
        <v>3264</v>
      </c>
      <c r="D1856" s="1" t="s">
        <v>2439</v>
      </c>
      <c r="E1856" s="1">
        <v>85008</v>
      </c>
      <c r="F1856" s="1" t="s">
        <v>8547</v>
      </c>
      <c r="G1856" s="39" t="s">
        <v>8541</v>
      </c>
      <c r="H1856" s="4" t="s">
        <v>582</v>
      </c>
      <c r="I1856" s="5" t="s">
        <v>2597</v>
      </c>
      <c r="J1856" s="5" t="s">
        <v>24</v>
      </c>
      <c r="K1856" s="5" t="s">
        <v>24</v>
      </c>
      <c r="L1856" s="5" t="s">
        <v>8548</v>
      </c>
      <c r="M1856" s="5" t="s">
        <v>24</v>
      </c>
      <c r="N1856" s="5" t="s">
        <v>24</v>
      </c>
      <c r="O1856" s="5" t="s">
        <v>75</v>
      </c>
      <c r="Q1856" s="138">
        <v>46066</v>
      </c>
      <c r="R1856" s="1" t="s">
        <v>8549</v>
      </c>
      <c r="V1856" s="1">
        <f t="shared" si="28"/>
        <v>1</v>
      </c>
      <c r="W1856" s="1" t="s">
        <v>8550</v>
      </c>
    </row>
    <row r="1857" spans="1:23">
      <c r="A1857" s="2">
        <v>46064</v>
      </c>
      <c r="B1857" s="1" t="s">
        <v>2424</v>
      </c>
      <c r="C1857" s="1" t="s">
        <v>3065</v>
      </c>
      <c r="D1857" s="1" t="s">
        <v>2475</v>
      </c>
      <c r="E1857" s="1">
        <v>85351</v>
      </c>
      <c r="F1857" s="1" t="s">
        <v>8551</v>
      </c>
      <c r="G1857" s="39" t="s">
        <v>8541</v>
      </c>
      <c r="H1857" s="4" t="s">
        <v>2401</v>
      </c>
      <c r="Q1857" s="35"/>
      <c r="V1857" s="1">
        <f t="shared" si="28"/>
        <v>1</v>
      </c>
      <c r="W1857" s="1" t="s">
        <v>8552</v>
      </c>
    </row>
    <row r="1858" spans="1:23">
      <c r="A1858" s="2">
        <v>46064</v>
      </c>
      <c r="B1858" s="1" t="s">
        <v>8553</v>
      </c>
      <c r="C1858" s="1" t="s">
        <v>8554</v>
      </c>
      <c r="D1858" s="1" t="s">
        <v>2475</v>
      </c>
      <c r="E1858" s="1">
        <v>85351</v>
      </c>
      <c r="F1858" s="1" t="s">
        <v>8555</v>
      </c>
      <c r="G1858" s="39" t="s">
        <v>8541</v>
      </c>
      <c r="H1858" s="4" t="s">
        <v>2143</v>
      </c>
      <c r="I1858" s="5" t="s">
        <v>4163</v>
      </c>
      <c r="J1858" s="5" t="s">
        <v>24</v>
      </c>
      <c r="K1858" s="5" t="s">
        <v>24</v>
      </c>
      <c r="L1858" s="5" t="s">
        <v>7158</v>
      </c>
      <c r="M1858" s="5" t="s">
        <v>24</v>
      </c>
      <c r="N1858" s="5" t="s">
        <v>24</v>
      </c>
      <c r="O1858" s="5" t="s">
        <v>75</v>
      </c>
      <c r="P1858" s="5" t="s">
        <v>2413</v>
      </c>
      <c r="Q1858" s="137">
        <v>46066</v>
      </c>
      <c r="V1858" s="1">
        <f t="shared" ref="V1858:V1921" si="29">IF(OR(ISNUMBER(SEARCH("unable to locate acct",G1858)),ISNUMBER(SEARCH("unknown",G1858)),ISNUMBER(SEARCH("inactive",G1858)),H1858=""),0,1)</f>
        <v>1</v>
      </c>
      <c r="W1858" s="1" t="s">
        <v>8556</v>
      </c>
    </row>
    <row r="1859" spans="1:23">
      <c r="A1859" s="2">
        <v>46064</v>
      </c>
      <c r="B1859" s="1" t="s">
        <v>8557</v>
      </c>
      <c r="C1859" s="1" t="s">
        <v>8558</v>
      </c>
      <c r="D1859" s="1" t="s">
        <v>2475</v>
      </c>
      <c r="F1859" s="1" t="s">
        <v>8559</v>
      </c>
      <c r="G1859" s="39" t="s">
        <v>8541</v>
      </c>
      <c r="H1859" s="4" t="s">
        <v>6858</v>
      </c>
      <c r="Q1859" s="35"/>
      <c r="V1859" s="1">
        <f t="shared" si="29"/>
        <v>0</v>
      </c>
      <c r="W1859" s="1" t="s">
        <v>8560</v>
      </c>
    </row>
    <row r="1860" spans="1:23">
      <c r="A1860" s="2">
        <v>46064</v>
      </c>
      <c r="B1860" s="1" t="s">
        <v>8546</v>
      </c>
      <c r="C1860" s="1" t="s">
        <v>8561</v>
      </c>
      <c r="D1860" s="1" t="s">
        <v>2439</v>
      </c>
      <c r="E1860" s="1">
        <v>85016</v>
      </c>
      <c r="F1860" s="1" t="s">
        <v>8562</v>
      </c>
      <c r="G1860" s="39" t="s">
        <v>8541</v>
      </c>
      <c r="H1860" s="4" t="s">
        <v>92</v>
      </c>
      <c r="I1860" s="5" t="s">
        <v>2597</v>
      </c>
      <c r="J1860" s="5" t="s">
        <v>24</v>
      </c>
      <c r="K1860" s="5" t="s">
        <v>24</v>
      </c>
      <c r="L1860" s="5" t="s">
        <v>8563</v>
      </c>
      <c r="M1860" s="5" t="s">
        <v>75</v>
      </c>
      <c r="N1860" s="13">
        <v>472.1</v>
      </c>
      <c r="O1860" s="5" t="s">
        <v>75</v>
      </c>
      <c r="Q1860" s="138">
        <v>46066</v>
      </c>
      <c r="R1860" s="1" t="s">
        <v>8419</v>
      </c>
      <c r="V1860" s="1">
        <f t="shared" si="29"/>
        <v>1</v>
      </c>
      <c r="W1860" s="1" t="s">
        <v>8564</v>
      </c>
    </row>
    <row r="1861" spans="1:23">
      <c r="A1861" s="2">
        <v>46064</v>
      </c>
      <c r="B1861" s="1" t="s">
        <v>8546</v>
      </c>
      <c r="C1861" s="1" t="s">
        <v>8565</v>
      </c>
      <c r="D1861" s="1" t="s">
        <v>2439</v>
      </c>
      <c r="E1861" s="1">
        <v>85014</v>
      </c>
      <c r="F1861" s="1" t="s">
        <v>8566</v>
      </c>
      <c r="G1861" s="39" t="s">
        <v>8541</v>
      </c>
      <c r="H1861" s="4" t="s">
        <v>2401</v>
      </c>
      <c r="Q1861" s="35"/>
      <c r="V1861" s="1">
        <f t="shared" si="29"/>
        <v>1</v>
      </c>
      <c r="W1861" s="1" t="s">
        <v>8567</v>
      </c>
    </row>
    <row r="1862" spans="1:23">
      <c r="A1862" s="2">
        <v>46064</v>
      </c>
      <c r="B1862" s="1" t="s">
        <v>8568</v>
      </c>
      <c r="C1862" s="1" t="s">
        <v>8569</v>
      </c>
      <c r="F1862" s="1" t="s">
        <v>8570</v>
      </c>
      <c r="G1862" s="39" t="s">
        <v>8541</v>
      </c>
      <c r="H1862" s="4" t="s">
        <v>2401</v>
      </c>
      <c r="Q1862" s="35"/>
      <c r="V1862" s="1">
        <f t="shared" si="29"/>
        <v>1</v>
      </c>
      <c r="W1862" s="1" t="s">
        <v>8571</v>
      </c>
    </row>
    <row r="1863" spans="1:23">
      <c r="A1863" s="2">
        <v>46064</v>
      </c>
      <c r="B1863" s="1" t="s">
        <v>8572</v>
      </c>
      <c r="C1863" s="1" t="s">
        <v>8573</v>
      </c>
      <c r="D1863" s="1" t="s">
        <v>8558</v>
      </c>
      <c r="E1863" s="1" t="s">
        <v>8574</v>
      </c>
      <c r="F1863" s="1" t="s">
        <v>8575</v>
      </c>
      <c r="G1863" s="39" t="s">
        <v>8541</v>
      </c>
      <c r="H1863" s="4" t="s">
        <v>2401</v>
      </c>
      <c r="Q1863" s="35"/>
      <c r="V1863" s="1">
        <f t="shared" si="29"/>
        <v>1</v>
      </c>
      <c r="W1863" s="1" t="s">
        <v>8576</v>
      </c>
    </row>
    <row r="1864" spans="1:23">
      <c r="A1864" s="2">
        <v>46064</v>
      </c>
      <c r="B1864" s="1" t="s">
        <v>8577</v>
      </c>
      <c r="C1864" s="1" t="s">
        <v>8578</v>
      </c>
      <c r="D1864" s="1" t="s">
        <v>3211</v>
      </c>
      <c r="E1864" s="1">
        <v>86326</v>
      </c>
      <c r="F1864" s="1" t="s">
        <v>8579</v>
      </c>
      <c r="G1864" s="39" t="s">
        <v>8541</v>
      </c>
      <c r="H1864" s="4" t="s">
        <v>2145</v>
      </c>
      <c r="I1864" s="5" t="s">
        <v>6953</v>
      </c>
      <c r="J1864" s="5" t="s">
        <v>24</v>
      </c>
      <c r="K1864" s="5" t="s">
        <v>24</v>
      </c>
      <c r="L1864" s="5" t="s">
        <v>7158</v>
      </c>
      <c r="M1864" s="5" t="s">
        <v>24</v>
      </c>
      <c r="N1864" s="5" t="s">
        <v>24</v>
      </c>
      <c r="O1864" s="5" t="s">
        <v>75</v>
      </c>
      <c r="P1864" s="5" t="s">
        <v>2413</v>
      </c>
      <c r="Q1864" s="137">
        <v>46066</v>
      </c>
      <c r="R1864" s="1" t="s">
        <v>2672</v>
      </c>
      <c r="V1864" s="1">
        <f t="shared" si="29"/>
        <v>1</v>
      </c>
      <c r="W1864" s="1" t="s">
        <v>8580</v>
      </c>
    </row>
    <row r="1865" spans="1:23">
      <c r="A1865" s="2">
        <v>46064</v>
      </c>
      <c r="B1865" s="1" t="s">
        <v>8581</v>
      </c>
      <c r="C1865" s="1" t="s">
        <v>7895</v>
      </c>
      <c r="D1865" s="1" t="s">
        <v>6018</v>
      </c>
      <c r="E1865" s="1">
        <v>85901</v>
      </c>
      <c r="F1865" s="1" t="s">
        <v>8582</v>
      </c>
      <c r="G1865" s="39" t="s">
        <v>8583</v>
      </c>
      <c r="H1865" s="4" t="s">
        <v>2401</v>
      </c>
      <c r="Q1865" s="35"/>
      <c r="V1865" s="1">
        <f t="shared" si="29"/>
        <v>1</v>
      </c>
      <c r="W1865" s="1" t="s">
        <v>8584</v>
      </c>
    </row>
    <row r="1866" spans="1:23">
      <c r="A1866" s="2">
        <v>46064</v>
      </c>
      <c r="B1866" s="1" t="s">
        <v>8585</v>
      </c>
      <c r="C1866" s="1" t="s">
        <v>2745</v>
      </c>
      <c r="D1866" s="1" t="s">
        <v>7934</v>
      </c>
      <c r="E1866" s="1">
        <v>86018</v>
      </c>
      <c r="F1866" s="1" t="s">
        <v>8586</v>
      </c>
      <c r="G1866" s="39" t="s">
        <v>8583</v>
      </c>
      <c r="H1866" s="4" t="s">
        <v>584</v>
      </c>
      <c r="I1866" s="5" t="s">
        <v>2420</v>
      </c>
      <c r="J1866" s="5" t="s">
        <v>24</v>
      </c>
      <c r="K1866" s="5" t="s">
        <v>24</v>
      </c>
      <c r="L1866" s="5" t="s">
        <v>7619</v>
      </c>
      <c r="M1866" s="5" t="s">
        <v>24</v>
      </c>
      <c r="N1866" s="5" t="s">
        <v>24</v>
      </c>
      <c r="O1866" s="5" t="s">
        <v>75</v>
      </c>
      <c r="P1866" s="5" t="s">
        <v>2413</v>
      </c>
      <c r="Q1866" s="137">
        <v>46066</v>
      </c>
      <c r="V1866" s="1">
        <f t="shared" si="29"/>
        <v>1</v>
      </c>
      <c r="W1866" s="1" t="s">
        <v>8587</v>
      </c>
    </row>
    <row r="1867" spans="1:23">
      <c r="A1867" s="2">
        <v>46064</v>
      </c>
      <c r="B1867" s="1" t="s">
        <v>8588</v>
      </c>
      <c r="C1867" s="1" t="s">
        <v>3157</v>
      </c>
      <c r="D1867" s="1" t="s">
        <v>2439</v>
      </c>
      <c r="E1867" s="1">
        <v>85050</v>
      </c>
      <c r="F1867" s="1" t="s">
        <v>8589</v>
      </c>
      <c r="G1867" s="39" t="s">
        <v>8583</v>
      </c>
      <c r="H1867" s="4" t="s">
        <v>2147</v>
      </c>
      <c r="I1867" s="5" t="s">
        <v>2420</v>
      </c>
      <c r="J1867" s="5" t="s">
        <v>24</v>
      </c>
      <c r="K1867" s="5" t="s">
        <v>24</v>
      </c>
      <c r="L1867" s="5" t="s">
        <v>75</v>
      </c>
      <c r="M1867" s="5" t="s">
        <v>24</v>
      </c>
      <c r="N1867" s="5" t="s">
        <v>24</v>
      </c>
      <c r="O1867" s="5" t="s">
        <v>75</v>
      </c>
      <c r="P1867" s="5" t="s">
        <v>2413</v>
      </c>
      <c r="Q1867" s="137">
        <v>46066</v>
      </c>
      <c r="V1867" s="1">
        <f t="shared" si="29"/>
        <v>1</v>
      </c>
      <c r="W1867" s="1" t="s">
        <v>8590</v>
      </c>
    </row>
    <row r="1868" spans="1:23">
      <c r="A1868" s="2">
        <v>46064</v>
      </c>
      <c r="B1868" s="1" t="s">
        <v>8591</v>
      </c>
      <c r="C1868" s="1" t="s">
        <v>2527</v>
      </c>
      <c r="D1868" s="1" t="s">
        <v>5372</v>
      </c>
      <c r="E1868" s="1">
        <v>86325</v>
      </c>
      <c r="F1868" s="1" t="s">
        <v>8592</v>
      </c>
      <c r="G1868" s="39" t="s">
        <v>8583</v>
      </c>
      <c r="H1868" s="4" t="s">
        <v>2471</v>
      </c>
      <c r="Q1868" s="35"/>
      <c r="V1868" s="1">
        <f t="shared" si="29"/>
        <v>1</v>
      </c>
      <c r="W1868" s="1" t="s">
        <v>8593</v>
      </c>
    </row>
    <row r="1869" spans="1:23">
      <c r="A1869" s="2">
        <v>46064</v>
      </c>
      <c r="B1869" s="1" t="s">
        <v>8594</v>
      </c>
      <c r="C1869" s="1" t="s">
        <v>2454</v>
      </c>
      <c r="D1869" s="1" t="s">
        <v>3073</v>
      </c>
      <c r="E1869" s="1">
        <v>85364</v>
      </c>
      <c r="F1869" s="1" t="s">
        <v>8595</v>
      </c>
      <c r="G1869" s="39" t="s">
        <v>8596</v>
      </c>
      <c r="H1869" s="4" t="s">
        <v>2149</v>
      </c>
      <c r="I1869" s="5" t="s">
        <v>2412</v>
      </c>
      <c r="J1869" s="5" t="s">
        <v>24</v>
      </c>
      <c r="K1869" s="5" t="s">
        <v>24</v>
      </c>
      <c r="L1869" s="5" t="s">
        <v>75</v>
      </c>
      <c r="M1869" s="5" t="s">
        <v>24</v>
      </c>
      <c r="N1869" s="5" t="s">
        <v>24</v>
      </c>
      <c r="O1869" s="5" t="s">
        <v>75</v>
      </c>
      <c r="P1869" s="5" t="s">
        <v>2413</v>
      </c>
      <c r="Q1869" s="137">
        <v>46066</v>
      </c>
      <c r="R1869" s="1" t="s">
        <v>7368</v>
      </c>
      <c r="V1869" s="1">
        <f t="shared" si="29"/>
        <v>1</v>
      </c>
      <c r="W1869" s="1" t="s">
        <v>8597</v>
      </c>
    </row>
    <row r="1870" spans="1:23">
      <c r="A1870" s="2">
        <v>46064</v>
      </c>
      <c r="B1870" s="1" t="s">
        <v>8598</v>
      </c>
      <c r="C1870" s="1" t="s">
        <v>2639</v>
      </c>
      <c r="D1870" s="1" t="s">
        <v>2570</v>
      </c>
      <c r="E1870" s="1">
        <v>85396</v>
      </c>
      <c r="F1870" s="1" t="s">
        <v>8599</v>
      </c>
      <c r="G1870" s="39" t="s">
        <v>8600</v>
      </c>
      <c r="H1870" s="4" t="s">
        <v>2151</v>
      </c>
      <c r="I1870" s="5" t="s">
        <v>2420</v>
      </c>
      <c r="J1870" s="5" t="s">
        <v>24</v>
      </c>
      <c r="K1870" s="5" t="s">
        <v>24</v>
      </c>
      <c r="L1870" s="5" t="s">
        <v>75</v>
      </c>
      <c r="M1870" s="5" t="s">
        <v>24</v>
      </c>
      <c r="N1870" s="5" t="s">
        <v>24</v>
      </c>
      <c r="O1870" s="5" t="s">
        <v>75</v>
      </c>
      <c r="P1870" s="5" t="s">
        <v>2413</v>
      </c>
      <c r="Q1870" s="137">
        <v>46066</v>
      </c>
      <c r="V1870" s="1">
        <f t="shared" si="29"/>
        <v>1</v>
      </c>
      <c r="W1870" s="1" t="s">
        <v>8601</v>
      </c>
    </row>
    <row r="1871" spans="1:23">
      <c r="A1871" s="2">
        <v>46064</v>
      </c>
      <c r="B1871" s="1" t="s">
        <v>8602</v>
      </c>
      <c r="C1871" s="1" t="s">
        <v>2459</v>
      </c>
      <c r="D1871" s="1" t="s">
        <v>2886</v>
      </c>
      <c r="E1871" s="1">
        <v>85361</v>
      </c>
      <c r="F1871" s="1" t="s">
        <v>8603</v>
      </c>
      <c r="G1871" s="39" t="s">
        <v>8600</v>
      </c>
      <c r="H1871" s="4" t="s">
        <v>94</v>
      </c>
      <c r="I1871" s="5" t="s">
        <v>2597</v>
      </c>
      <c r="J1871" s="5" t="s">
        <v>24</v>
      </c>
      <c r="K1871" s="5" t="s">
        <v>24</v>
      </c>
      <c r="L1871" s="5" t="s">
        <v>8604</v>
      </c>
      <c r="M1871" s="5" t="s">
        <v>75</v>
      </c>
      <c r="N1871" s="13">
        <v>409.95</v>
      </c>
      <c r="O1871" s="5" t="s">
        <v>75</v>
      </c>
      <c r="Q1871" s="138">
        <v>46066</v>
      </c>
      <c r="R1871" s="1" t="s">
        <v>8605</v>
      </c>
      <c r="V1871" s="1">
        <f t="shared" si="29"/>
        <v>1</v>
      </c>
      <c r="W1871" s="1" t="s">
        <v>8606</v>
      </c>
    </row>
    <row r="1872" spans="1:23">
      <c r="A1872" s="2">
        <v>46064</v>
      </c>
      <c r="C1872" s="1" t="s">
        <v>4215</v>
      </c>
      <c r="F1872" s="1" t="s">
        <v>8607</v>
      </c>
      <c r="G1872" s="39" t="s">
        <v>8600</v>
      </c>
      <c r="H1872" s="4" t="s">
        <v>2401</v>
      </c>
      <c r="Q1872" s="35"/>
      <c r="V1872" s="1">
        <f t="shared" si="29"/>
        <v>1</v>
      </c>
      <c r="W1872" s="1" t="s">
        <v>8608</v>
      </c>
    </row>
    <row r="1873" spans="1:23">
      <c r="A1873" s="2">
        <v>46065</v>
      </c>
      <c r="B1873" s="1" t="s">
        <v>4280</v>
      </c>
      <c r="C1873" s="1" t="s">
        <v>4955</v>
      </c>
      <c r="D1873" s="1" t="s">
        <v>2439</v>
      </c>
      <c r="F1873" s="1" t="s">
        <v>8609</v>
      </c>
      <c r="G1873" s="39" t="s">
        <v>8610</v>
      </c>
      <c r="H1873" s="4" t="s">
        <v>2153</v>
      </c>
      <c r="I1873" s="5" t="s">
        <v>2412</v>
      </c>
      <c r="J1873" s="5" t="s">
        <v>24</v>
      </c>
      <c r="K1873" s="5" t="s">
        <v>24</v>
      </c>
      <c r="L1873" s="5" t="s">
        <v>75</v>
      </c>
      <c r="M1873" s="5" t="s">
        <v>24</v>
      </c>
      <c r="N1873" s="5" t="s">
        <v>24</v>
      </c>
      <c r="O1873" s="5" t="s">
        <v>75</v>
      </c>
      <c r="P1873" s="5" t="s">
        <v>2413</v>
      </c>
      <c r="Q1873" s="137">
        <v>46066</v>
      </c>
      <c r="V1873" s="1">
        <f t="shared" si="29"/>
        <v>1</v>
      </c>
      <c r="W1873" s="131" t="s">
        <v>8611</v>
      </c>
    </row>
    <row r="1874" spans="1:23">
      <c r="A1874" s="2">
        <v>46065</v>
      </c>
      <c r="B1874" s="1" t="s">
        <v>3943</v>
      </c>
      <c r="C1874" s="1" t="s">
        <v>2706</v>
      </c>
      <c r="D1874" s="1" t="s">
        <v>3303</v>
      </c>
      <c r="E1874" s="1">
        <v>86303</v>
      </c>
      <c r="F1874" s="1" t="s">
        <v>8612</v>
      </c>
      <c r="G1874" s="39" t="s">
        <v>8610</v>
      </c>
      <c r="H1874" s="4" t="s">
        <v>2155</v>
      </c>
      <c r="I1874" s="5" t="s">
        <v>2451</v>
      </c>
      <c r="J1874" s="5" t="s">
        <v>24</v>
      </c>
      <c r="K1874" s="5" t="s">
        <v>24</v>
      </c>
      <c r="L1874" s="5" t="s">
        <v>75</v>
      </c>
      <c r="M1874" s="5" t="s">
        <v>24</v>
      </c>
      <c r="N1874" s="5" t="s">
        <v>24</v>
      </c>
      <c r="O1874" s="5" t="s">
        <v>75</v>
      </c>
      <c r="P1874" s="5" t="s">
        <v>2413</v>
      </c>
      <c r="Q1874" s="137">
        <v>46066</v>
      </c>
      <c r="V1874" s="1">
        <f t="shared" si="29"/>
        <v>1</v>
      </c>
      <c r="W1874" s="1" t="s">
        <v>8613</v>
      </c>
    </row>
    <row r="1875" spans="1:23">
      <c r="A1875" s="2">
        <v>46065</v>
      </c>
      <c r="B1875" s="1" t="s">
        <v>8493</v>
      </c>
      <c r="C1875" s="1" t="s">
        <v>4441</v>
      </c>
      <c r="D1875" s="1" t="s">
        <v>2513</v>
      </c>
      <c r="E1875" s="1">
        <v>85259</v>
      </c>
      <c r="F1875" s="1" t="s">
        <v>8614</v>
      </c>
      <c r="G1875" s="39" t="s">
        <v>8610</v>
      </c>
      <c r="H1875" s="4" t="s">
        <v>2401</v>
      </c>
      <c r="Q1875" s="35"/>
      <c r="V1875" s="1">
        <f t="shared" si="29"/>
        <v>1</v>
      </c>
      <c r="W1875" s="1" t="s">
        <v>8615</v>
      </c>
    </row>
    <row r="1876" spans="1:23">
      <c r="A1876" s="2">
        <v>46065</v>
      </c>
      <c r="B1876" s="1" t="s">
        <v>8616</v>
      </c>
      <c r="C1876" s="1" t="s">
        <v>5541</v>
      </c>
      <c r="D1876" s="1" t="s">
        <v>2470</v>
      </c>
      <c r="E1876" s="1">
        <v>86336</v>
      </c>
      <c r="F1876" s="1" t="s">
        <v>8617</v>
      </c>
      <c r="G1876" s="39" t="s">
        <v>8618</v>
      </c>
      <c r="H1876" s="4" t="s">
        <v>2157</v>
      </c>
      <c r="I1876" s="5" t="s">
        <v>2420</v>
      </c>
      <c r="J1876" s="5" t="s">
        <v>24</v>
      </c>
      <c r="K1876" s="5" t="s">
        <v>24</v>
      </c>
      <c r="L1876" s="5" t="s">
        <v>75</v>
      </c>
      <c r="M1876" s="5" t="s">
        <v>24</v>
      </c>
      <c r="N1876" s="5" t="s">
        <v>24</v>
      </c>
      <c r="O1876" s="5" t="s">
        <v>75</v>
      </c>
      <c r="P1876" s="5" t="s">
        <v>2413</v>
      </c>
      <c r="Q1876" s="137">
        <v>46066</v>
      </c>
      <c r="V1876" s="1">
        <f t="shared" si="29"/>
        <v>1</v>
      </c>
      <c r="W1876" s="1" t="s">
        <v>8619</v>
      </c>
    </row>
    <row r="1877" spans="1:23">
      <c r="A1877" s="2">
        <v>46065</v>
      </c>
      <c r="B1877" s="1" t="s">
        <v>8620</v>
      </c>
      <c r="C1877" s="1" t="s">
        <v>3027</v>
      </c>
      <c r="D1877" s="1" t="s">
        <v>2470</v>
      </c>
      <c r="E1877" s="1">
        <v>86336</v>
      </c>
      <c r="F1877" s="1" t="s">
        <v>8621</v>
      </c>
      <c r="G1877" s="39" t="s">
        <v>8618</v>
      </c>
      <c r="H1877" s="4" t="s">
        <v>2159</v>
      </c>
      <c r="I1877" s="5" t="s">
        <v>2412</v>
      </c>
      <c r="J1877" s="5" t="s">
        <v>24</v>
      </c>
      <c r="K1877" s="5" t="s">
        <v>24</v>
      </c>
      <c r="L1877" s="5" t="s">
        <v>75</v>
      </c>
      <c r="M1877" s="5" t="s">
        <v>24</v>
      </c>
      <c r="N1877" s="5" t="s">
        <v>24</v>
      </c>
      <c r="O1877" s="5" t="s">
        <v>75</v>
      </c>
      <c r="P1877" s="5" t="s">
        <v>2413</v>
      </c>
      <c r="Q1877" s="137">
        <v>46066</v>
      </c>
      <c r="V1877" s="1">
        <f t="shared" si="29"/>
        <v>1</v>
      </c>
      <c r="W1877" s="1" t="s">
        <v>8622</v>
      </c>
    </row>
    <row r="1878" spans="1:23">
      <c r="A1878" s="2">
        <v>46065</v>
      </c>
      <c r="B1878" s="1" t="s">
        <v>8623</v>
      </c>
      <c r="C1878" s="1" t="s">
        <v>3245</v>
      </c>
      <c r="D1878" s="1" t="s">
        <v>2950</v>
      </c>
      <c r="E1878" s="1">
        <v>86004</v>
      </c>
      <c r="F1878" s="1" t="s">
        <v>8624</v>
      </c>
      <c r="G1878" s="39" t="s">
        <v>8618</v>
      </c>
      <c r="H1878" s="4" t="s">
        <v>2161</v>
      </c>
      <c r="I1878" s="5" t="s">
        <v>2451</v>
      </c>
      <c r="J1878" s="5" t="s">
        <v>24</v>
      </c>
      <c r="K1878" s="5" t="s">
        <v>24</v>
      </c>
      <c r="L1878" s="5" t="s">
        <v>75</v>
      </c>
      <c r="M1878" s="5" t="s">
        <v>24</v>
      </c>
      <c r="N1878" s="5" t="s">
        <v>24</v>
      </c>
      <c r="O1878" s="5" t="s">
        <v>75</v>
      </c>
      <c r="P1878" s="5" t="s">
        <v>2413</v>
      </c>
      <c r="Q1878" s="137">
        <v>46066</v>
      </c>
      <c r="V1878" s="1">
        <f t="shared" si="29"/>
        <v>1</v>
      </c>
      <c r="W1878" s="1" t="s">
        <v>8625</v>
      </c>
    </row>
    <row r="1879" spans="1:23">
      <c r="A1879" s="2">
        <v>46065</v>
      </c>
      <c r="B1879" s="1" t="s">
        <v>8626</v>
      </c>
      <c r="C1879" s="1" t="s">
        <v>4441</v>
      </c>
      <c r="D1879" s="1" t="s">
        <v>2518</v>
      </c>
      <c r="E1879" s="1">
        <v>85234</v>
      </c>
      <c r="F1879" s="1" t="s">
        <v>8627</v>
      </c>
      <c r="G1879" s="39" t="s">
        <v>8618</v>
      </c>
      <c r="H1879" s="4" t="s">
        <v>2163</v>
      </c>
      <c r="I1879" s="5" t="s">
        <v>2988</v>
      </c>
      <c r="J1879" s="5" t="s">
        <v>24</v>
      </c>
      <c r="K1879" s="5" t="s">
        <v>24</v>
      </c>
      <c r="L1879" s="5" t="s">
        <v>7158</v>
      </c>
      <c r="M1879" s="5" t="s">
        <v>24</v>
      </c>
      <c r="N1879" s="5" t="s">
        <v>24</v>
      </c>
      <c r="O1879" s="5" t="s">
        <v>75</v>
      </c>
      <c r="P1879" s="5" t="s">
        <v>2413</v>
      </c>
      <c r="Q1879" s="137">
        <v>46066</v>
      </c>
      <c r="V1879" s="1">
        <f t="shared" si="29"/>
        <v>1</v>
      </c>
      <c r="W1879" s="1" t="s">
        <v>8628</v>
      </c>
    </row>
    <row r="1880" spans="1:23">
      <c r="A1880" s="2">
        <v>46065</v>
      </c>
      <c r="B1880" s="1" t="s">
        <v>8629</v>
      </c>
      <c r="C1880" s="1" t="s">
        <v>20</v>
      </c>
      <c r="D1880" s="1" t="s">
        <v>2470</v>
      </c>
      <c r="E1880" s="1">
        <v>86336</v>
      </c>
      <c r="F1880" s="1" t="s">
        <v>8630</v>
      </c>
      <c r="G1880" s="39" t="s">
        <v>8618</v>
      </c>
      <c r="H1880" s="4" t="s">
        <v>2165</v>
      </c>
      <c r="I1880" s="5" t="s">
        <v>2451</v>
      </c>
      <c r="J1880" s="5" t="s">
        <v>24</v>
      </c>
      <c r="K1880" s="5" t="s">
        <v>24</v>
      </c>
      <c r="L1880" s="5" t="s">
        <v>75</v>
      </c>
      <c r="M1880" s="5" t="s">
        <v>24</v>
      </c>
      <c r="N1880" s="5" t="s">
        <v>24</v>
      </c>
      <c r="O1880" s="5" t="s">
        <v>75</v>
      </c>
      <c r="P1880" s="5" t="s">
        <v>2413</v>
      </c>
      <c r="Q1880" s="137">
        <v>46066</v>
      </c>
      <c r="R1880" s="1" t="s">
        <v>8631</v>
      </c>
      <c r="V1880" s="1">
        <f t="shared" si="29"/>
        <v>1</v>
      </c>
      <c r="W1880" s="1" t="s">
        <v>8632</v>
      </c>
    </row>
    <row r="1881" spans="1:23">
      <c r="A1881" s="2">
        <v>46065</v>
      </c>
      <c r="B1881" s="1" t="s">
        <v>8633</v>
      </c>
      <c r="C1881" s="1" t="s">
        <v>5815</v>
      </c>
      <c r="D1881" s="1" t="s">
        <v>2470</v>
      </c>
      <c r="E1881" s="1">
        <v>86336</v>
      </c>
      <c r="F1881" s="1" t="s">
        <v>8634</v>
      </c>
      <c r="G1881" s="39" t="s">
        <v>8618</v>
      </c>
      <c r="H1881" s="4" t="s">
        <v>2167</v>
      </c>
      <c r="I1881" s="5" t="s">
        <v>7467</v>
      </c>
      <c r="J1881" s="5" t="s">
        <v>24</v>
      </c>
      <c r="K1881" s="5" t="s">
        <v>24</v>
      </c>
      <c r="L1881" s="5" t="s">
        <v>75</v>
      </c>
      <c r="M1881" s="5" t="s">
        <v>24</v>
      </c>
      <c r="N1881" s="5" t="s">
        <v>24</v>
      </c>
      <c r="O1881" s="5" t="s">
        <v>75</v>
      </c>
      <c r="P1881" s="5" t="s">
        <v>2413</v>
      </c>
      <c r="Q1881" s="137">
        <v>46066</v>
      </c>
      <c r="V1881" s="1">
        <f t="shared" si="29"/>
        <v>1</v>
      </c>
      <c r="W1881" s="1" t="s">
        <v>8635</v>
      </c>
    </row>
    <row r="1882" spans="1:23">
      <c r="A1882" s="2">
        <v>46065</v>
      </c>
      <c r="B1882" s="1" t="s">
        <v>8636</v>
      </c>
      <c r="F1882" s="1" t="s">
        <v>8637</v>
      </c>
      <c r="G1882" s="39" t="s">
        <v>8638</v>
      </c>
      <c r="H1882" s="4" t="s">
        <v>8639</v>
      </c>
      <c r="Q1882" s="35"/>
      <c r="V1882" s="1">
        <f t="shared" si="29"/>
        <v>1</v>
      </c>
      <c r="W1882" s="1" t="s">
        <v>8640</v>
      </c>
    </row>
    <row r="1883" spans="1:23">
      <c r="A1883" s="2">
        <v>46070</v>
      </c>
      <c r="B1883" s="1" t="s">
        <v>8338</v>
      </c>
      <c r="C1883" s="1" t="s">
        <v>2623</v>
      </c>
      <c r="D1883" s="1" t="s">
        <v>2405</v>
      </c>
      <c r="E1883" s="1" t="s">
        <v>2405</v>
      </c>
      <c r="F1883" s="1" t="s">
        <v>8641</v>
      </c>
      <c r="G1883" s="39" t="s">
        <v>8642</v>
      </c>
      <c r="H1883" s="4" t="s">
        <v>586</v>
      </c>
      <c r="I1883" s="5" t="s">
        <v>2420</v>
      </c>
      <c r="J1883" s="5" t="s">
        <v>24</v>
      </c>
      <c r="K1883" s="5" t="s">
        <v>24</v>
      </c>
      <c r="L1883" s="5" t="s">
        <v>7619</v>
      </c>
      <c r="M1883" s="5" t="s">
        <v>24</v>
      </c>
      <c r="N1883" s="5" t="s">
        <v>24</v>
      </c>
      <c r="O1883" s="5" t="s">
        <v>75</v>
      </c>
      <c r="P1883" s="5" t="s">
        <v>2413</v>
      </c>
      <c r="Q1883" s="137">
        <v>46077</v>
      </c>
      <c r="V1883" s="1">
        <f t="shared" si="29"/>
        <v>1</v>
      </c>
      <c r="W1883" s="1" t="s">
        <v>8643</v>
      </c>
    </row>
    <row r="1884" spans="1:23">
      <c r="A1884" s="2">
        <v>46070</v>
      </c>
      <c r="B1884" s="1" t="s">
        <v>5852</v>
      </c>
      <c r="C1884" s="1" t="s">
        <v>7946</v>
      </c>
      <c r="D1884" s="1" t="s">
        <v>2498</v>
      </c>
      <c r="E1884" s="1">
        <v>85374</v>
      </c>
      <c r="F1884" s="1" t="s">
        <v>8644</v>
      </c>
      <c r="G1884" s="39" t="s">
        <v>8642</v>
      </c>
      <c r="H1884" s="4" t="s">
        <v>2169</v>
      </c>
      <c r="I1884" s="5" t="s">
        <v>2412</v>
      </c>
      <c r="J1884" s="5" t="s">
        <v>24</v>
      </c>
      <c r="K1884" s="5" t="s">
        <v>24</v>
      </c>
      <c r="L1884" s="5" t="s">
        <v>75</v>
      </c>
      <c r="M1884" s="5" t="s">
        <v>24</v>
      </c>
      <c r="N1884" s="5" t="s">
        <v>24</v>
      </c>
      <c r="O1884" s="5" t="s">
        <v>75</v>
      </c>
      <c r="P1884" s="5" t="s">
        <v>2413</v>
      </c>
      <c r="Q1884" s="137">
        <v>46077</v>
      </c>
      <c r="V1884" s="1">
        <f t="shared" si="29"/>
        <v>1</v>
      </c>
      <c r="W1884" s="1" t="s">
        <v>8645</v>
      </c>
    </row>
    <row r="1885" spans="1:23">
      <c r="A1885" s="2">
        <v>46070</v>
      </c>
      <c r="B1885" s="1" t="s">
        <v>7165</v>
      </c>
      <c r="C1885" s="1" t="s">
        <v>7480</v>
      </c>
      <c r="D1885" s="1" t="s">
        <v>2439</v>
      </c>
      <c r="E1885" s="1">
        <v>85029</v>
      </c>
      <c r="F1885" s="1" t="s">
        <v>8646</v>
      </c>
      <c r="G1885" s="39" t="s">
        <v>8647</v>
      </c>
      <c r="H1885" s="4" t="s">
        <v>588</v>
      </c>
      <c r="I1885" s="5" t="s">
        <v>2420</v>
      </c>
      <c r="J1885" s="5" t="s">
        <v>24</v>
      </c>
      <c r="K1885" s="5" t="s">
        <v>24</v>
      </c>
      <c r="L1885" s="5" t="s">
        <v>8648</v>
      </c>
      <c r="M1885" s="5" t="s">
        <v>24</v>
      </c>
      <c r="N1885" s="5" t="s">
        <v>24</v>
      </c>
      <c r="O1885" s="5" t="s">
        <v>75</v>
      </c>
      <c r="P1885" s="5" t="s">
        <v>2413</v>
      </c>
      <c r="Q1885" s="137">
        <v>46077</v>
      </c>
      <c r="V1885" s="1">
        <f t="shared" si="29"/>
        <v>1</v>
      </c>
      <c r="W1885" s="1" t="s">
        <v>8649</v>
      </c>
    </row>
    <row r="1886" spans="1:23">
      <c r="A1886" s="2">
        <v>46070</v>
      </c>
      <c r="B1886" s="1" t="s">
        <v>8650</v>
      </c>
      <c r="C1886" s="1" t="s">
        <v>8651</v>
      </c>
      <c r="D1886" s="1" t="s">
        <v>2398</v>
      </c>
      <c r="E1886" s="1">
        <v>85303</v>
      </c>
      <c r="F1886" s="1" t="s">
        <v>8652</v>
      </c>
      <c r="G1886" s="39" t="s">
        <v>8647</v>
      </c>
      <c r="H1886" s="4" t="s">
        <v>2401</v>
      </c>
      <c r="Q1886" s="35"/>
      <c r="V1886" s="1">
        <f t="shared" si="29"/>
        <v>1</v>
      </c>
      <c r="W1886" s="1" t="s">
        <v>8653</v>
      </c>
    </row>
    <row r="1887" spans="1:23">
      <c r="A1887" s="2">
        <v>46070</v>
      </c>
      <c r="B1887" s="1" t="s">
        <v>8654</v>
      </c>
      <c r="C1887" s="1" t="s">
        <v>3254</v>
      </c>
      <c r="D1887" s="1" t="s">
        <v>6499</v>
      </c>
      <c r="E1887" s="1">
        <v>85742</v>
      </c>
      <c r="F1887" s="1" t="s">
        <v>8655</v>
      </c>
      <c r="G1887" s="39" t="s">
        <v>8647</v>
      </c>
      <c r="H1887" s="4" t="s">
        <v>2401</v>
      </c>
      <c r="Q1887" s="35"/>
      <c r="V1887" s="1">
        <f t="shared" si="29"/>
        <v>1</v>
      </c>
      <c r="W1887" s="1" t="s">
        <v>8656</v>
      </c>
    </row>
    <row r="1888" spans="1:23">
      <c r="A1888" s="2">
        <v>46070</v>
      </c>
      <c r="B1888" s="1" t="s">
        <v>8657</v>
      </c>
      <c r="C1888" s="1" t="s">
        <v>8658</v>
      </c>
      <c r="D1888" s="1" t="s">
        <v>2498</v>
      </c>
      <c r="E1888" s="1">
        <v>85374</v>
      </c>
      <c r="F1888" s="1" t="s">
        <v>8659</v>
      </c>
      <c r="G1888" s="39" t="s">
        <v>8647</v>
      </c>
      <c r="H1888" s="4" t="s">
        <v>2171</v>
      </c>
      <c r="I1888" s="5" t="s">
        <v>2420</v>
      </c>
      <c r="J1888" s="5" t="s">
        <v>24</v>
      </c>
      <c r="K1888" s="5" t="s">
        <v>75</v>
      </c>
      <c r="L1888" s="5" t="s">
        <v>75</v>
      </c>
      <c r="M1888" s="5" t="s">
        <v>24</v>
      </c>
      <c r="N1888" s="5" t="s">
        <v>24</v>
      </c>
      <c r="O1888" s="5" t="s">
        <v>75</v>
      </c>
      <c r="P1888" s="5" t="s">
        <v>2413</v>
      </c>
      <c r="Q1888" s="137">
        <v>46077</v>
      </c>
      <c r="V1888" s="1">
        <f t="shared" si="29"/>
        <v>1</v>
      </c>
      <c r="W1888" s="1" t="s">
        <v>8660</v>
      </c>
    </row>
    <row r="1889" spans="1:23">
      <c r="A1889" s="2">
        <v>46070</v>
      </c>
      <c r="B1889" s="1" t="s">
        <v>8661</v>
      </c>
      <c r="C1889" s="1" t="s">
        <v>2924</v>
      </c>
      <c r="D1889" s="1" t="s">
        <v>2950</v>
      </c>
      <c r="E1889" s="1">
        <v>86001</v>
      </c>
      <c r="F1889" s="1" t="s">
        <v>8662</v>
      </c>
      <c r="G1889" s="39" t="s">
        <v>8647</v>
      </c>
      <c r="H1889" s="4" t="s">
        <v>2173</v>
      </c>
      <c r="I1889" s="5" t="s">
        <v>2659</v>
      </c>
      <c r="J1889" s="5" t="s">
        <v>24</v>
      </c>
      <c r="K1889" s="5" t="s">
        <v>24</v>
      </c>
      <c r="L1889" s="5" t="s">
        <v>75</v>
      </c>
      <c r="M1889" s="5" t="s">
        <v>24</v>
      </c>
      <c r="N1889" s="5" t="s">
        <v>24</v>
      </c>
      <c r="O1889" s="5" t="s">
        <v>75</v>
      </c>
      <c r="P1889" s="5" t="s">
        <v>2413</v>
      </c>
      <c r="Q1889" s="137">
        <v>46077</v>
      </c>
      <c r="V1889" s="1">
        <f t="shared" si="29"/>
        <v>1</v>
      </c>
      <c r="W1889" s="1" t="s">
        <v>8663</v>
      </c>
    </row>
    <row r="1890" spans="1:23">
      <c r="A1890" s="2">
        <v>46070</v>
      </c>
      <c r="B1890" s="1" t="s">
        <v>8664</v>
      </c>
      <c r="C1890" s="1" t="s">
        <v>4558</v>
      </c>
      <c r="D1890" s="1" t="s">
        <v>2439</v>
      </c>
      <c r="E1890" s="1">
        <v>85029</v>
      </c>
      <c r="F1890" s="1" t="s">
        <v>8665</v>
      </c>
      <c r="G1890" s="39" t="s">
        <v>8647</v>
      </c>
      <c r="H1890" s="4" t="s">
        <v>2401</v>
      </c>
      <c r="Q1890" s="35"/>
      <c r="V1890" s="1">
        <f t="shared" si="29"/>
        <v>1</v>
      </c>
      <c r="W1890" s="131" t="s">
        <v>8666</v>
      </c>
    </row>
    <row r="1891" spans="1:23">
      <c r="A1891" s="2">
        <v>46070</v>
      </c>
      <c r="B1891" s="1" t="s">
        <v>3151</v>
      </c>
      <c r="C1891" s="1" t="s">
        <v>2547</v>
      </c>
      <c r="D1891" s="1" t="s">
        <v>2398</v>
      </c>
      <c r="E1891" s="1">
        <v>85308</v>
      </c>
      <c r="F1891" s="1" t="s">
        <v>8667</v>
      </c>
      <c r="G1891" s="39" t="s">
        <v>8647</v>
      </c>
      <c r="H1891" s="4" t="s">
        <v>2175</v>
      </c>
      <c r="I1891" s="5" t="s">
        <v>6911</v>
      </c>
      <c r="J1891" s="5" t="s">
        <v>24</v>
      </c>
      <c r="K1891" s="5" t="s">
        <v>24</v>
      </c>
      <c r="L1891" s="5" t="s">
        <v>7158</v>
      </c>
      <c r="M1891" s="5" t="s">
        <v>24</v>
      </c>
      <c r="N1891" s="5" t="s">
        <v>24</v>
      </c>
      <c r="O1891" s="5" t="s">
        <v>75</v>
      </c>
      <c r="P1891" s="5" t="s">
        <v>2413</v>
      </c>
      <c r="Q1891" s="137">
        <v>46077</v>
      </c>
      <c r="V1891" s="1">
        <f t="shared" si="29"/>
        <v>1</v>
      </c>
      <c r="W1891" s="1" t="s">
        <v>8668</v>
      </c>
    </row>
    <row r="1892" spans="1:23">
      <c r="A1892" s="2">
        <v>46070</v>
      </c>
      <c r="B1892" s="1" t="s">
        <v>8669</v>
      </c>
      <c r="C1892" s="1" t="s">
        <v>8670</v>
      </c>
      <c r="D1892" s="1" t="s">
        <v>2987</v>
      </c>
      <c r="E1892" s="1">
        <v>85122</v>
      </c>
      <c r="F1892" s="1" t="s">
        <v>8671</v>
      </c>
      <c r="G1892" s="39" t="s">
        <v>8647</v>
      </c>
      <c r="H1892" s="4" t="s">
        <v>2177</v>
      </c>
      <c r="I1892" s="5" t="s">
        <v>7467</v>
      </c>
      <c r="J1892" s="5" t="s">
        <v>24</v>
      </c>
      <c r="K1892" s="5" t="s">
        <v>24</v>
      </c>
      <c r="L1892" s="5" t="s">
        <v>75</v>
      </c>
      <c r="M1892" s="5" t="s">
        <v>24</v>
      </c>
      <c r="N1892" s="5" t="s">
        <v>24</v>
      </c>
      <c r="O1892" s="5" t="s">
        <v>75</v>
      </c>
      <c r="P1892" s="5" t="s">
        <v>2413</v>
      </c>
      <c r="Q1892" s="137">
        <v>46077</v>
      </c>
      <c r="V1892" s="1">
        <f t="shared" si="29"/>
        <v>1</v>
      </c>
      <c r="W1892" s="131" t="s">
        <v>8672</v>
      </c>
    </row>
    <row r="1893" spans="1:23">
      <c r="A1893" s="2">
        <v>46070</v>
      </c>
      <c r="B1893" s="1" t="s">
        <v>7874</v>
      </c>
      <c r="C1893" s="1" t="s">
        <v>2733</v>
      </c>
      <c r="D1893" s="1" t="s">
        <v>2439</v>
      </c>
      <c r="E1893" s="1">
        <v>85021</v>
      </c>
      <c r="F1893" s="1" t="s">
        <v>8673</v>
      </c>
      <c r="G1893" s="39" t="s">
        <v>8647</v>
      </c>
      <c r="H1893" s="4" t="s">
        <v>2179</v>
      </c>
      <c r="I1893" s="5" t="s">
        <v>7467</v>
      </c>
      <c r="J1893" s="5" t="s">
        <v>24</v>
      </c>
      <c r="K1893" s="5" t="s">
        <v>24</v>
      </c>
      <c r="L1893" s="5" t="s">
        <v>75</v>
      </c>
      <c r="M1893" s="5" t="s">
        <v>24</v>
      </c>
      <c r="N1893" s="5" t="s">
        <v>24</v>
      </c>
      <c r="O1893" s="5" t="s">
        <v>75</v>
      </c>
      <c r="P1893" s="5" t="s">
        <v>2413</v>
      </c>
      <c r="Q1893" s="137">
        <v>46077</v>
      </c>
      <c r="V1893" s="1">
        <f t="shared" si="29"/>
        <v>1</v>
      </c>
      <c r="W1893" s="1" t="s">
        <v>8674</v>
      </c>
    </row>
    <row r="1894" spans="1:23">
      <c r="A1894" s="2">
        <v>46070</v>
      </c>
      <c r="B1894" s="1" t="s">
        <v>8675</v>
      </c>
      <c r="C1894" s="1" t="s">
        <v>2574</v>
      </c>
      <c r="D1894" s="1" t="s">
        <v>2439</v>
      </c>
      <c r="E1894" s="1">
        <v>85014</v>
      </c>
      <c r="F1894" s="1" t="s">
        <v>8676</v>
      </c>
      <c r="G1894" s="39" t="s">
        <v>8647</v>
      </c>
      <c r="H1894" s="4" t="s">
        <v>2401</v>
      </c>
      <c r="Q1894" s="35"/>
      <c r="V1894" s="1">
        <f t="shared" si="29"/>
        <v>1</v>
      </c>
      <c r="W1894" s="1" t="s">
        <v>8677</v>
      </c>
    </row>
    <row r="1895" spans="1:23">
      <c r="A1895" s="2">
        <v>46070</v>
      </c>
      <c r="B1895" s="1" t="s">
        <v>8678</v>
      </c>
      <c r="C1895" s="1" t="s">
        <v>8679</v>
      </c>
      <c r="D1895" s="1" t="s">
        <v>6851</v>
      </c>
      <c r="E1895" s="1">
        <v>85354</v>
      </c>
      <c r="F1895" s="1" t="s">
        <v>8680</v>
      </c>
      <c r="G1895" s="39" t="s">
        <v>8647</v>
      </c>
      <c r="H1895" s="4" t="s">
        <v>2181</v>
      </c>
      <c r="I1895" s="5" t="s">
        <v>2420</v>
      </c>
      <c r="J1895" s="5" t="s">
        <v>24</v>
      </c>
      <c r="K1895" s="5" t="s">
        <v>24</v>
      </c>
      <c r="L1895" s="5" t="s">
        <v>75</v>
      </c>
      <c r="M1895" s="5" t="s">
        <v>24</v>
      </c>
      <c r="N1895" s="5" t="s">
        <v>24</v>
      </c>
      <c r="O1895" s="5" t="s">
        <v>75</v>
      </c>
      <c r="P1895" s="5" t="s">
        <v>2413</v>
      </c>
      <c r="Q1895" s="137">
        <v>45712</v>
      </c>
      <c r="V1895" s="1">
        <f t="shared" si="29"/>
        <v>1</v>
      </c>
      <c r="W1895" s="1" t="s">
        <v>8681</v>
      </c>
    </row>
    <row r="1896" spans="1:23">
      <c r="A1896" s="2">
        <v>46070</v>
      </c>
      <c r="B1896" s="1" t="s">
        <v>8682</v>
      </c>
      <c r="C1896" s="1" t="s">
        <v>2924</v>
      </c>
      <c r="D1896" s="1" t="s">
        <v>2439</v>
      </c>
      <c r="E1896" s="1">
        <v>85020</v>
      </c>
      <c r="F1896" s="1" t="s">
        <v>8683</v>
      </c>
      <c r="G1896" s="39" t="s">
        <v>8647</v>
      </c>
      <c r="H1896" s="4" t="s">
        <v>590</v>
      </c>
      <c r="I1896" s="5" t="s">
        <v>2420</v>
      </c>
      <c r="J1896" s="5" t="s">
        <v>24</v>
      </c>
      <c r="K1896" s="5" t="s">
        <v>24</v>
      </c>
      <c r="L1896" s="5" t="s">
        <v>8684</v>
      </c>
      <c r="M1896" s="5" t="s">
        <v>24</v>
      </c>
      <c r="N1896" s="5" t="s">
        <v>24</v>
      </c>
      <c r="O1896" s="5" t="s">
        <v>75</v>
      </c>
      <c r="P1896" s="5" t="s">
        <v>2413</v>
      </c>
      <c r="Q1896" s="137">
        <v>45712</v>
      </c>
      <c r="V1896" s="1">
        <f t="shared" si="29"/>
        <v>1</v>
      </c>
      <c r="W1896" s="1" t="s">
        <v>8685</v>
      </c>
    </row>
    <row r="1897" spans="1:23">
      <c r="A1897" s="2">
        <v>46070</v>
      </c>
      <c r="B1897" s="1" t="s">
        <v>8686</v>
      </c>
      <c r="C1897" s="1" t="s">
        <v>5197</v>
      </c>
      <c r="D1897" s="1" t="s">
        <v>8687</v>
      </c>
      <c r="E1897" s="1">
        <v>86001</v>
      </c>
      <c r="F1897" s="1" t="s">
        <v>8688</v>
      </c>
      <c r="G1897" s="39" t="s">
        <v>8647</v>
      </c>
      <c r="H1897" s="4" t="s">
        <v>2401</v>
      </c>
      <c r="Q1897" s="35"/>
      <c r="V1897" s="1">
        <f t="shared" si="29"/>
        <v>1</v>
      </c>
      <c r="W1897" s="1" t="s">
        <v>8689</v>
      </c>
    </row>
    <row r="1898" spans="1:23">
      <c r="A1898" s="2">
        <v>46070</v>
      </c>
      <c r="B1898" s="1" t="s">
        <v>8690</v>
      </c>
      <c r="C1898" s="1" t="s">
        <v>5555</v>
      </c>
      <c r="D1898" s="1" t="s">
        <v>2950</v>
      </c>
      <c r="E1898" s="1">
        <v>86004</v>
      </c>
      <c r="F1898" s="1" t="s">
        <v>8691</v>
      </c>
      <c r="G1898" s="39" t="s">
        <v>8647</v>
      </c>
      <c r="H1898" s="4" t="s">
        <v>592</v>
      </c>
      <c r="I1898" s="5" t="s">
        <v>2451</v>
      </c>
      <c r="J1898" s="5" t="s">
        <v>24</v>
      </c>
      <c r="K1898" s="5" t="s">
        <v>24</v>
      </c>
      <c r="L1898" s="5" t="s">
        <v>8692</v>
      </c>
      <c r="M1898" s="5" t="s">
        <v>24</v>
      </c>
      <c r="N1898" s="5" t="s">
        <v>24</v>
      </c>
      <c r="O1898" s="5" t="s">
        <v>75</v>
      </c>
      <c r="Q1898" s="138">
        <v>46077</v>
      </c>
      <c r="R1898" s="1" t="s">
        <v>7066</v>
      </c>
      <c r="V1898" s="1">
        <f t="shared" si="29"/>
        <v>1</v>
      </c>
      <c r="W1898" s="1" t="s">
        <v>8693</v>
      </c>
    </row>
    <row r="1899" spans="1:23">
      <c r="A1899" s="2">
        <v>46070</v>
      </c>
      <c r="B1899" s="1" t="s">
        <v>4878</v>
      </c>
      <c r="C1899" s="1" t="s">
        <v>4909</v>
      </c>
      <c r="D1899" s="1" t="s">
        <v>8694</v>
      </c>
      <c r="E1899" s="1">
        <v>86005</v>
      </c>
      <c r="F1899" s="1" t="s">
        <v>8695</v>
      </c>
      <c r="G1899" s="39" t="s">
        <v>8647</v>
      </c>
      <c r="H1899" s="4" t="s">
        <v>2401</v>
      </c>
      <c r="Q1899" s="35"/>
      <c r="V1899" s="1">
        <f t="shared" si="29"/>
        <v>1</v>
      </c>
      <c r="W1899" s="1" t="s">
        <v>8696</v>
      </c>
    </row>
    <row r="1900" spans="1:23">
      <c r="A1900" s="2">
        <v>46070</v>
      </c>
      <c r="B1900" s="1" t="s">
        <v>8697</v>
      </c>
      <c r="C1900" s="1" t="s">
        <v>2706</v>
      </c>
      <c r="D1900" s="1" t="s">
        <v>2950</v>
      </c>
      <c r="E1900" s="1">
        <v>86004</v>
      </c>
      <c r="F1900" s="1" t="s">
        <v>8698</v>
      </c>
      <c r="G1900" s="39" t="s">
        <v>8647</v>
      </c>
      <c r="H1900" s="4" t="s">
        <v>2183</v>
      </c>
      <c r="I1900" s="5" t="s">
        <v>2451</v>
      </c>
      <c r="J1900" s="5" t="s">
        <v>24</v>
      </c>
      <c r="K1900" s="5" t="s">
        <v>24</v>
      </c>
      <c r="L1900" s="5" t="s">
        <v>75</v>
      </c>
      <c r="M1900" s="5" t="s">
        <v>24</v>
      </c>
      <c r="N1900" s="5" t="s">
        <v>24</v>
      </c>
      <c r="O1900" s="5" t="s">
        <v>75</v>
      </c>
      <c r="P1900" s="5" t="s">
        <v>2413</v>
      </c>
      <c r="Q1900" s="137">
        <v>46077</v>
      </c>
      <c r="V1900" s="1">
        <f t="shared" si="29"/>
        <v>1</v>
      </c>
      <c r="W1900" s="1" t="s">
        <v>8699</v>
      </c>
    </row>
    <row r="1901" spans="1:23">
      <c r="A1901" s="2">
        <v>46070</v>
      </c>
      <c r="B1901" s="1" t="s">
        <v>5430</v>
      </c>
      <c r="C1901" s="1" t="s">
        <v>6463</v>
      </c>
      <c r="D1901" s="1" t="s">
        <v>4280</v>
      </c>
      <c r="E1901" s="1">
        <v>86046</v>
      </c>
      <c r="F1901" s="1" t="s">
        <v>8700</v>
      </c>
      <c r="G1901" s="39" t="s">
        <v>8647</v>
      </c>
      <c r="H1901" s="4" t="s">
        <v>2185</v>
      </c>
      <c r="I1901" s="5" t="s">
        <v>2412</v>
      </c>
      <c r="J1901" s="5" t="s">
        <v>24</v>
      </c>
      <c r="K1901" s="5" t="s">
        <v>24</v>
      </c>
      <c r="L1901" s="5" t="s">
        <v>75</v>
      </c>
      <c r="M1901" s="5" t="s">
        <v>24</v>
      </c>
      <c r="N1901" s="5" t="s">
        <v>24</v>
      </c>
      <c r="O1901" s="5" t="s">
        <v>75</v>
      </c>
      <c r="P1901" s="5" t="s">
        <v>2413</v>
      </c>
      <c r="Q1901" s="137">
        <v>46077</v>
      </c>
      <c r="V1901" s="1">
        <f t="shared" si="29"/>
        <v>1</v>
      </c>
      <c r="W1901" s="1" t="s">
        <v>8701</v>
      </c>
    </row>
    <row r="1902" spans="1:23">
      <c r="A1902" s="2">
        <v>46070</v>
      </c>
      <c r="B1902" s="1" t="s">
        <v>8702</v>
      </c>
      <c r="C1902" s="1" t="s">
        <v>7673</v>
      </c>
      <c r="D1902" s="1" t="s">
        <v>2950</v>
      </c>
      <c r="E1902" s="1">
        <v>86004</v>
      </c>
      <c r="F1902" s="1" t="s">
        <v>8703</v>
      </c>
      <c r="G1902" s="39" t="s">
        <v>8647</v>
      </c>
      <c r="H1902" s="4" t="s">
        <v>2471</v>
      </c>
      <c r="Q1902" s="35"/>
      <c r="V1902" s="1">
        <f t="shared" si="29"/>
        <v>1</v>
      </c>
      <c r="W1902" s="1" t="s">
        <v>8704</v>
      </c>
    </row>
    <row r="1903" spans="1:23">
      <c r="A1903" s="2">
        <v>46070</v>
      </c>
      <c r="B1903" s="1" t="s">
        <v>8705</v>
      </c>
      <c r="C1903" s="1" t="s">
        <v>8706</v>
      </c>
      <c r="D1903" s="1" t="s">
        <v>2950</v>
      </c>
      <c r="E1903" s="1">
        <v>86004</v>
      </c>
      <c r="F1903" s="1" t="s">
        <v>8707</v>
      </c>
      <c r="G1903" s="39" t="s">
        <v>8647</v>
      </c>
      <c r="H1903" s="4" t="s">
        <v>2187</v>
      </c>
      <c r="I1903" s="5" t="s">
        <v>6953</v>
      </c>
      <c r="J1903" s="5" t="s">
        <v>24</v>
      </c>
      <c r="K1903" s="5" t="s">
        <v>24</v>
      </c>
      <c r="L1903" s="5" t="s">
        <v>7158</v>
      </c>
      <c r="M1903" s="5" t="s">
        <v>24</v>
      </c>
      <c r="N1903" s="5" t="s">
        <v>24</v>
      </c>
      <c r="O1903" s="5" t="s">
        <v>75</v>
      </c>
      <c r="P1903" s="5" t="s">
        <v>2413</v>
      </c>
      <c r="Q1903" s="137">
        <v>46077</v>
      </c>
      <c r="V1903" s="1">
        <f t="shared" si="29"/>
        <v>1</v>
      </c>
      <c r="W1903" s="1" t="s">
        <v>8708</v>
      </c>
    </row>
    <row r="1904" spans="1:23">
      <c r="A1904" s="2">
        <v>46070</v>
      </c>
      <c r="B1904" s="1" t="s">
        <v>8709</v>
      </c>
      <c r="C1904" s="1" t="s">
        <v>8009</v>
      </c>
      <c r="D1904" s="1" t="s">
        <v>2605</v>
      </c>
      <c r="E1904" s="1">
        <v>85383</v>
      </c>
      <c r="F1904" s="1" t="s">
        <v>8710</v>
      </c>
      <c r="G1904" s="39" t="s">
        <v>8647</v>
      </c>
      <c r="H1904" s="4" t="s">
        <v>2189</v>
      </c>
      <c r="I1904" s="5" t="s">
        <v>2412</v>
      </c>
      <c r="J1904" s="5" t="s">
        <v>24</v>
      </c>
      <c r="K1904" s="5" t="s">
        <v>24</v>
      </c>
      <c r="L1904" s="5" t="s">
        <v>75</v>
      </c>
      <c r="M1904" s="5" t="s">
        <v>24</v>
      </c>
      <c r="N1904" s="5" t="s">
        <v>24</v>
      </c>
      <c r="O1904" s="5" t="s">
        <v>75</v>
      </c>
      <c r="P1904" s="5" t="s">
        <v>2413</v>
      </c>
      <c r="Q1904" s="137">
        <v>46077</v>
      </c>
      <c r="V1904" s="1">
        <f t="shared" si="29"/>
        <v>1</v>
      </c>
      <c r="W1904" s="131" t="s">
        <v>8711</v>
      </c>
    </row>
    <row r="1905" spans="1:23">
      <c r="A1905" s="2">
        <v>46070</v>
      </c>
      <c r="B1905" s="1" t="s">
        <v>8712</v>
      </c>
      <c r="C1905" s="1" t="s">
        <v>8713</v>
      </c>
      <c r="D1905" s="1" t="s">
        <v>2470</v>
      </c>
      <c r="E1905" s="1">
        <v>86336</v>
      </c>
      <c r="F1905" s="1" t="s">
        <v>8714</v>
      </c>
      <c r="G1905" s="39" t="s">
        <v>8647</v>
      </c>
      <c r="H1905" s="4" t="s">
        <v>2401</v>
      </c>
      <c r="Q1905" s="35"/>
      <c r="V1905" s="1">
        <f t="shared" si="29"/>
        <v>1</v>
      </c>
      <c r="W1905" s="1" t="s">
        <v>8715</v>
      </c>
    </row>
    <row r="1906" spans="1:23">
      <c r="A1906" s="2">
        <v>46070</v>
      </c>
      <c r="B1906" s="1" t="s">
        <v>4821</v>
      </c>
      <c r="C1906" s="1" t="s">
        <v>6903</v>
      </c>
      <c r="D1906" s="1" t="s">
        <v>2950</v>
      </c>
      <c r="E1906" s="1">
        <v>86004</v>
      </c>
      <c r="F1906" s="1" t="s">
        <v>8716</v>
      </c>
      <c r="G1906" s="39" t="s">
        <v>8647</v>
      </c>
      <c r="H1906" s="4" t="s">
        <v>594</v>
      </c>
      <c r="I1906" s="5" t="s">
        <v>2514</v>
      </c>
      <c r="J1906" s="5" t="s">
        <v>24</v>
      </c>
      <c r="K1906" s="5" t="s">
        <v>24</v>
      </c>
      <c r="L1906" s="5" t="s">
        <v>8717</v>
      </c>
      <c r="M1906" s="5" t="s">
        <v>24</v>
      </c>
      <c r="N1906" s="5" t="s">
        <v>24</v>
      </c>
      <c r="O1906" s="5" t="s">
        <v>75</v>
      </c>
      <c r="Q1906" s="139"/>
      <c r="R1906" s="1" t="s">
        <v>7066</v>
      </c>
      <c r="V1906" s="1">
        <f t="shared" si="29"/>
        <v>1</v>
      </c>
      <c r="W1906" s="1" t="s">
        <v>8718</v>
      </c>
    </row>
    <row r="1907" spans="1:23">
      <c r="A1907" s="2">
        <v>46070</v>
      </c>
      <c r="B1907" s="1" t="s">
        <v>5896</v>
      </c>
      <c r="C1907" s="1" t="s">
        <v>4441</v>
      </c>
      <c r="D1907" s="1" t="s">
        <v>2439</v>
      </c>
      <c r="E1907" s="1">
        <v>85012</v>
      </c>
      <c r="F1907" s="1" t="s">
        <v>8719</v>
      </c>
      <c r="G1907" s="39" t="s">
        <v>8647</v>
      </c>
      <c r="H1907" s="4" t="s">
        <v>2191</v>
      </c>
      <c r="I1907" s="5" t="s">
        <v>2659</v>
      </c>
      <c r="J1907" s="5" t="s">
        <v>24</v>
      </c>
      <c r="K1907" s="5" t="s">
        <v>24</v>
      </c>
      <c r="L1907" s="5" t="s">
        <v>75</v>
      </c>
      <c r="M1907" s="5" t="s">
        <v>24</v>
      </c>
      <c r="N1907" s="5" t="s">
        <v>24</v>
      </c>
      <c r="O1907" s="5" t="s">
        <v>75</v>
      </c>
      <c r="P1907" s="5" t="s">
        <v>2413</v>
      </c>
      <c r="Q1907" s="137">
        <v>46077</v>
      </c>
      <c r="V1907" s="1">
        <f t="shared" si="29"/>
        <v>1</v>
      </c>
      <c r="W1907" s="1" t="s">
        <v>8720</v>
      </c>
    </row>
    <row r="1908" spans="1:23">
      <c r="A1908" s="2">
        <v>46070</v>
      </c>
      <c r="B1908" s="1" t="s">
        <v>3584</v>
      </c>
      <c r="C1908" s="1" t="s">
        <v>3956</v>
      </c>
      <c r="D1908" s="1" t="s">
        <v>2470</v>
      </c>
      <c r="E1908" s="1">
        <v>86336</v>
      </c>
      <c r="F1908" s="1" t="s">
        <v>8721</v>
      </c>
      <c r="G1908" s="39" t="s">
        <v>8647</v>
      </c>
      <c r="H1908" s="4" t="s">
        <v>2471</v>
      </c>
      <c r="Q1908" s="35"/>
      <c r="V1908" s="1">
        <f t="shared" si="29"/>
        <v>1</v>
      </c>
      <c r="W1908" s="1" t="s">
        <v>8722</v>
      </c>
    </row>
    <row r="1909" spans="1:23">
      <c r="A1909" s="2">
        <v>46070</v>
      </c>
      <c r="B1909" s="1" t="s">
        <v>4821</v>
      </c>
      <c r="C1909" s="1" t="s">
        <v>5071</v>
      </c>
      <c r="D1909" s="1" t="s">
        <v>2950</v>
      </c>
      <c r="E1909" s="1">
        <v>86004</v>
      </c>
      <c r="F1909" s="1" t="s">
        <v>8723</v>
      </c>
      <c r="G1909" s="39" t="s">
        <v>8647</v>
      </c>
      <c r="H1909" s="4" t="s">
        <v>596</v>
      </c>
      <c r="I1909" s="5" t="s">
        <v>2432</v>
      </c>
      <c r="J1909" s="5" t="s">
        <v>24</v>
      </c>
      <c r="K1909" s="5" t="s">
        <v>24</v>
      </c>
      <c r="L1909" s="5" t="s">
        <v>8724</v>
      </c>
      <c r="M1909" s="5" t="s">
        <v>24</v>
      </c>
      <c r="N1909" s="5" t="s">
        <v>24</v>
      </c>
      <c r="O1909" s="5" t="s">
        <v>75</v>
      </c>
      <c r="Q1909" s="138">
        <v>46077</v>
      </c>
      <c r="R1909" s="1" t="s">
        <v>7066</v>
      </c>
      <c r="V1909" s="1">
        <f t="shared" si="29"/>
        <v>1</v>
      </c>
      <c r="W1909" s="1" t="s">
        <v>8725</v>
      </c>
    </row>
    <row r="1910" spans="1:23">
      <c r="A1910" s="2">
        <v>46070</v>
      </c>
      <c r="B1910" s="1" t="s">
        <v>8726</v>
      </c>
      <c r="D1910" s="1" t="s">
        <v>3166</v>
      </c>
      <c r="E1910" s="1">
        <v>85375</v>
      </c>
      <c r="F1910" s="1" t="s">
        <v>8727</v>
      </c>
      <c r="G1910" s="39" t="s">
        <v>8728</v>
      </c>
      <c r="H1910" s="4" t="s">
        <v>6858</v>
      </c>
      <c r="Q1910" s="35"/>
      <c r="V1910" s="1">
        <f t="shared" si="29"/>
        <v>0</v>
      </c>
      <c r="W1910" s="1" t="s">
        <v>8729</v>
      </c>
    </row>
    <row r="1911" spans="1:23">
      <c r="A1911" s="2">
        <v>46071</v>
      </c>
      <c r="B1911" s="1" t="s">
        <v>8730</v>
      </c>
      <c r="C1911" s="1" t="s">
        <v>8731</v>
      </c>
      <c r="D1911" s="1" t="s">
        <v>2398</v>
      </c>
      <c r="E1911" s="1">
        <v>85301</v>
      </c>
      <c r="F1911" s="1" t="s">
        <v>8732</v>
      </c>
      <c r="G1911" s="39" t="s">
        <v>8733</v>
      </c>
      <c r="H1911" s="4" t="s">
        <v>2401</v>
      </c>
      <c r="Q1911" s="35"/>
      <c r="V1911" s="1">
        <f t="shared" si="29"/>
        <v>1</v>
      </c>
      <c r="W1911" s="1" t="s">
        <v>8734</v>
      </c>
    </row>
    <row r="1912" spans="1:23">
      <c r="A1912" s="2">
        <v>46071</v>
      </c>
      <c r="B1912" s="1" t="s">
        <v>8735</v>
      </c>
      <c r="C1912" s="1" t="s">
        <v>2632</v>
      </c>
      <c r="D1912" s="1" t="s">
        <v>6589</v>
      </c>
      <c r="E1912" s="1">
        <v>85553</v>
      </c>
      <c r="F1912" s="1" t="s">
        <v>8736</v>
      </c>
      <c r="G1912" s="39" t="s">
        <v>8733</v>
      </c>
      <c r="H1912" s="4" t="s">
        <v>2193</v>
      </c>
      <c r="I1912" s="5" t="s">
        <v>2988</v>
      </c>
      <c r="J1912" s="5" t="s">
        <v>24</v>
      </c>
      <c r="K1912" s="5" t="s">
        <v>24</v>
      </c>
      <c r="L1912" s="5" t="s">
        <v>7158</v>
      </c>
      <c r="M1912" s="5" t="s">
        <v>24</v>
      </c>
      <c r="N1912" s="5" t="s">
        <v>24</v>
      </c>
      <c r="O1912" s="5" t="s">
        <v>75</v>
      </c>
      <c r="P1912" s="5" t="s">
        <v>2413</v>
      </c>
      <c r="Q1912" s="137">
        <v>46077</v>
      </c>
      <c r="V1912" s="1">
        <f t="shared" si="29"/>
        <v>1</v>
      </c>
      <c r="W1912" s="1" t="s">
        <v>8737</v>
      </c>
    </row>
    <row r="1913" spans="1:23">
      <c r="A1913" s="2">
        <v>46071</v>
      </c>
      <c r="B1913" s="1" t="s">
        <v>8738</v>
      </c>
      <c r="C1913" s="1" t="s">
        <v>7670</v>
      </c>
      <c r="D1913" s="1" t="s">
        <v>3303</v>
      </c>
      <c r="E1913" s="1">
        <v>86303</v>
      </c>
      <c r="F1913" s="1" t="s">
        <v>8739</v>
      </c>
      <c r="G1913" s="39" t="s">
        <v>8733</v>
      </c>
      <c r="H1913" s="4" t="s">
        <v>2195</v>
      </c>
      <c r="I1913" s="5" t="s">
        <v>2420</v>
      </c>
      <c r="J1913" s="5" t="s">
        <v>24</v>
      </c>
      <c r="K1913" s="5" t="s">
        <v>24</v>
      </c>
      <c r="L1913" s="5" t="s">
        <v>75</v>
      </c>
      <c r="M1913" s="5" t="s">
        <v>24</v>
      </c>
      <c r="N1913" s="5" t="s">
        <v>24</v>
      </c>
      <c r="O1913" s="5" t="s">
        <v>75</v>
      </c>
      <c r="P1913" s="5" t="s">
        <v>2413</v>
      </c>
      <c r="Q1913" s="137">
        <v>46077</v>
      </c>
      <c r="V1913" s="1">
        <f t="shared" si="29"/>
        <v>1</v>
      </c>
      <c r="W1913" s="131" t="s">
        <v>8740</v>
      </c>
    </row>
    <row r="1914" spans="1:23">
      <c r="A1914" s="2">
        <v>46071</v>
      </c>
      <c r="B1914" s="1" t="s">
        <v>8741</v>
      </c>
      <c r="C1914" s="1" t="s">
        <v>8742</v>
      </c>
      <c r="D1914" s="1" t="s">
        <v>2439</v>
      </c>
      <c r="E1914" s="1">
        <v>85027</v>
      </c>
      <c r="F1914" s="1" t="s">
        <v>8743</v>
      </c>
      <c r="G1914" s="39" t="s">
        <v>8733</v>
      </c>
      <c r="H1914" s="4" t="s">
        <v>2197</v>
      </c>
      <c r="I1914" s="5" t="s">
        <v>6953</v>
      </c>
      <c r="J1914" s="5" t="s">
        <v>24</v>
      </c>
      <c r="K1914" s="5" t="s">
        <v>24</v>
      </c>
      <c r="L1914" s="5" t="s">
        <v>7158</v>
      </c>
      <c r="M1914" s="5" t="s">
        <v>24</v>
      </c>
      <c r="N1914" s="5" t="s">
        <v>24</v>
      </c>
      <c r="O1914" s="5" t="s">
        <v>75</v>
      </c>
      <c r="P1914" s="5" t="s">
        <v>2413</v>
      </c>
      <c r="Q1914" s="137">
        <v>46077</v>
      </c>
      <c r="R1914" s="1" t="s">
        <v>7368</v>
      </c>
      <c r="V1914" s="1">
        <f t="shared" si="29"/>
        <v>1</v>
      </c>
      <c r="W1914" s="1" t="s">
        <v>8744</v>
      </c>
    </row>
    <row r="1915" spans="1:23">
      <c r="A1915" s="2">
        <v>46071</v>
      </c>
      <c r="B1915" s="1" t="s">
        <v>6422</v>
      </c>
      <c r="C1915" s="1" t="s">
        <v>2792</v>
      </c>
      <c r="D1915" s="1" t="s">
        <v>2439</v>
      </c>
      <c r="E1915" s="1">
        <v>85022</v>
      </c>
      <c r="F1915" s="1" t="s">
        <v>8745</v>
      </c>
      <c r="G1915" s="39" t="s">
        <v>8733</v>
      </c>
      <c r="H1915" s="4" t="s">
        <v>510</v>
      </c>
      <c r="I1915" s="5" t="s">
        <v>2514</v>
      </c>
      <c r="J1915" s="5" t="s">
        <v>24</v>
      </c>
      <c r="K1915" s="5" t="s">
        <v>24</v>
      </c>
      <c r="L1915" s="5" t="s">
        <v>8746</v>
      </c>
      <c r="M1915" s="5" t="s">
        <v>24</v>
      </c>
      <c r="N1915" s="5" t="s">
        <v>24</v>
      </c>
      <c r="O1915" s="5" t="s">
        <v>75</v>
      </c>
      <c r="P1915" s="5" t="s">
        <v>2413</v>
      </c>
      <c r="Q1915" s="137">
        <v>46077</v>
      </c>
      <c r="R1915" s="1" t="s">
        <v>8747</v>
      </c>
      <c r="V1915" s="1">
        <f t="shared" si="29"/>
        <v>1</v>
      </c>
      <c r="W1915" s="1" t="s">
        <v>8748</v>
      </c>
    </row>
    <row r="1916" spans="1:23">
      <c r="A1916" s="2">
        <v>46071</v>
      </c>
      <c r="B1916" s="1" t="s">
        <v>8749</v>
      </c>
      <c r="C1916" s="1" t="s">
        <v>4441</v>
      </c>
      <c r="D1916" s="1" t="s">
        <v>6851</v>
      </c>
      <c r="E1916" s="1">
        <v>85354</v>
      </c>
      <c r="F1916" s="1" t="s">
        <v>8750</v>
      </c>
      <c r="G1916" s="39" t="s">
        <v>8733</v>
      </c>
      <c r="H1916" s="4" t="s">
        <v>2471</v>
      </c>
      <c r="Q1916" s="35"/>
      <c r="V1916" s="1">
        <f t="shared" si="29"/>
        <v>1</v>
      </c>
      <c r="W1916" s="131" t="s">
        <v>8751</v>
      </c>
    </row>
    <row r="1917" spans="1:23">
      <c r="A1917" s="2">
        <v>46071</v>
      </c>
      <c r="B1917" s="1" t="s">
        <v>8752</v>
      </c>
      <c r="C1917" s="1" t="s">
        <v>3900</v>
      </c>
      <c r="D1917" s="1" t="s">
        <v>2398</v>
      </c>
      <c r="E1917" s="1">
        <v>85308</v>
      </c>
      <c r="F1917" s="1" t="s">
        <v>8753</v>
      </c>
      <c r="G1917" s="39" t="s">
        <v>8733</v>
      </c>
      <c r="H1917" s="4" t="s">
        <v>2199</v>
      </c>
      <c r="I1917" s="5" t="s">
        <v>2659</v>
      </c>
      <c r="J1917" s="5" t="s">
        <v>24</v>
      </c>
      <c r="K1917" s="5" t="s">
        <v>24</v>
      </c>
      <c r="L1917" s="5" t="s">
        <v>75</v>
      </c>
      <c r="M1917" s="5" t="s">
        <v>24</v>
      </c>
      <c r="N1917" s="5" t="s">
        <v>24</v>
      </c>
      <c r="O1917" s="5" t="s">
        <v>75</v>
      </c>
      <c r="P1917" s="5" t="s">
        <v>2413</v>
      </c>
      <c r="Q1917" s="137">
        <v>46077</v>
      </c>
      <c r="V1917" s="1">
        <f t="shared" si="29"/>
        <v>1</v>
      </c>
      <c r="W1917" s="1" t="s">
        <v>8754</v>
      </c>
    </row>
    <row r="1918" spans="1:23">
      <c r="A1918" s="2">
        <v>46071</v>
      </c>
      <c r="B1918" s="1" t="s">
        <v>8755</v>
      </c>
      <c r="C1918" s="1" t="s">
        <v>2784</v>
      </c>
      <c r="D1918" s="1" t="s">
        <v>5252</v>
      </c>
      <c r="E1918" s="1">
        <v>85132</v>
      </c>
      <c r="F1918" s="1" t="s">
        <v>8756</v>
      </c>
      <c r="G1918" s="39" t="s">
        <v>8733</v>
      </c>
      <c r="H1918" s="4" t="s">
        <v>2201</v>
      </c>
      <c r="I1918" s="5" t="s">
        <v>2420</v>
      </c>
      <c r="J1918" s="5" t="s">
        <v>24</v>
      </c>
      <c r="K1918" s="5" t="s">
        <v>24</v>
      </c>
      <c r="L1918" s="5" t="s">
        <v>75</v>
      </c>
      <c r="M1918" s="5" t="s">
        <v>24</v>
      </c>
      <c r="N1918" s="5" t="s">
        <v>24</v>
      </c>
      <c r="O1918" s="5" t="s">
        <v>75</v>
      </c>
      <c r="P1918" s="5" t="s">
        <v>2413</v>
      </c>
      <c r="Q1918" s="137">
        <v>46077</v>
      </c>
      <c r="V1918" s="1">
        <f t="shared" si="29"/>
        <v>1</v>
      </c>
      <c r="W1918" s="1" t="s">
        <v>8757</v>
      </c>
    </row>
    <row r="1919" spans="1:23">
      <c r="A1919" s="2">
        <v>46071</v>
      </c>
      <c r="B1919" s="1" t="s">
        <v>7871</v>
      </c>
      <c r="C1919" s="1" t="s">
        <v>8035</v>
      </c>
      <c r="D1919" s="1" t="s">
        <v>2564</v>
      </c>
      <c r="E1919" s="1">
        <v>85338</v>
      </c>
      <c r="F1919" s="1" t="s">
        <v>8758</v>
      </c>
      <c r="G1919" s="39" t="s">
        <v>8733</v>
      </c>
      <c r="H1919" s="4" t="s">
        <v>722</v>
      </c>
      <c r="I1919" s="5" t="s">
        <v>7340</v>
      </c>
      <c r="J1919" s="5" t="s">
        <v>24</v>
      </c>
      <c r="K1919" s="5" t="s">
        <v>24</v>
      </c>
      <c r="L1919" s="5" t="s">
        <v>7158</v>
      </c>
      <c r="M1919" s="5" t="s">
        <v>75</v>
      </c>
      <c r="N1919" s="13">
        <v>5.37</v>
      </c>
      <c r="O1919" s="5" t="s">
        <v>75</v>
      </c>
      <c r="P1919" s="5" t="s">
        <v>2413</v>
      </c>
      <c r="Q1919" s="137">
        <v>46077</v>
      </c>
      <c r="V1919" s="1">
        <f t="shared" si="29"/>
        <v>1</v>
      </c>
      <c r="W1919" s="1" t="s">
        <v>8759</v>
      </c>
    </row>
    <row r="1920" spans="1:23">
      <c r="A1920" s="2">
        <v>46071</v>
      </c>
      <c r="B1920" s="1" t="s">
        <v>8760</v>
      </c>
      <c r="C1920" s="1" t="s">
        <v>8761</v>
      </c>
      <c r="D1920" s="1" t="s">
        <v>6107</v>
      </c>
      <c r="E1920" s="1">
        <v>85253</v>
      </c>
      <c r="F1920" s="1" t="s">
        <v>8762</v>
      </c>
      <c r="G1920" s="39" t="s">
        <v>8733</v>
      </c>
      <c r="H1920" s="4" t="s">
        <v>2203</v>
      </c>
      <c r="I1920" s="5" t="s">
        <v>8763</v>
      </c>
      <c r="J1920" s="5" t="s">
        <v>24</v>
      </c>
      <c r="K1920" s="5" t="s">
        <v>24</v>
      </c>
      <c r="L1920" s="5" t="s">
        <v>75</v>
      </c>
      <c r="M1920" s="5" t="s">
        <v>24</v>
      </c>
      <c r="N1920" s="5" t="s">
        <v>24</v>
      </c>
      <c r="O1920" s="5" t="s">
        <v>75</v>
      </c>
      <c r="P1920" s="5" t="s">
        <v>2413</v>
      </c>
      <c r="Q1920" s="137">
        <v>46077</v>
      </c>
      <c r="V1920" s="1">
        <f t="shared" si="29"/>
        <v>1</v>
      </c>
      <c r="W1920" s="1" t="s">
        <v>8764</v>
      </c>
    </row>
    <row r="1921" spans="1:23">
      <c r="A1921" s="2">
        <v>46071</v>
      </c>
      <c r="B1921" s="1" t="s">
        <v>8765</v>
      </c>
      <c r="C1921" s="1" t="s">
        <v>2733</v>
      </c>
      <c r="D1921" s="1" t="s">
        <v>3303</v>
      </c>
      <c r="E1921" s="1">
        <v>86301</v>
      </c>
      <c r="F1921" s="1" t="s">
        <v>8766</v>
      </c>
      <c r="G1921" s="39" t="s">
        <v>8733</v>
      </c>
      <c r="H1921" s="4" t="s">
        <v>598</v>
      </c>
      <c r="I1921" s="5" t="s">
        <v>2659</v>
      </c>
      <c r="J1921" s="5" t="s">
        <v>24</v>
      </c>
      <c r="K1921" s="5" t="s">
        <v>24</v>
      </c>
      <c r="L1921" s="5" t="s">
        <v>8767</v>
      </c>
      <c r="M1921" s="5" t="s">
        <v>24</v>
      </c>
      <c r="N1921" s="5" t="s">
        <v>24</v>
      </c>
      <c r="O1921" s="5" t="s">
        <v>75</v>
      </c>
      <c r="P1921" s="5" t="s">
        <v>2413</v>
      </c>
      <c r="Q1921" s="137">
        <v>46077</v>
      </c>
      <c r="V1921" s="1">
        <f t="shared" si="29"/>
        <v>1</v>
      </c>
      <c r="W1921" s="1" t="s">
        <v>8768</v>
      </c>
    </row>
    <row r="1922" spans="1:23">
      <c r="A1922" s="2">
        <v>46071</v>
      </c>
      <c r="B1922" s="1" t="s">
        <v>8769</v>
      </c>
      <c r="C1922" s="1" t="s">
        <v>7379</v>
      </c>
      <c r="D1922" s="1" t="s">
        <v>2439</v>
      </c>
      <c r="E1922" s="1">
        <v>85028</v>
      </c>
      <c r="F1922" s="1" t="s">
        <v>8770</v>
      </c>
      <c r="G1922" s="39" t="s">
        <v>8733</v>
      </c>
      <c r="H1922" s="4" t="s">
        <v>2205</v>
      </c>
      <c r="I1922" s="5" t="s">
        <v>6953</v>
      </c>
      <c r="J1922" s="5" t="s">
        <v>24</v>
      </c>
      <c r="K1922" s="5" t="s">
        <v>24</v>
      </c>
      <c r="L1922" s="5" t="s">
        <v>7158</v>
      </c>
      <c r="M1922" s="5" t="s">
        <v>24</v>
      </c>
      <c r="N1922" s="5" t="s">
        <v>24</v>
      </c>
      <c r="O1922" s="5" t="s">
        <v>75</v>
      </c>
      <c r="P1922" s="5" t="s">
        <v>2413</v>
      </c>
      <c r="Q1922" s="137">
        <v>46077</v>
      </c>
      <c r="V1922" s="1">
        <f t="shared" ref="V1922:V1949" si="30">IF(OR(ISNUMBER(SEARCH("unable to locate acct",G1922)),ISNUMBER(SEARCH("unknown",G1922)),ISNUMBER(SEARCH("inactive",G1922)),H1922=""),0,1)</f>
        <v>1</v>
      </c>
      <c r="W1922" s="1" t="s">
        <v>8771</v>
      </c>
    </row>
    <row r="1923" spans="1:23">
      <c r="A1923" s="2">
        <v>46071</v>
      </c>
      <c r="B1923" s="1" t="s">
        <v>2850</v>
      </c>
      <c r="C1923" s="1" t="s">
        <v>2806</v>
      </c>
      <c r="D1923" s="1" t="s">
        <v>2439</v>
      </c>
      <c r="E1923" s="1">
        <v>85016</v>
      </c>
      <c r="F1923" s="1" t="s">
        <v>8772</v>
      </c>
      <c r="G1923" s="39" t="s">
        <v>8773</v>
      </c>
      <c r="H1923" s="4" t="s">
        <v>2401</v>
      </c>
      <c r="Q1923" s="35"/>
      <c r="R1923" s="1" t="s">
        <v>8774</v>
      </c>
      <c r="V1923" s="1">
        <f t="shared" si="30"/>
        <v>1</v>
      </c>
      <c r="W1923" s="1" t="s">
        <v>8775</v>
      </c>
    </row>
    <row r="1924" spans="1:23">
      <c r="A1924" s="2">
        <v>46071</v>
      </c>
      <c r="B1924" s="1" t="s">
        <v>8776</v>
      </c>
      <c r="C1924" s="1" t="s">
        <v>3530</v>
      </c>
      <c r="D1924" s="1" t="s">
        <v>2674</v>
      </c>
      <c r="E1924" s="1">
        <v>86314</v>
      </c>
      <c r="F1924" s="1" t="s">
        <v>8777</v>
      </c>
      <c r="G1924" s="39" t="s">
        <v>8773</v>
      </c>
      <c r="H1924" s="4" t="s">
        <v>2207</v>
      </c>
      <c r="I1924" s="5" t="s">
        <v>2451</v>
      </c>
      <c r="J1924" s="5" t="s">
        <v>75</v>
      </c>
      <c r="K1924" s="5" t="s">
        <v>24</v>
      </c>
      <c r="L1924" s="5" t="s">
        <v>75</v>
      </c>
      <c r="M1924" s="5" t="s">
        <v>24</v>
      </c>
      <c r="N1924" s="5" t="s">
        <v>24</v>
      </c>
      <c r="O1924" s="5" t="s">
        <v>75</v>
      </c>
      <c r="P1924" s="5" t="s">
        <v>2413</v>
      </c>
      <c r="Q1924" s="137">
        <v>46077</v>
      </c>
      <c r="V1924" s="1">
        <f t="shared" si="30"/>
        <v>1</v>
      </c>
      <c r="W1924" s="1" t="s">
        <v>8778</v>
      </c>
    </row>
    <row r="1925" spans="1:23">
      <c r="A1925" s="2">
        <v>46071</v>
      </c>
      <c r="B1925" s="1" t="s">
        <v>8779</v>
      </c>
      <c r="C1925" s="1" t="s">
        <v>4091</v>
      </c>
      <c r="D1925" s="1" t="s">
        <v>2518</v>
      </c>
      <c r="E1925" s="1">
        <v>85234</v>
      </c>
      <c r="F1925" s="1" t="s">
        <v>8780</v>
      </c>
      <c r="G1925" s="39" t="s">
        <v>8773</v>
      </c>
      <c r="H1925" s="4" t="s">
        <v>600</v>
      </c>
      <c r="I1925" s="5" t="s">
        <v>8763</v>
      </c>
      <c r="J1925" s="5" t="s">
        <v>24</v>
      </c>
      <c r="K1925" s="5" t="s">
        <v>24</v>
      </c>
      <c r="L1925" s="5" t="s">
        <v>8781</v>
      </c>
      <c r="M1925" s="5" t="s">
        <v>24</v>
      </c>
      <c r="N1925" s="5" t="s">
        <v>24</v>
      </c>
      <c r="O1925" s="5" t="s">
        <v>75</v>
      </c>
      <c r="Q1925" s="138">
        <v>46077</v>
      </c>
      <c r="R1925" s="1" t="s">
        <v>7066</v>
      </c>
      <c r="V1925" s="1">
        <f t="shared" si="30"/>
        <v>1</v>
      </c>
      <c r="W1925" s="1" t="s">
        <v>8782</v>
      </c>
    </row>
    <row r="1926" spans="1:23">
      <c r="A1926" s="2">
        <v>46071</v>
      </c>
      <c r="B1926" s="1" t="s">
        <v>8783</v>
      </c>
      <c r="C1926" s="1" t="s">
        <v>8784</v>
      </c>
      <c r="D1926" s="1" t="s">
        <v>3303</v>
      </c>
      <c r="E1926" s="1">
        <v>86303</v>
      </c>
      <c r="F1926" s="1" t="s">
        <v>8785</v>
      </c>
      <c r="G1926" s="39" t="s">
        <v>8773</v>
      </c>
      <c r="H1926" s="4" t="s">
        <v>2209</v>
      </c>
      <c r="I1926" s="5" t="s">
        <v>2420</v>
      </c>
      <c r="J1926" s="5" t="s">
        <v>24</v>
      </c>
      <c r="K1926" s="5" t="s">
        <v>24</v>
      </c>
      <c r="L1926" s="5" t="s">
        <v>75</v>
      </c>
      <c r="M1926" s="5" t="s">
        <v>24</v>
      </c>
      <c r="N1926" s="5" t="s">
        <v>24</v>
      </c>
      <c r="O1926" s="5" t="s">
        <v>75</v>
      </c>
      <c r="P1926" s="5" t="s">
        <v>2413</v>
      </c>
      <c r="Q1926" s="137">
        <v>46077</v>
      </c>
      <c r="V1926" s="1">
        <f t="shared" si="30"/>
        <v>1</v>
      </c>
      <c r="W1926" s="1" t="s">
        <v>8786</v>
      </c>
    </row>
    <row r="1927" spans="1:23">
      <c r="A1927" s="2">
        <v>46071</v>
      </c>
      <c r="B1927" s="1" t="s">
        <v>8787</v>
      </c>
      <c r="C1927" s="1" t="s">
        <v>8788</v>
      </c>
      <c r="D1927" s="1" t="s">
        <v>2439</v>
      </c>
      <c r="E1927" s="1">
        <v>85037</v>
      </c>
      <c r="F1927" s="1" t="s">
        <v>6754</v>
      </c>
      <c r="G1927" s="39" t="s">
        <v>8773</v>
      </c>
      <c r="H1927" s="4" t="s">
        <v>2401</v>
      </c>
      <c r="Q1927" s="35"/>
      <c r="V1927" s="1">
        <f t="shared" si="30"/>
        <v>1</v>
      </c>
      <c r="W1927" s="1" t="s">
        <v>8789</v>
      </c>
    </row>
    <row r="1928" spans="1:23">
      <c r="A1928" s="2">
        <v>46071</v>
      </c>
      <c r="B1928" s="1" t="s">
        <v>8790</v>
      </c>
      <c r="C1928" s="1" t="s">
        <v>2612</v>
      </c>
      <c r="D1928" s="1" t="s">
        <v>2950</v>
      </c>
      <c r="E1928" s="1">
        <v>86001</v>
      </c>
      <c r="F1928" s="1" t="s">
        <v>8791</v>
      </c>
      <c r="G1928" s="39" t="s">
        <v>8773</v>
      </c>
      <c r="H1928" s="4" t="s">
        <v>2401</v>
      </c>
      <c r="Q1928" s="35"/>
      <c r="V1928" s="1">
        <f t="shared" si="30"/>
        <v>1</v>
      </c>
      <c r="W1928" s="1" t="s">
        <v>8792</v>
      </c>
    </row>
    <row r="1929" spans="1:23">
      <c r="A1929" s="2">
        <v>46071</v>
      </c>
      <c r="B1929" s="1" t="s">
        <v>8793</v>
      </c>
      <c r="C1929" s="1" t="s">
        <v>3027</v>
      </c>
      <c r="D1929" s="1" t="s">
        <v>6297</v>
      </c>
      <c r="E1929" s="1">
        <v>86322</v>
      </c>
      <c r="F1929" s="1" t="s">
        <v>8794</v>
      </c>
      <c r="G1929" s="39" t="s">
        <v>8773</v>
      </c>
      <c r="H1929" s="4" t="s">
        <v>2211</v>
      </c>
      <c r="I1929" s="5" t="s">
        <v>2451</v>
      </c>
      <c r="J1929" s="5" t="s">
        <v>75</v>
      </c>
      <c r="K1929" s="5" t="s">
        <v>24</v>
      </c>
      <c r="L1929" s="5" t="s">
        <v>75</v>
      </c>
      <c r="M1929" s="5" t="s">
        <v>24</v>
      </c>
      <c r="N1929" s="5" t="s">
        <v>24</v>
      </c>
      <c r="O1929" s="5" t="s">
        <v>75</v>
      </c>
      <c r="P1929" s="5" t="s">
        <v>2413</v>
      </c>
      <c r="Q1929" s="137">
        <v>46077</v>
      </c>
      <c r="V1929" s="1">
        <f t="shared" si="30"/>
        <v>1</v>
      </c>
      <c r="W1929" s="1" t="s">
        <v>8795</v>
      </c>
    </row>
    <row r="1930" spans="1:23">
      <c r="A1930" s="2">
        <v>46071</v>
      </c>
      <c r="B1930" s="1" t="s">
        <v>8796</v>
      </c>
      <c r="C1930" s="1" t="s">
        <v>8797</v>
      </c>
      <c r="D1930" s="1" t="s">
        <v>2564</v>
      </c>
      <c r="E1930" s="1">
        <v>85395</v>
      </c>
      <c r="F1930" s="1" t="s">
        <v>8798</v>
      </c>
      <c r="G1930" s="39" t="s">
        <v>8773</v>
      </c>
      <c r="H1930" s="4" t="s">
        <v>2213</v>
      </c>
      <c r="I1930" s="5" t="s">
        <v>2412</v>
      </c>
      <c r="J1930" s="5" t="s">
        <v>24</v>
      </c>
      <c r="K1930" s="5" t="s">
        <v>24</v>
      </c>
      <c r="L1930" s="5" t="s">
        <v>75</v>
      </c>
      <c r="M1930" s="5" t="s">
        <v>24</v>
      </c>
      <c r="N1930" s="5" t="s">
        <v>24</v>
      </c>
      <c r="O1930" s="5" t="s">
        <v>75</v>
      </c>
      <c r="P1930" s="5" t="s">
        <v>2413</v>
      </c>
      <c r="Q1930" s="137">
        <v>46077</v>
      </c>
      <c r="V1930" s="1">
        <f t="shared" si="30"/>
        <v>1</v>
      </c>
      <c r="W1930" s="1" t="s">
        <v>8799</v>
      </c>
    </row>
    <row r="1931" spans="1:23">
      <c r="A1931" s="2">
        <v>46071</v>
      </c>
      <c r="B1931" s="1" t="s">
        <v>2792</v>
      </c>
      <c r="C1931" s="1" t="s">
        <v>2574</v>
      </c>
      <c r="D1931" s="1" t="s">
        <v>2439</v>
      </c>
      <c r="E1931" s="1">
        <v>85050</v>
      </c>
      <c r="F1931" s="1" t="s">
        <v>8800</v>
      </c>
      <c r="G1931" s="39" t="s">
        <v>8773</v>
      </c>
      <c r="H1931" s="4" t="s">
        <v>2215</v>
      </c>
      <c r="I1931" s="5" t="s">
        <v>6911</v>
      </c>
      <c r="J1931" s="5" t="s">
        <v>24</v>
      </c>
      <c r="K1931" s="5" t="s">
        <v>24</v>
      </c>
      <c r="L1931" s="5" t="s">
        <v>7158</v>
      </c>
      <c r="M1931" s="5" t="s">
        <v>24</v>
      </c>
      <c r="N1931" s="5" t="s">
        <v>24</v>
      </c>
      <c r="O1931" s="5" t="s">
        <v>75</v>
      </c>
      <c r="P1931" s="5" t="s">
        <v>2413</v>
      </c>
      <c r="Q1931" s="137">
        <v>46077</v>
      </c>
      <c r="V1931" s="1">
        <f t="shared" si="30"/>
        <v>1</v>
      </c>
      <c r="W1931" s="1" t="s">
        <v>8801</v>
      </c>
    </row>
    <row r="1932" spans="1:23">
      <c r="A1932" s="2">
        <v>46071</v>
      </c>
      <c r="B1932" s="1" t="s">
        <v>8802</v>
      </c>
      <c r="C1932" s="1" t="s">
        <v>4637</v>
      </c>
      <c r="D1932" s="1" t="s">
        <v>2439</v>
      </c>
      <c r="E1932" s="1">
        <v>85024</v>
      </c>
      <c r="F1932" s="1" t="s">
        <v>8803</v>
      </c>
      <c r="G1932" s="39" t="s">
        <v>8773</v>
      </c>
      <c r="H1932" s="4" t="s">
        <v>2217</v>
      </c>
      <c r="I1932" s="5" t="s">
        <v>2412</v>
      </c>
      <c r="J1932" s="5" t="s">
        <v>24</v>
      </c>
      <c r="K1932" s="5" t="s">
        <v>24</v>
      </c>
      <c r="L1932" s="5" t="s">
        <v>75</v>
      </c>
      <c r="M1932" s="5" t="s">
        <v>24</v>
      </c>
      <c r="N1932" s="5" t="s">
        <v>24</v>
      </c>
      <c r="O1932" s="5" t="s">
        <v>75</v>
      </c>
      <c r="P1932" s="5" t="s">
        <v>2413</v>
      </c>
      <c r="Q1932" s="137">
        <v>46077</v>
      </c>
      <c r="V1932" s="1">
        <f t="shared" si="30"/>
        <v>1</v>
      </c>
      <c r="W1932" s="1" t="s">
        <v>8804</v>
      </c>
    </row>
    <row r="1933" spans="1:23">
      <c r="A1933" s="2">
        <v>46071</v>
      </c>
      <c r="B1933" s="1" t="s">
        <v>8805</v>
      </c>
      <c r="C1933" s="1" t="s">
        <v>8806</v>
      </c>
      <c r="D1933" s="1" t="s">
        <v>2950</v>
      </c>
      <c r="E1933" s="1">
        <v>86005</v>
      </c>
      <c r="F1933" s="1" t="s">
        <v>8807</v>
      </c>
      <c r="G1933" s="39" t="s">
        <v>8773</v>
      </c>
      <c r="H1933" s="4" t="s">
        <v>602</v>
      </c>
      <c r="I1933" s="5" t="s">
        <v>2420</v>
      </c>
      <c r="J1933" s="5" t="s">
        <v>24</v>
      </c>
      <c r="K1933" s="5" t="s">
        <v>24</v>
      </c>
      <c r="L1933" s="5" t="s">
        <v>8808</v>
      </c>
      <c r="M1933" s="5" t="s">
        <v>24</v>
      </c>
      <c r="N1933" s="5" t="s">
        <v>24</v>
      </c>
      <c r="O1933" s="5" t="s">
        <v>75</v>
      </c>
      <c r="P1933" s="5" t="s">
        <v>2413</v>
      </c>
      <c r="Q1933" s="137">
        <v>46077</v>
      </c>
      <c r="V1933" s="1">
        <f t="shared" si="30"/>
        <v>1</v>
      </c>
      <c r="W1933" s="1" t="s">
        <v>8809</v>
      </c>
    </row>
    <row r="1934" spans="1:23">
      <c r="A1934" s="2">
        <v>46071</v>
      </c>
      <c r="B1934" s="1" t="s">
        <v>8810</v>
      </c>
      <c r="C1934" s="1" t="s">
        <v>8811</v>
      </c>
      <c r="D1934" s="1" t="s">
        <v>2950</v>
      </c>
      <c r="E1934" s="1">
        <v>86005</v>
      </c>
      <c r="F1934" s="1" t="s">
        <v>8812</v>
      </c>
      <c r="G1934" s="39" t="s">
        <v>8773</v>
      </c>
      <c r="H1934" s="4" t="s">
        <v>604</v>
      </c>
      <c r="I1934" s="5" t="s">
        <v>2514</v>
      </c>
      <c r="J1934" s="5" t="s">
        <v>24</v>
      </c>
      <c r="K1934" s="5" t="s">
        <v>24</v>
      </c>
      <c r="L1934" s="5" t="s">
        <v>8813</v>
      </c>
      <c r="M1934" s="5" t="s">
        <v>24</v>
      </c>
      <c r="N1934" s="5" t="s">
        <v>24</v>
      </c>
      <c r="O1934" s="5" t="s">
        <v>75</v>
      </c>
      <c r="P1934" s="5" t="s">
        <v>2413</v>
      </c>
      <c r="Q1934" s="137">
        <v>46077</v>
      </c>
      <c r="V1934" s="1">
        <f t="shared" si="30"/>
        <v>1</v>
      </c>
      <c r="W1934" s="1" t="s">
        <v>8814</v>
      </c>
    </row>
    <row r="1935" spans="1:23">
      <c r="A1935" s="2">
        <v>46071</v>
      </c>
      <c r="B1935" s="1" t="s">
        <v>3221</v>
      </c>
      <c r="C1935" s="1" t="s">
        <v>5849</v>
      </c>
      <c r="D1935" s="1" t="s">
        <v>3166</v>
      </c>
      <c r="E1935" s="1">
        <v>85375</v>
      </c>
      <c r="F1935" s="1" t="s">
        <v>8815</v>
      </c>
      <c r="G1935" s="39" t="s">
        <v>8816</v>
      </c>
      <c r="H1935" s="4" t="s">
        <v>606</v>
      </c>
      <c r="I1935" s="5" t="s">
        <v>2420</v>
      </c>
      <c r="J1935" s="5" t="s">
        <v>24</v>
      </c>
      <c r="K1935" s="5" t="s">
        <v>24</v>
      </c>
      <c r="L1935" s="5" t="s">
        <v>8817</v>
      </c>
      <c r="M1935" s="5" t="s">
        <v>24</v>
      </c>
      <c r="N1935" s="5" t="s">
        <v>24</v>
      </c>
      <c r="O1935" s="5" t="s">
        <v>75</v>
      </c>
      <c r="P1935" s="5" t="s">
        <v>2413</v>
      </c>
      <c r="Q1935" s="137">
        <v>46077</v>
      </c>
      <c r="V1935" s="1">
        <f t="shared" si="30"/>
        <v>1</v>
      </c>
      <c r="W1935" s="1" t="s">
        <v>8818</v>
      </c>
    </row>
    <row r="1936" spans="1:23">
      <c r="A1936" s="2">
        <v>46071</v>
      </c>
      <c r="B1936" s="1" t="s">
        <v>7549</v>
      </c>
      <c r="C1936" s="1" t="s">
        <v>4215</v>
      </c>
      <c r="D1936" s="1" t="s">
        <v>2405</v>
      </c>
      <c r="E1936" s="1" t="s">
        <v>2405</v>
      </c>
      <c r="F1936" s="1" t="s">
        <v>8819</v>
      </c>
      <c r="G1936" s="39" t="s">
        <v>8820</v>
      </c>
      <c r="H1936" s="4" t="s">
        <v>2401</v>
      </c>
      <c r="Q1936" s="35"/>
      <c r="R1936" s="1" t="s">
        <v>8774</v>
      </c>
      <c r="V1936" s="1">
        <f t="shared" si="30"/>
        <v>1</v>
      </c>
      <c r="W1936" s="1" t="s">
        <v>8821</v>
      </c>
    </row>
    <row r="1937" spans="1:23">
      <c r="A1937" s="2">
        <v>46072</v>
      </c>
      <c r="B1937" s="1" t="s">
        <v>8822</v>
      </c>
      <c r="C1937" s="1" t="s">
        <v>8823</v>
      </c>
      <c r="D1937" s="1" t="s">
        <v>2475</v>
      </c>
      <c r="E1937" s="1">
        <v>85373</v>
      </c>
      <c r="F1937" s="1" t="s">
        <v>8824</v>
      </c>
      <c r="G1937" s="39" t="s">
        <v>8825</v>
      </c>
      <c r="H1937" s="4" t="s">
        <v>2219</v>
      </c>
      <c r="I1937" s="5" t="s">
        <v>2514</v>
      </c>
      <c r="J1937" s="5" t="s">
        <v>24</v>
      </c>
      <c r="K1937" s="5" t="s">
        <v>24</v>
      </c>
      <c r="L1937" s="5" t="s">
        <v>75</v>
      </c>
      <c r="M1937" s="5" t="s">
        <v>24</v>
      </c>
      <c r="N1937" s="5" t="s">
        <v>24</v>
      </c>
      <c r="O1937" s="5" t="s">
        <v>75</v>
      </c>
      <c r="P1937" s="5" t="s">
        <v>2413</v>
      </c>
      <c r="Q1937" s="137">
        <v>46077</v>
      </c>
      <c r="V1937" s="1">
        <f t="shared" si="30"/>
        <v>1</v>
      </c>
      <c r="W1937" s="1" t="s">
        <v>8826</v>
      </c>
    </row>
    <row r="1938" spans="1:23">
      <c r="A1938" s="2">
        <v>46072</v>
      </c>
      <c r="B1938" s="1" t="s">
        <v>8827</v>
      </c>
      <c r="C1938" s="1" t="s">
        <v>8828</v>
      </c>
      <c r="D1938" s="1" t="s">
        <v>6499</v>
      </c>
      <c r="E1938" s="1">
        <v>85746</v>
      </c>
      <c r="F1938" s="1" t="s">
        <v>8829</v>
      </c>
      <c r="G1938" s="39" t="s">
        <v>8825</v>
      </c>
      <c r="H1938" s="4" t="s">
        <v>2401</v>
      </c>
      <c r="Q1938" s="35"/>
      <c r="V1938" s="1">
        <f t="shared" si="30"/>
        <v>1</v>
      </c>
      <c r="W1938" s="1" t="s">
        <v>8830</v>
      </c>
    </row>
    <row r="1939" spans="1:23">
      <c r="A1939" s="2">
        <v>46072</v>
      </c>
      <c r="B1939" s="1" t="s">
        <v>7518</v>
      </c>
      <c r="C1939" s="1" t="s">
        <v>2699</v>
      </c>
      <c r="D1939" s="1" t="s">
        <v>2439</v>
      </c>
      <c r="E1939" s="1">
        <v>85020</v>
      </c>
      <c r="F1939" s="1" t="s">
        <v>8831</v>
      </c>
      <c r="G1939" s="39" t="s">
        <v>8825</v>
      </c>
      <c r="H1939" s="4" t="s">
        <v>2221</v>
      </c>
      <c r="I1939" s="5" t="s">
        <v>8061</v>
      </c>
      <c r="J1939" s="5" t="s">
        <v>24</v>
      </c>
      <c r="K1939" s="5" t="s">
        <v>24</v>
      </c>
      <c r="L1939" s="5" t="s">
        <v>75</v>
      </c>
      <c r="M1939" s="5" t="s">
        <v>24</v>
      </c>
      <c r="N1939" s="5" t="s">
        <v>24</v>
      </c>
      <c r="O1939" s="5" t="s">
        <v>75</v>
      </c>
      <c r="P1939" s="5" t="s">
        <v>2413</v>
      </c>
      <c r="Q1939" s="137">
        <v>45712</v>
      </c>
      <c r="V1939" s="1">
        <f t="shared" si="30"/>
        <v>1</v>
      </c>
      <c r="W1939" s="1" t="s">
        <v>8832</v>
      </c>
    </row>
    <row r="1940" spans="1:23">
      <c r="A1940" s="2">
        <v>46072</v>
      </c>
      <c r="B1940" s="1" t="s">
        <v>8833</v>
      </c>
      <c r="C1940" s="1" t="s">
        <v>3494</v>
      </c>
      <c r="D1940" s="1" t="s">
        <v>2439</v>
      </c>
      <c r="E1940" s="1">
        <v>85020</v>
      </c>
      <c r="F1940" s="1" t="s">
        <v>8834</v>
      </c>
      <c r="G1940" s="39" t="s">
        <v>8825</v>
      </c>
      <c r="H1940" s="4" t="s">
        <v>2221</v>
      </c>
      <c r="I1940" s="5" t="s">
        <v>8061</v>
      </c>
      <c r="J1940" s="5" t="s">
        <v>24</v>
      </c>
      <c r="K1940" s="5" t="s">
        <v>24</v>
      </c>
      <c r="L1940" s="5" t="s">
        <v>75</v>
      </c>
      <c r="M1940" s="5" t="s">
        <v>24</v>
      </c>
      <c r="N1940" s="5" t="s">
        <v>24</v>
      </c>
      <c r="O1940" s="5" t="s">
        <v>75</v>
      </c>
      <c r="P1940" s="5" t="s">
        <v>2413</v>
      </c>
      <c r="Q1940" s="137">
        <v>45712</v>
      </c>
      <c r="V1940" s="1">
        <f t="shared" si="30"/>
        <v>1</v>
      </c>
      <c r="W1940" s="1" t="s">
        <v>8835</v>
      </c>
    </row>
    <row r="1941" spans="1:23">
      <c r="A1941" s="2">
        <v>46072</v>
      </c>
      <c r="B1941" s="1" t="s">
        <v>8836</v>
      </c>
      <c r="C1941" s="1" t="s">
        <v>3494</v>
      </c>
      <c r="D1941" s="1" t="s">
        <v>2470</v>
      </c>
      <c r="E1941" s="1">
        <v>86351</v>
      </c>
      <c r="F1941" s="1" t="s">
        <v>8837</v>
      </c>
      <c r="G1941" s="39" t="s">
        <v>8838</v>
      </c>
      <c r="H1941" s="4" t="s">
        <v>2223</v>
      </c>
      <c r="I1941" s="5" t="s">
        <v>2451</v>
      </c>
      <c r="J1941" s="5" t="s">
        <v>24</v>
      </c>
      <c r="K1941" s="5" t="s">
        <v>27</v>
      </c>
      <c r="L1941" s="5" t="s">
        <v>75</v>
      </c>
      <c r="M1941" s="5" t="s">
        <v>24</v>
      </c>
      <c r="N1941" s="5" t="s">
        <v>24</v>
      </c>
      <c r="O1941" s="5" t="s">
        <v>75</v>
      </c>
      <c r="P1941" s="5" t="s">
        <v>2413</v>
      </c>
      <c r="Q1941" s="137">
        <v>46077</v>
      </c>
      <c r="V1941" s="1">
        <f t="shared" si="30"/>
        <v>1</v>
      </c>
      <c r="W1941" s="1" t="s">
        <v>8839</v>
      </c>
    </row>
    <row r="1942" spans="1:23">
      <c r="A1942" s="2">
        <v>46072</v>
      </c>
      <c r="B1942" s="1" t="s">
        <v>8840</v>
      </c>
      <c r="C1942" s="1" t="s">
        <v>8489</v>
      </c>
      <c r="D1942" s="1" t="s">
        <v>2950</v>
      </c>
      <c r="E1942" s="1">
        <v>86004</v>
      </c>
      <c r="F1942" s="1" t="s">
        <v>8841</v>
      </c>
      <c r="G1942" s="39" t="s">
        <v>8838</v>
      </c>
      <c r="H1942" s="4" t="s">
        <v>2225</v>
      </c>
      <c r="I1942" s="5" t="s">
        <v>2451</v>
      </c>
      <c r="J1942" s="5" t="s">
        <v>24</v>
      </c>
      <c r="K1942" s="5" t="s">
        <v>24</v>
      </c>
      <c r="L1942" s="5" t="s">
        <v>75</v>
      </c>
      <c r="M1942" s="5" t="s">
        <v>24</v>
      </c>
      <c r="N1942" s="5" t="s">
        <v>24</v>
      </c>
      <c r="O1942" s="5" t="s">
        <v>75</v>
      </c>
      <c r="P1942" s="5" t="s">
        <v>2413</v>
      </c>
      <c r="Q1942" s="137">
        <v>46077</v>
      </c>
      <c r="V1942" s="1">
        <f t="shared" si="30"/>
        <v>1</v>
      </c>
      <c r="W1942" s="1" t="s">
        <v>8842</v>
      </c>
    </row>
    <row r="1943" spans="1:23">
      <c r="A1943" s="2">
        <v>46072</v>
      </c>
      <c r="B1943" s="1" t="s">
        <v>8464</v>
      </c>
      <c r="C1943" s="1" t="s">
        <v>7868</v>
      </c>
      <c r="D1943" s="1" t="s">
        <v>2570</v>
      </c>
      <c r="E1943" s="1" t="s">
        <v>7784</v>
      </c>
      <c r="F1943" s="1" t="s">
        <v>8843</v>
      </c>
      <c r="G1943" s="39" t="s">
        <v>8838</v>
      </c>
      <c r="H1943" s="4" t="s">
        <v>2401</v>
      </c>
      <c r="Q1943" s="35"/>
      <c r="V1943" s="1">
        <f t="shared" si="30"/>
        <v>1</v>
      </c>
      <c r="W1943" s="1" t="s">
        <v>8844</v>
      </c>
    </row>
    <row r="1944" spans="1:23">
      <c r="A1944" s="2">
        <v>46072</v>
      </c>
      <c r="B1944" s="1" t="s">
        <v>3725</v>
      </c>
      <c r="C1944" s="1" t="s">
        <v>8845</v>
      </c>
      <c r="D1944" s="1" t="s">
        <v>2439</v>
      </c>
      <c r="E1944" s="1">
        <v>85016</v>
      </c>
      <c r="F1944" s="1" t="s">
        <v>8846</v>
      </c>
      <c r="G1944" s="39" t="s">
        <v>8838</v>
      </c>
      <c r="H1944" s="4" t="s">
        <v>2471</v>
      </c>
      <c r="Q1944" s="35"/>
      <c r="V1944" s="1">
        <f t="shared" si="30"/>
        <v>1</v>
      </c>
      <c r="W1944" s="1" t="s">
        <v>8847</v>
      </c>
    </row>
    <row r="1945" spans="1:23">
      <c r="A1945" s="2">
        <v>46073</v>
      </c>
      <c r="B1945" s="1" t="s">
        <v>8848</v>
      </c>
      <c r="C1945" s="1" t="s">
        <v>2639</v>
      </c>
      <c r="D1945" s="1" t="s">
        <v>2605</v>
      </c>
      <c r="E1945" s="1">
        <v>85383</v>
      </c>
      <c r="F1945" s="1" t="s">
        <v>8849</v>
      </c>
      <c r="G1945" s="39" t="s">
        <v>8850</v>
      </c>
      <c r="H1945" s="4" t="s">
        <v>2227</v>
      </c>
      <c r="I1945" s="5" t="s">
        <v>8061</v>
      </c>
      <c r="J1945" s="5" t="s">
        <v>24</v>
      </c>
      <c r="K1945" s="5" t="s">
        <v>24</v>
      </c>
      <c r="L1945" s="5" t="s">
        <v>75</v>
      </c>
      <c r="M1945" s="5" t="s">
        <v>24</v>
      </c>
      <c r="N1945" s="5" t="s">
        <v>24</v>
      </c>
      <c r="O1945" s="5" t="s">
        <v>75</v>
      </c>
      <c r="P1945" s="5" t="s">
        <v>2413</v>
      </c>
      <c r="Q1945" s="137">
        <v>46077</v>
      </c>
      <c r="V1945" s="1">
        <f t="shared" si="30"/>
        <v>1</v>
      </c>
      <c r="W1945" s="1" t="s">
        <v>8851</v>
      </c>
    </row>
    <row r="1946" spans="1:23">
      <c r="A1946" s="2">
        <v>46073</v>
      </c>
      <c r="B1946" s="1" t="s">
        <v>8852</v>
      </c>
      <c r="C1946" s="1" t="s">
        <v>3553</v>
      </c>
      <c r="D1946" s="1" t="s">
        <v>4682</v>
      </c>
      <c r="E1946" s="1">
        <v>85201</v>
      </c>
      <c r="F1946" s="1" t="s">
        <v>8853</v>
      </c>
      <c r="G1946" s="39" t="s">
        <v>8850</v>
      </c>
      <c r="H1946" s="4" t="s">
        <v>2401</v>
      </c>
      <c r="Q1946" s="35"/>
      <c r="V1946" s="1">
        <f t="shared" si="30"/>
        <v>1</v>
      </c>
      <c r="W1946" s="1" t="s">
        <v>8854</v>
      </c>
    </row>
    <row r="1947" spans="1:23">
      <c r="A1947" s="2">
        <v>46073</v>
      </c>
      <c r="B1947" s="1" t="s">
        <v>8855</v>
      </c>
      <c r="C1947" s="1" t="s">
        <v>3107</v>
      </c>
      <c r="D1947" s="1" t="s">
        <v>2439</v>
      </c>
      <c r="E1947" s="1">
        <v>85020</v>
      </c>
      <c r="F1947" s="1" t="s">
        <v>8856</v>
      </c>
      <c r="G1947" s="39" t="s">
        <v>8857</v>
      </c>
      <c r="H1947" s="4" t="s">
        <v>8858</v>
      </c>
      <c r="I1947" s="5" t="s">
        <v>8763</v>
      </c>
      <c r="J1947" s="5" t="s">
        <v>24</v>
      </c>
      <c r="K1947" s="5" t="s">
        <v>24</v>
      </c>
      <c r="L1947" s="5" t="s">
        <v>8859</v>
      </c>
      <c r="M1947" s="5" t="s">
        <v>24</v>
      </c>
      <c r="N1947" s="5" t="s">
        <v>24</v>
      </c>
      <c r="O1947" s="5" t="s">
        <v>75</v>
      </c>
      <c r="Q1947" s="138">
        <v>45712</v>
      </c>
      <c r="R1947" s="1" t="s">
        <v>7066</v>
      </c>
      <c r="V1947" s="1">
        <f t="shared" si="30"/>
        <v>1</v>
      </c>
      <c r="W1947" s="1" t="s">
        <v>8860</v>
      </c>
    </row>
    <row r="1948" spans="1:23">
      <c r="A1948" s="2">
        <v>46076</v>
      </c>
      <c r="B1948" s="1" t="s">
        <v>2473</v>
      </c>
      <c r="C1948" s="1" t="s">
        <v>2474</v>
      </c>
      <c r="D1948" s="1" t="s">
        <v>2475</v>
      </c>
      <c r="E1948" s="1">
        <v>85351</v>
      </c>
      <c r="F1948" s="1" t="s">
        <v>8861</v>
      </c>
      <c r="G1948" s="39" t="s">
        <v>8862</v>
      </c>
      <c r="H1948" s="4" t="s">
        <v>2241</v>
      </c>
      <c r="I1948" s="5" t="s">
        <v>2451</v>
      </c>
      <c r="J1948" s="5" t="s">
        <v>24</v>
      </c>
      <c r="K1948" s="5" t="s">
        <v>24</v>
      </c>
      <c r="L1948" s="5" t="s">
        <v>75</v>
      </c>
      <c r="M1948" s="5" t="s">
        <v>24</v>
      </c>
      <c r="N1948" s="5" t="s">
        <v>24</v>
      </c>
      <c r="O1948" s="5" t="s">
        <v>75</v>
      </c>
      <c r="P1948" s="5" t="s">
        <v>2413</v>
      </c>
      <c r="Q1948" s="137">
        <v>46077</v>
      </c>
      <c r="V1948" s="1">
        <f t="shared" si="30"/>
        <v>1</v>
      </c>
      <c r="W1948" s="1" t="s">
        <v>8863</v>
      </c>
    </row>
    <row r="1949" spans="1:23">
      <c r="A1949" s="2">
        <v>46076</v>
      </c>
      <c r="B1949" s="1" t="s">
        <v>8864</v>
      </c>
      <c r="C1949" s="1" t="s">
        <v>8865</v>
      </c>
      <c r="D1949" s="1" t="s">
        <v>2513</v>
      </c>
      <c r="E1949" s="1">
        <v>85251</v>
      </c>
      <c r="F1949" s="1" t="s">
        <v>8866</v>
      </c>
      <c r="G1949" s="39" t="s">
        <v>8862</v>
      </c>
      <c r="H1949" s="4" t="s">
        <v>2401</v>
      </c>
      <c r="Q1949" s="35"/>
      <c r="V1949" s="1">
        <f t="shared" si="30"/>
        <v>1</v>
      </c>
      <c r="W1949" s="1" t="s">
        <v>8867</v>
      </c>
    </row>
    <row r="1950" spans="1:23" s="45" customFormat="1">
      <c r="A1950" s="55">
        <v>46079</v>
      </c>
      <c r="B1950" s="56" t="s">
        <v>8868</v>
      </c>
      <c r="C1950" s="56" t="s">
        <v>8869</v>
      </c>
      <c r="D1950" s="56" t="s">
        <v>2475</v>
      </c>
      <c r="E1950" s="56">
        <v>85351</v>
      </c>
      <c r="F1950" s="56" t="s">
        <v>8870</v>
      </c>
      <c r="G1950" s="56" t="s">
        <v>8871</v>
      </c>
      <c r="H1950" s="56">
        <v>8563817489</v>
      </c>
      <c r="I1950" s="56" t="s">
        <v>2514</v>
      </c>
      <c r="J1950" s="56" t="s">
        <v>24</v>
      </c>
      <c r="K1950" s="56" t="s">
        <v>24</v>
      </c>
      <c r="L1950" s="56" t="s">
        <v>75</v>
      </c>
      <c r="M1950" s="56" t="s">
        <v>24</v>
      </c>
      <c r="N1950" s="56" t="s">
        <v>24</v>
      </c>
      <c r="O1950" s="56" t="s">
        <v>75</v>
      </c>
      <c r="P1950" s="56" t="s">
        <v>2413</v>
      </c>
      <c r="Q1950" s="55">
        <v>46083</v>
      </c>
      <c r="R1950" s="56"/>
      <c r="S1950" s="56"/>
      <c r="T1950" s="56"/>
      <c r="U1950" s="56"/>
      <c r="V1950" s="56"/>
      <c r="W1950" s="140"/>
    </row>
    <row r="1951" spans="1:23" s="45" customFormat="1">
      <c r="A1951" s="57">
        <v>46079</v>
      </c>
      <c r="B1951" s="58" t="s">
        <v>4280</v>
      </c>
      <c r="C1951" s="58" t="s">
        <v>4365</v>
      </c>
      <c r="D1951" s="58" t="s">
        <v>2470</v>
      </c>
      <c r="E1951" s="58">
        <v>86336</v>
      </c>
      <c r="F1951" s="58" t="s">
        <v>8872</v>
      </c>
      <c r="G1951" s="58" t="s">
        <v>8871</v>
      </c>
      <c r="H1951" s="58">
        <v>8907040000</v>
      </c>
      <c r="I1951" s="58" t="s">
        <v>8873</v>
      </c>
      <c r="J1951" s="58" t="s">
        <v>2413</v>
      </c>
      <c r="K1951" s="58" t="s">
        <v>24</v>
      </c>
      <c r="L1951" s="58" t="s">
        <v>8874</v>
      </c>
      <c r="M1951" s="58" t="s">
        <v>24</v>
      </c>
      <c r="N1951" s="58" t="s">
        <v>24</v>
      </c>
      <c r="O1951" s="58" t="s">
        <v>75</v>
      </c>
      <c r="P1951" s="58"/>
      <c r="Q1951" s="57">
        <v>46083</v>
      </c>
      <c r="R1951" s="58" t="s">
        <v>7066</v>
      </c>
      <c r="S1951" s="58"/>
      <c r="T1951" s="58"/>
      <c r="U1951" s="58"/>
      <c r="V1951" s="58"/>
      <c r="W1951" s="140"/>
    </row>
    <row r="1952" spans="1:23" s="45" customFormat="1">
      <c r="A1952" s="55">
        <v>46079</v>
      </c>
      <c r="B1952" s="56" t="s">
        <v>8875</v>
      </c>
      <c r="C1952" s="56" t="s">
        <v>5282</v>
      </c>
      <c r="D1952" s="56" t="s">
        <v>2475</v>
      </c>
      <c r="E1952" s="56">
        <v>85351</v>
      </c>
      <c r="F1952" s="56" t="s">
        <v>8876</v>
      </c>
      <c r="G1952" s="56" t="s">
        <v>8871</v>
      </c>
      <c r="H1952" s="56">
        <v>5927176130</v>
      </c>
      <c r="I1952" s="56" t="s">
        <v>2451</v>
      </c>
      <c r="J1952" s="56" t="s">
        <v>24</v>
      </c>
      <c r="K1952" s="56" t="s">
        <v>24</v>
      </c>
      <c r="L1952" s="56" t="s">
        <v>75</v>
      </c>
      <c r="M1952" s="56" t="s">
        <v>24</v>
      </c>
      <c r="N1952" s="56" t="s">
        <v>24</v>
      </c>
      <c r="O1952" s="56" t="s">
        <v>75</v>
      </c>
      <c r="P1952" s="56" t="s">
        <v>2413</v>
      </c>
      <c r="Q1952" s="55">
        <v>46083</v>
      </c>
      <c r="R1952" s="56"/>
      <c r="S1952" s="56"/>
      <c r="T1952" s="56"/>
      <c r="U1952" s="56"/>
      <c r="V1952" s="56"/>
      <c r="W1952" s="140"/>
    </row>
    <row r="1953" spans="1:23" s="45" customFormat="1">
      <c r="A1953" s="55">
        <v>46079</v>
      </c>
      <c r="B1953" s="56" t="s">
        <v>4011</v>
      </c>
      <c r="C1953" s="56" t="s">
        <v>2684</v>
      </c>
      <c r="D1953" s="56" t="s">
        <v>3073</v>
      </c>
      <c r="E1953" s="56">
        <v>85364</v>
      </c>
      <c r="F1953" s="56" t="s">
        <v>8877</v>
      </c>
      <c r="G1953" s="56" t="s">
        <v>8871</v>
      </c>
      <c r="H1953" s="56">
        <v>4568817965</v>
      </c>
      <c r="I1953" s="56" t="s">
        <v>2451</v>
      </c>
      <c r="J1953" s="56" t="s">
        <v>24</v>
      </c>
      <c r="K1953" s="56" t="s">
        <v>24</v>
      </c>
      <c r="L1953" s="56" t="s">
        <v>75</v>
      </c>
      <c r="M1953" s="56" t="s">
        <v>24</v>
      </c>
      <c r="N1953" s="56" t="s">
        <v>24</v>
      </c>
      <c r="O1953" s="56" t="s">
        <v>75</v>
      </c>
      <c r="P1953" s="56" t="s">
        <v>2413</v>
      </c>
      <c r="Q1953" s="55">
        <v>46083</v>
      </c>
      <c r="R1953" s="56" t="s">
        <v>8813</v>
      </c>
      <c r="S1953" s="56"/>
      <c r="T1953" s="56"/>
      <c r="U1953" s="56"/>
      <c r="V1953" s="56"/>
      <c r="W1953" s="140"/>
    </row>
    <row r="1954" spans="1:23" s="45" customFormat="1">
      <c r="A1954" s="55">
        <v>46079</v>
      </c>
      <c r="B1954" s="56" t="s">
        <v>8878</v>
      </c>
      <c r="C1954" s="56" t="s">
        <v>3271</v>
      </c>
      <c r="D1954" s="56" t="s">
        <v>3073</v>
      </c>
      <c r="E1954" s="56"/>
      <c r="F1954" s="56" t="s">
        <v>8879</v>
      </c>
      <c r="G1954" s="56" t="s">
        <v>8880</v>
      </c>
      <c r="H1954" s="56" t="s">
        <v>2401</v>
      </c>
      <c r="I1954" s="56"/>
      <c r="J1954" s="56"/>
      <c r="K1954" s="56"/>
      <c r="L1954" s="56"/>
      <c r="M1954" s="56"/>
      <c r="N1954" s="56"/>
      <c r="O1954" s="56"/>
      <c r="P1954" s="56"/>
      <c r="Q1954" s="56"/>
      <c r="R1954" s="56"/>
      <c r="S1954" s="56"/>
      <c r="T1954" s="56"/>
      <c r="U1954" s="56"/>
      <c r="V1954" s="56"/>
      <c r="W1954" s="140"/>
    </row>
    <row r="1955" spans="1:23" s="45" customFormat="1">
      <c r="A1955" s="55">
        <v>46079</v>
      </c>
      <c r="B1955" s="56" t="s">
        <v>8881</v>
      </c>
      <c r="C1955" s="56" t="s">
        <v>8882</v>
      </c>
      <c r="D1955" s="56" t="s">
        <v>2439</v>
      </c>
      <c r="E1955" s="56">
        <v>85053</v>
      </c>
      <c r="F1955" s="56" t="s">
        <v>8883</v>
      </c>
      <c r="G1955" s="56" t="s">
        <v>8880</v>
      </c>
      <c r="H1955" s="56">
        <v>8729701000</v>
      </c>
      <c r="I1955" s="56" t="s">
        <v>2848</v>
      </c>
      <c r="J1955" s="56" t="s">
        <v>24</v>
      </c>
      <c r="K1955" s="56" t="s">
        <v>24</v>
      </c>
      <c r="L1955" s="56" t="s">
        <v>7158</v>
      </c>
      <c r="M1955" s="56" t="s">
        <v>24</v>
      </c>
      <c r="N1955" s="56" t="s">
        <v>24</v>
      </c>
      <c r="O1955" s="56" t="s">
        <v>75</v>
      </c>
      <c r="P1955" s="56" t="s">
        <v>2413</v>
      </c>
      <c r="Q1955" s="55">
        <v>46083</v>
      </c>
      <c r="R1955" s="56" t="s">
        <v>7368</v>
      </c>
      <c r="S1955" s="56"/>
      <c r="T1955" s="56"/>
      <c r="U1955" s="56"/>
      <c r="V1955" s="56"/>
      <c r="W1955" s="140"/>
    </row>
    <row r="1956" spans="1:23" s="45" customFormat="1">
      <c r="A1956" s="55">
        <v>46079</v>
      </c>
      <c r="B1956" s="56" t="s">
        <v>8884</v>
      </c>
      <c r="C1956" s="56" t="s">
        <v>3382</v>
      </c>
      <c r="D1956" s="56" t="s">
        <v>2475</v>
      </c>
      <c r="E1956" s="56">
        <v>85351</v>
      </c>
      <c r="F1956" s="56" t="s">
        <v>8885</v>
      </c>
      <c r="G1956" s="56" t="s">
        <v>8886</v>
      </c>
      <c r="H1956" s="56">
        <v>8176034620</v>
      </c>
      <c r="I1956" s="56" t="s">
        <v>2451</v>
      </c>
      <c r="J1956" s="56" t="s">
        <v>24</v>
      </c>
      <c r="K1956" s="56" t="s">
        <v>24</v>
      </c>
      <c r="L1956" s="56" t="s">
        <v>75</v>
      </c>
      <c r="M1956" s="56" t="s">
        <v>24</v>
      </c>
      <c r="N1956" s="56" t="s">
        <v>24</v>
      </c>
      <c r="O1956" s="56" t="s">
        <v>75</v>
      </c>
      <c r="P1956" s="56" t="s">
        <v>2413</v>
      </c>
      <c r="Q1956" s="55">
        <v>46083</v>
      </c>
      <c r="R1956" s="56"/>
      <c r="S1956" s="56"/>
      <c r="T1956" s="56"/>
      <c r="U1956" s="56"/>
      <c r="V1956" s="56"/>
      <c r="W1956" s="140"/>
    </row>
    <row r="1957" spans="1:23" s="45" customFormat="1">
      <c r="A1957" s="55">
        <v>46079</v>
      </c>
      <c r="B1957" s="56" t="s">
        <v>3698</v>
      </c>
      <c r="C1957" s="56" t="s">
        <v>2527</v>
      </c>
      <c r="D1957" s="56" t="s">
        <v>2564</v>
      </c>
      <c r="E1957" s="56"/>
      <c r="F1957" s="56" t="s">
        <v>8887</v>
      </c>
      <c r="G1957" s="56" t="s">
        <v>8888</v>
      </c>
      <c r="H1957" s="56" t="s">
        <v>2401</v>
      </c>
      <c r="I1957" s="56"/>
      <c r="J1957" s="56"/>
      <c r="K1957" s="56"/>
      <c r="L1957" s="56"/>
      <c r="M1957" s="56"/>
      <c r="N1957" s="56"/>
      <c r="O1957" s="56"/>
      <c r="P1957" s="56"/>
      <c r="Q1957" s="56"/>
      <c r="R1957" s="56"/>
      <c r="S1957" s="56"/>
      <c r="T1957" s="56"/>
      <c r="U1957" s="56"/>
      <c r="V1957" s="56"/>
      <c r="W1957" s="140"/>
    </row>
    <row r="1958" spans="1:23" s="45" customFormat="1">
      <c r="A1958" s="55">
        <v>46079</v>
      </c>
      <c r="B1958" s="56" t="s">
        <v>8464</v>
      </c>
      <c r="C1958" s="56" t="s">
        <v>7868</v>
      </c>
      <c r="D1958" s="56"/>
      <c r="E1958" s="56"/>
      <c r="F1958" s="56" t="s">
        <v>8889</v>
      </c>
      <c r="G1958" s="56" t="s">
        <v>8888</v>
      </c>
      <c r="H1958" s="56" t="s">
        <v>2401</v>
      </c>
      <c r="I1958" s="56"/>
      <c r="J1958" s="56"/>
      <c r="K1958" s="56"/>
      <c r="L1958" s="56"/>
      <c r="M1958" s="56"/>
      <c r="N1958" s="56"/>
      <c r="O1958" s="56"/>
      <c r="P1958" s="56"/>
      <c r="Q1958" s="56"/>
      <c r="R1958" s="56"/>
      <c r="S1958" s="56"/>
      <c r="T1958" s="56"/>
      <c r="U1958" s="56"/>
      <c r="V1958" s="56"/>
      <c r="W1958" s="140"/>
    </row>
    <row r="1959" spans="1:23" s="45" customFormat="1">
      <c r="A1959" s="55">
        <v>46079</v>
      </c>
      <c r="B1959" s="56" t="s">
        <v>3654</v>
      </c>
      <c r="C1959" s="56" t="s">
        <v>8890</v>
      </c>
      <c r="D1959" s="56"/>
      <c r="E1959" s="56"/>
      <c r="F1959" s="56" t="s">
        <v>8891</v>
      </c>
      <c r="G1959" s="56" t="s">
        <v>8892</v>
      </c>
      <c r="H1959" s="56" t="s">
        <v>2401</v>
      </c>
      <c r="I1959" s="56"/>
      <c r="J1959" s="56"/>
      <c r="K1959" s="56"/>
      <c r="L1959" s="56"/>
      <c r="M1959" s="56"/>
      <c r="N1959" s="56"/>
      <c r="O1959" s="56"/>
      <c r="P1959" s="56"/>
      <c r="Q1959" s="56"/>
      <c r="R1959" s="56"/>
      <c r="S1959" s="56"/>
      <c r="T1959" s="56"/>
      <c r="U1959" s="56"/>
      <c r="V1959" s="56"/>
      <c r="W1959" s="140"/>
    </row>
    <row r="1960" spans="1:23" s="45" customFormat="1">
      <c r="A1960" s="55">
        <v>46080</v>
      </c>
      <c r="B1960" s="56" t="s">
        <v>8472</v>
      </c>
      <c r="C1960" s="56" t="s">
        <v>8473</v>
      </c>
      <c r="D1960" s="56" t="s">
        <v>2513</v>
      </c>
      <c r="E1960" s="56">
        <v>85258</v>
      </c>
      <c r="F1960" s="56" t="s">
        <v>8893</v>
      </c>
      <c r="G1960" s="56" t="s">
        <v>8894</v>
      </c>
      <c r="H1960" s="56">
        <v>8629551000</v>
      </c>
      <c r="I1960" s="56" t="s">
        <v>2659</v>
      </c>
      <c r="J1960" s="56" t="s">
        <v>24</v>
      </c>
      <c r="K1960" s="56" t="s">
        <v>24</v>
      </c>
      <c r="L1960" s="56" t="s">
        <v>75</v>
      </c>
      <c r="M1960" s="56" t="s">
        <v>24</v>
      </c>
      <c r="N1960" s="56" t="s">
        <v>24</v>
      </c>
      <c r="O1960" s="56" t="s">
        <v>75</v>
      </c>
      <c r="P1960" s="56" t="s">
        <v>2413</v>
      </c>
      <c r="Q1960" s="55">
        <v>46083</v>
      </c>
      <c r="R1960" s="56"/>
      <c r="S1960" s="56"/>
      <c r="T1960" s="56"/>
      <c r="U1960" s="56"/>
      <c r="V1960" s="56"/>
      <c r="W1960" s="140"/>
    </row>
    <row r="1961" spans="1:23" s="45" customFormat="1">
      <c r="A1961" s="55">
        <v>46080</v>
      </c>
      <c r="B1961" s="56" t="s">
        <v>3725</v>
      </c>
      <c r="C1961" s="56" t="s">
        <v>8895</v>
      </c>
      <c r="D1961" s="56" t="s">
        <v>2475</v>
      </c>
      <c r="E1961" s="56">
        <v>85351</v>
      </c>
      <c r="F1961" s="56" t="s">
        <v>8896</v>
      </c>
      <c r="G1961" s="56" t="s">
        <v>8894</v>
      </c>
      <c r="H1961" s="56">
        <v>5174511000</v>
      </c>
      <c r="I1961" s="56" t="s">
        <v>7467</v>
      </c>
      <c r="J1961" s="56" t="s">
        <v>24</v>
      </c>
      <c r="K1961" s="56" t="s">
        <v>24</v>
      </c>
      <c r="L1961" s="56" t="s">
        <v>8897</v>
      </c>
      <c r="M1961" s="56" t="s">
        <v>24</v>
      </c>
      <c r="N1961" s="56" t="s">
        <v>24</v>
      </c>
      <c r="O1961" s="56" t="s">
        <v>75</v>
      </c>
      <c r="P1961" s="56" t="s">
        <v>2413</v>
      </c>
      <c r="Q1961" s="55">
        <v>46083</v>
      </c>
      <c r="R1961" s="56"/>
      <c r="S1961" s="56"/>
      <c r="T1961" s="56"/>
      <c r="U1961" s="56"/>
      <c r="V1961" s="56"/>
      <c r="W1961" s="140"/>
    </row>
    <row r="1962" spans="1:23" s="45" customFormat="1">
      <c r="A1962" s="55">
        <v>46085</v>
      </c>
      <c r="B1962" s="56" t="s">
        <v>8898</v>
      </c>
      <c r="C1962" s="56" t="s">
        <v>2745</v>
      </c>
      <c r="D1962" s="56" t="s">
        <v>3211</v>
      </c>
      <c r="E1962" s="56">
        <v>86326</v>
      </c>
      <c r="F1962" s="56" t="s">
        <v>8899</v>
      </c>
      <c r="G1962" s="56" t="s">
        <v>8900</v>
      </c>
      <c r="H1962" s="56">
        <v>7575303777</v>
      </c>
      <c r="I1962" s="56" t="s">
        <v>2514</v>
      </c>
      <c r="J1962" s="56" t="s">
        <v>24</v>
      </c>
      <c r="K1962" s="56" t="s">
        <v>24</v>
      </c>
      <c r="L1962" s="56" t="s">
        <v>8901</v>
      </c>
      <c r="M1962" s="56" t="s">
        <v>24</v>
      </c>
      <c r="N1962" s="56" t="s">
        <v>24</v>
      </c>
      <c r="O1962" s="56" t="s">
        <v>75</v>
      </c>
      <c r="P1962" s="56" t="s">
        <v>2413</v>
      </c>
      <c r="Q1962" s="55">
        <v>46086</v>
      </c>
      <c r="R1962" s="56" t="s">
        <v>8902</v>
      </c>
      <c r="S1962" s="56"/>
      <c r="T1962" s="56"/>
      <c r="U1962" s="56"/>
      <c r="V1962" s="56"/>
      <c r="W1962" s="140"/>
    </row>
    <row r="1963" spans="1:23" s="45" customFormat="1">
      <c r="A1963" s="55">
        <v>46085</v>
      </c>
      <c r="B1963" s="56" t="s">
        <v>8903</v>
      </c>
      <c r="C1963" s="56" t="s">
        <v>8904</v>
      </c>
      <c r="D1963" s="56" t="s">
        <v>2570</v>
      </c>
      <c r="E1963" s="56">
        <v>85396</v>
      </c>
      <c r="F1963" s="56" t="s">
        <v>8905</v>
      </c>
      <c r="G1963" s="56" t="s">
        <v>8900</v>
      </c>
      <c r="H1963" s="56" t="s">
        <v>2401</v>
      </c>
      <c r="I1963" s="56"/>
      <c r="J1963" s="56"/>
      <c r="K1963" s="56"/>
      <c r="L1963" s="56"/>
      <c r="M1963" s="56"/>
      <c r="N1963" s="56"/>
      <c r="O1963" s="56"/>
      <c r="P1963" s="56"/>
      <c r="Q1963" s="56"/>
      <c r="R1963" s="56"/>
      <c r="S1963" s="56"/>
      <c r="T1963" s="56"/>
      <c r="U1963" s="56"/>
      <c r="V1963" s="56"/>
      <c r="W1963" s="140"/>
    </row>
    <row r="1964" spans="1:23" s="45" customFormat="1">
      <c r="A1964" s="55">
        <v>46085</v>
      </c>
      <c r="B1964" s="56" t="s">
        <v>8906</v>
      </c>
      <c r="C1964" s="56" t="s">
        <v>6517</v>
      </c>
      <c r="D1964" s="56" t="s">
        <v>2950</v>
      </c>
      <c r="E1964" s="56">
        <v>86004</v>
      </c>
      <c r="F1964" s="56" t="s">
        <v>8907</v>
      </c>
      <c r="G1964" s="56" t="s">
        <v>8900</v>
      </c>
      <c r="H1964" s="56">
        <v>4408790000</v>
      </c>
      <c r="I1964" s="56" t="s">
        <v>2451</v>
      </c>
      <c r="J1964" s="56" t="s">
        <v>24</v>
      </c>
      <c r="K1964" s="56" t="s">
        <v>24</v>
      </c>
      <c r="L1964" s="56" t="s">
        <v>75</v>
      </c>
      <c r="M1964" s="56" t="s">
        <v>24</v>
      </c>
      <c r="N1964" s="56" t="s">
        <v>24</v>
      </c>
      <c r="O1964" s="56" t="s">
        <v>75</v>
      </c>
      <c r="P1964" s="56" t="s">
        <v>2413</v>
      </c>
      <c r="Q1964" s="55">
        <v>46086</v>
      </c>
      <c r="R1964" s="56"/>
      <c r="S1964" s="56"/>
      <c r="T1964" s="56"/>
      <c r="U1964" s="56"/>
      <c r="V1964" s="56"/>
      <c r="W1964" s="140"/>
    </row>
    <row r="1965" spans="1:23" s="45" customFormat="1">
      <c r="A1965" s="55">
        <v>46085</v>
      </c>
      <c r="B1965" s="56" t="s">
        <v>8908</v>
      </c>
      <c r="C1965" s="56" t="s">
        <v>5909</v>
      </c>
      <c r="D1965" s="56" t="s">
        <v>2439</v>
      </c>
      <c r="E1965" s="56">
        <v>85016</v>
      </c>
      <c r="F1965" s="56" t="s">
        <v>8909</v>
      </c>
      <c r="G1965" s="56" t="s">
        <v>8900</v>
      </c>
      <c r="H1965" s="56" t="s">
        <v>2401</v>
      </c>
      <c r="I1965" s="56"/>
      <c r="J1965" s="56"/>
      <c r="K1965" s="56"/>
      <c r="L1965" s="56"/>
      <c r="M1965" s="56"/>
      <c r="N1965" s="56"/>
      <c r="O1965" s="56"/>
      <c r="P1965" s="56"/>
      <c r="Q1965" s="56"/>
      <c r="R1965" s="56"/>
      <c r="S1965" s="56"/>
      <c r="T1965" s="56"/>
      <c r="U1965" s="56"/>
      <c r="V1965" s="56"/>
      <c r="W1965" s="140"/>
    </row>
  </sheetData>
  <hyperlinks>
    <hyperlink ref="G1384" r:id="rId1" xr:uid="{DA231809-9E44-4D83-AC35-430A0FF16C89}"/>
  </hyperlinks>
  <pageMargins left="0.7" right="0.7" top="0.75" bottom="0.75" header="0.3" footer="0.3"/>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DEDAA739A2274C40A31BE1DF67F2D411" ma:contentTypeVersion="3" ma:contentTypeDescription="Create a new document." ma:contentTypeScope="" ma:versionID="678e8f9f027e4377cda38ffb960c96b0">
  <xsd:schema xmlns:xsd="http://www.w3.org/2001/XMLSchema" xmlns:xs="http://www.w3.org/2001/XMLSchema" xmlns:p="http://schemas.microsoft.com/office/2006/metadata/properties" xmlns:ns2="fe49a302-7637-4812-975f-03f711f2c4e3" targetNamespace="http://schemas.microsoft.com/office/2006/metadata/properties" ma:root="true" ma:fieldsID="60b4c4a8e1e2ce691742be26293900b4" ns2:_="">
    <xsd:import namespace="fe49a302-7637-4812-975f-03f711f2c4e3"/>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49a302-7637-4812-975f-03f711f2c4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B8C5660-0C93-4171-9641-08D356A7CCEF}">
  <ds:schemaRefs>
    <ds:schemaRef ds:uri="http://schemas.microsoft.com/DataMashup"/>
  </ds:schemaRefs>
</ds:datastoreItem>
</file>

<file path=customXml/itemProps2.xml><?xml version="1.0" encoding="utf-8"?>
<ds:datastoreItem xmlns:ds="http://schemas.openxmlformats.org/officeDocument/2006/customXml" ds:itemID="{591CE0A0-C951-4A7E-921B-E2506F18E082}">
  <ds:schemaRefs>
    <ds:schemaRef ds:uri="http://schemas.microsoft.com/sharepoint/v3/contenttype/forms"/>
  </ds:schemaRefs>
</ds:datastoreItem>
</file>

<file path=customXml/itemProps3.xml><?xml version="1.0" encoding="utf-8"?>
<ds:datastoreItem xmlns:ds="http://schemas.openxmlformats.org/officeDocument/2006/customXml" ds:itemID="{AB2B07AC-1E2B-4EF5-9811-2D5CA0FA235E}">
  <ds:schemaRefs>
    <ds:schemaRef ds:uri="http://www.w3.org/XML/1998/namespace"/>
    <ds:schemaRef ds:uri="fe49a302-7637-4812-975f-03f711f2c4e3"/>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http://purl.org/dc/elements/1.1/"/>
    <ds:schemaRef ds:uri="http://schemas.microsoft.com/office/2006/metadata/properties"/>
    <ds:schemaRef ds:uri="http://purl.org/dc/dcmitype/"/>
  </ds:schemaRefs>
</ds:datastoreItem>
</file>

<file path=customXml/itemProps4.xml><?xml version="1.0" encoding="utf-8"?>
<ds:datastoreItem xmlns:ds="http://schemas.openxmlformats.org/officeDocument/2006/customXml" ds:itemID="{107A7D00-3BFD-495E-8D8E-34880A35571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e49a302-7637-4812-975f-03f711f2c4e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Call Tracker</vt:lpstr>
      <vt:lpstr>Summary</vt:lpstr>
      <vt:lpstr>Docketed Comments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Knight, Scott</dc:creator>
  <cp:keywords/>
  <dc:description/>
  <cp:lastModifiedBy>Knight, Scott</cp:lastModifiedBy>
  <cp:revision/>
  <dcterms:created xsi:type="dcterms:W3CDTF">2025-12-29T16:48:47Z</dcterms:created>
  <dcterms:modified xsi:type="dcterms:W3CDTF">2026-03-05T22:09:54Z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0x010100DEDAA739A2274C40A31BE1DF67F2D411</vt:lpwstr>
  </property>
</Properties>
</file>